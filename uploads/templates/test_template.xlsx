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ulti qr data\data\"/>
    </mc:Choice>
  </mc:AlternateContent>
  <xr:revisionPtr revIDLastSave="0" documentId="8_{966C1210-230F-410D-B20C-95B9D74E99E7}" xr6:coauthVersionLast="47" xr6:coauthVersionMax="47" xr10:uidLastSave="{00000000-0000-0000-0000-000000000000}"/>
  <bookViews>
    <workbookView xWindow="30612" yWindow="-108" windowWidth="23256" windowHeight="12456" firstSheet="3" activeTab="5" xr2:uid="{78A8D0AB-7D79-41C0-96A0-AC836E85A1FD}"/>
  </bookViews>
  <sheets>
    <sheet name="Sheet3" sheetId="4" state="hidden" r:id="rId1"/>
    <sheet name="Sheet4" sheetId="5" state="hidden" r:id="rId2"/>
    <sheet name="Sheet1" sheetId="17" state="hidden" r:id="rId3"/>
    <sheet name="PTCA Packing 1" sheetId="15" r:id="rId4"/>
    <sheet name="PTCA Packing 2" sheetId="16" r:id="rId5"/>
    <sheet name="Template" sheetId="1" r:id="rId6"/>
  </sheets>
  <definedNames>
    <definedName name="_xlnm._FilterDatabase" localSheetId="3" hidden="1">'PTCA Packing 1'!$A$1:$AR$1874</definedName>
    <definedName name="_xlnm.Print_Area" localSheetId="5">Template!$A$1:$BB$58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4" i="1" l="1"/>
  <c r="CR15" i="1"/>
  <c r="CH14" i="1" l="1"/>
  <c r="CR14" i="1"/>
  <c r="CQ14" i="1"/>
  <c r="CP14" i="1"/>
  <c r="CO14" i="1"/>
  <c r="CN14" i="1"/>
  <c r="CM14" i="1"/>
  <c r="CL14" i="1"/>
  <c r="CK14" i="1"/>
  <c r="CJ14" i="1"/>
  <c r="CI14" i="1"/>
  <c r="BK14" i="1" a="1"/>
  <c r="BK14" i="1" s="1"/>
  <c r="BL14" i="1" a="1"/>
  <c r="BL14" i="1" s="1"/>
  <c r="BM14" i="1" a="1"/>
  <c r="BM14" i="1" s="1"/>
  <c r="BN14" i="1" a="1"/>
  <c r="BN14" i="1" s="1"/>
  <c r="BO14" i="1" a="1"/>
  <c r="BO14" i="1" s="1"/>
  <c r="BP14" i="1" a="1"/>
  <c r="BP14" i="1" s="1"/>
  <c r="BQ14" i="1" a="1"/>
  <c r="BQ14" i="1" s="1"/>
  <c r="BR14" i="1" a="1"/>
  <c r="BR14" i="1" s="1"/>
  <c r="BS14" i="1" a="1"/>
  <c r="BS14" i="1" s="1"/>
  <c r="BT14" i="1" a="1"/>
  <c r="BT14" i="1" s="1"/>
  <c r="BU14" i="1" a="1"/>
  <c r="BU14" i="1" s="1"/>
  <c r="BV14" i="1" a="1"/>
  <c r="BV14" i="1" s="1"/>
  <c r="BW14" i="1" a="1"/>
  <c r="BW14" i="1" s="1"/>
  <c r="BX14" i="1" a="1"/>
  <c r="BX14" i="1" s="1"/>
  <c r="BY14" i="1" a="1"/>
  <c r="BY14" i="1" s="1"/>
  <c r="BZ14" i="1" a="1"/>
  <c r="BZ14" i="1" s="1"/>
  <c r="CA14" i="1" a="1"/>
  <c r="CA14" i="1" s="1"/>
  <c r="BJ14" i="1" a="1"/>
  <c r="BJ14" i="1" s="1"/>
  <c r="AC15" i="1"/>
  <c r="A41" i="1"/>
  <c r="BF15" i="1"/>
  <c r="H41" i="1" s="1"/>
  <c r="CH3" i="1"/>
  <c r="CH29" i="1"/>
  <c r="CG29" i="1"/>
  <c r="CF29" i="1"/>
  <c r="CE29" i="1"/>
  <c r="CD29" i="1"/>
  <c r="CC29" i="1"/>
  <c r="CG14" i="1"/>
  <c r="CF14" i="1"/>
  <c r="CE14" i="1"/>
  <c r="CD14" i="1"/>
  <c r="CC14" i="1"/>
  <c r="CG3" i="1"/>
  <c r="CF3" i="1"/>
  <c r="CE3" i="1"/>
  <c r="CD3" i="1"/>
  <c r="CC3" i="1"/>
  <c r="BH6" i="1" l="1"/>
  <c r="BH8" i="1"/>
  <c r="AJ54" i="1" l="1"/>
  <c r="AC54" i="1"/>
  <c r="V54" i="1"/>
  <c r="CE31" i="1" a="1"/>
  <c r="CE31" i="1" s="1"/>
  <c r="CD31" i="1" a="1"/>
  <c r="CD31" i="1" s="1"/>
  <c r="CC31" i="1" a="1"/>
  <c r="CC31" i="1" s="1"/>
  <c r="BF30" i="1"/>
  <c r="H54" i="1" s="1"/>
  <c r="BF29" i="1"/>
  <c r="A54" i="1" s="1"/>
  <c r="AC47" i="1"/>
  <c r="V47" i="1"/>
  <c r="BG10" i="1" a="1"/>
  <c r="BG10" i="1" s="1"/>
  <c r="AJ27" i="1" s="1"/>
  <c r="BF10" i="1" a="1"/>
  <c r="BF10" i="1" s="1"/>
  <c r="BG9" i="1" a="1"/>
  <c r="BG9" i="1" s="1"/>
  <c r="BF9" i="1" a="1"/>
  <c r="BF9" i="1" s="1"/>
  <c r="AJ21" i="1"/>
  <c r="AC21" i="1"/>
  <c r="H21" i="1"/>
  <c r="A21" i="1"/>
  <c r="AJ15" i="1"/>
  <c r="BF21" i="1" a="1"/>
  <c r="BF21" i="1" s="1"/>
  <c r="O47" i="1" s="1"/>
  <c r="BF20" i="1" a="1"/>
  <c r="BF20" i="1" s="1"/>
  <c r="H47" i="1" s="1"/>
  <c r="BF19" i="1" a="1"/>
  <c r="BF19" i="1" s="1"/>
  <c r="BF18" i="1" a="1"/>
  <c r="BF18" i="1" s="1"/>
  <c r="AC41" i="1" s="1"/>
  <c r="BF17" i="1" a="1"/>
  <c r="BF17" i="1" s="1"/>
  <c r="BG5" i="1" a="1"/>
  <c r="BG5" i="1" s="1"/>
  <c r="H15" i="1" s="1"/>
  <c r="BF5" i="1" a="1"/>
  <c r="BF5" i="1" s="1"/>
  <c r="BF16" i="1"/>
  <c r="O41" i="1" s="1"/>
  <c r="Z7" i="1"/>
  <c r="O7" i="1"/>
  <c r="D7" i="1"/>
  <c r="A47" i="1" l="1"/>
  <c r="BF27" i="1"/>
  <c r="BF26" i="1"/>
  <c r="BF28" i="1"/>
  <c r="BF31" i="1"/>
  <c r="O54" i="1" s="1"/>
  <c r="BF35" i="1"/>
  <c r="A15" i="1"/>
  <c r="BH5" i="1"/>
  <c r="BH7" i="1"/>
  <c r="A27" i="1"/>
  <c r="BH9" i="1"/>
  <c r="AC27" i="1"/>
  <c r="BH10" i="1"/>
  <c r="V41" i="1"/>
  <c r="H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Seal_n2</author>
  </authors>
  <commentList>
    <comment ref="AE17" authorId="0" shapeId="0" xr:uid="{06BB3F90-A964-48CE-A82C-27E07D177BEE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50/70</t>
        </r>
      </text>
    </comment>
    <comment ref="AK17" authorId="0" shapeId="0" xr:uid="{42722C0D-44FD-452D-897E-12D5A4592A0D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CTO</t>
        </r>
      </text>
    </comment>
    <comment ref="AK83" authorId="0" shapeId="0" xr:uid="{656BBCFB-A407-463E-BADB-41D81F9A7141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417" authorId="0" shapeId="0" xr:uid="{6FDDB255-D534-4C0A-B2BD-CDD76F749072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468" authorId="0" shapeId="0" xr:uid="{73D81FA9-EBCA-4A68-889F-4A3F42223049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46" authorId="0" shapeId="0" xr:uid="{37315606-95BD-437A-8C0E-C6E09B8AB56E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47" authorId="0" shapeId="0" xr:uid="{B3391502-D7E1-4190-9C6C-0E84D0A0FFF3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48" authorId="0" shapeId="0" xr:uid="{2D4D5C9C-5854-4065-8224-1EC72EE0FF0B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49" authorId="0" shapeId="0" xr:uid="{0D2656FF-134A-4BFF-BE3D-FD447B636E34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50" authorId="0" shapeId="0" xr:uid="{0B89906A-BB16-406E-AA06-1827883EB26A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51" authorId="0" shapeId="0" xr:uid="{06DB097D-07A3-492C-A4B5-175EAD70A950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52" authorId="0" shapeId="0" xr:uid="{CE36AA1C-0D64-4EDE-8456-2010EB2DDF82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53" authorId="0" shapeId="0" xr:uid="{C0DCA12B-1029-4CC6-800B-F90E767BD19A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73" authorId="0" shapeId="0" xr:uid="{AB88736A-15FB-48C6-AF36-DFD2164D0431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74" authorId="0" shapeId="0" xr:uid="{ED3118A2-20A8-4BB9-B6C5-A34796168640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75" authorId="0" shapeId="0" xr:uid="{171708DD-A7BE-498F-89FB-717163325FFE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76" authorId="0" shapeId="0" xr:uid="{75A288A2-F40E-4309-8A59-EED543A9686E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77" authorId="0" shapeId="0" xr:uid="{33DCF096-AA0F-4F20-BBC4-F6A83E3130AF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  <comment ref="AK678" authorId="0" shapeId="0" xr:uid="{B6F589EC-68F9-44D2-B253-798DBAA334E4}">
      <text>
        <r>
          <rPr>
            <b/>
            <sz val="9"/>
            <color indexed="81"/>
            <rFont val="Tahoma"/>
            <family val="2"/>
          </rPr>
          <t>Seal_n2:</t>
        </r>
        <r>
          <rPr>
            <sz val="9"/>
            <color indexed="81"/>
            <rFont val="Tahoma"/>
            <family val="2"/>
          </rPr>
          <t xml:space="preserve">
4 LEN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<sst xmlns="http://schemas.openxmlformats.org/spreadsheetml/2006/main" count="50385" uniqueCount="6992">
  <si>
    <t>Attachment</t>
  </si>
  <si>
    <t>1.Promos system</t>
  </si>
  <si>
    <t>2331079-0-AK</t>
  </si>
  <si>
    <t>Pcs</t>
  </si>
  <si>
    <t>Item Code :</t>
  </si>
  <si>
    <t>Lot :</t>
  </si>
  <si>
    <t>Order No :</t>
  </si>
  <si>
    <t>Item APS</t>
  </si>
  <si>
    <t>QR Code</t>
  </si>
  <si>
    <t>2.Print label process</t>
  </si>
  <si>
    <t>1.Item</t>
  </si>
  <si>
    <t>ITEM  :</t>
  </si>
  <si>
    <t>LOT :</t>
  </si>
  <si>
    <t>Q'ty :</t>
  </si>
  <si>
    <t>Product label (Label check sheet )</t>
  </si>
  <si>
    <t>Bag</t>
  </si>
  <si>
    <t>Box</t>
  </si>
  <si>
    <t>Check by</t>
  </si>
  <si>
    <t>Dilator label (Label check sheet )</t>
  </si>
  <si>
    <t>Barcoode label (Label check sheet )</t>
  </si>
  <si>
    <t>Barcode Dilator label (Label check sheet )</t>
  </si>
  <si>
    <t>CN label (Label check sheet )</t>
  </si>
  <si>
    <t>KR label (Label check sheet )</t>
  </si>
  <si>
    <t>Check Label (Ver.)</t>
  </si>
  <si>
    <t>ATN-12346 ver.1.08</t>
  </si>
  <si>
    <t>Scan Barcode (Ver.)</t>
  </si>
  <si>
    <t>Compare (Ver.)</t>
  </si>
  <si>
    <t>2.Lot</t>
  </si>
  <si>
    <t>3.Q'ty</t>
  </si>
  <si>
    <t>4.DW 1</t>
  </si>
  <si>
    <t>5.Packing 1</t>
  </si>
  <si>
    <t>6.Master SOP</t>
  </si>
  <si>
    <t>7.Holder set</t>
  </si>
  <si>
    <t>8.SOP (Holder set)</t>
  </si>
  <si>
    <t>2335012-0</t>
  </si>
  <si>
    <t>ATN-24104</t>
  </si>
  <si>
    <t>ATN-21128</t>
  </si>
  <si>
    <t>1932057-A</t>
  </si>
  <si>
    <t>ATN-20526</t>
  </si>
  <si>
    <t>1.Item_lot</t>
  </si>
  <si>
    <t>2.Item</t>
  </si>
  <si>
    <t>Matching</t>
  </si>
  <si>
    <t>Matching (Seal)</t>
  </si>
  <si>
    <t>Matching (Attach)</t>
  </si>
  <si>
    <t>4.Boxpack process (Packing 2)</t>
  </si>
  <si>
    <t>3.Attach label and Seal process (Packing 1)</t>
  </si>
  <si>
    <t>ITEM</t>
  </si>
  <si>
    <t>LOT</t>
  </si>
  <si>
    <t>Q'TY</t>
  </si>
  <si>
    <t>Print</t>
  </si>
  <si>
    <t>Product label</t>
  </si>
  <si>
    <t>Match</t>
  </si>
  <si>
    <t>Dilator label</t>
  </si>
  <si>
    <t>Barcoode label</t>
  </si>
  <si>
    <t>Barcode Dilator label</t>
  </si>
  <si>
    <t xml:space="preserve">CN label </t>
  </si>
  <si>
    <t>KR label</t>
  </si>
  <si>
    <t>Attach label and Seal process</t>
  </si>
  <si>
    <t>Item</t>
  </si>
  <si>
    <t>Lot</t>
  </si>
  <si>
    <t>Q'ty</t>
  </si>
  <si>
    <t>DW1</t>
  </si>
  <si>
    <t>Packing 1</t>
  </si>
  <si>
    <t>Master SOP</t>
  </si>
  <si>
    <t>Holder set</t>
  </si>
  <si>
    <t>SOP (Holder set)</t>
  </si>
  <si>
    <t>Match (seal)</t>
  </si>
  <si>
    <t>เว้นว่างรอข้อมูล</t>
  </si>
  <si>
    <t>Item_lot</t>
  </si>
  <si>
    <t>Boxpack</t>
  </si>
  <si>
    <t>Android Device indication No.</t>
  </si>
  <si>
    <t>1.Pre-Sterilization position</t>
  </si>
  <si>
    <t>2.Matching system</t>
  </si>
  <si>
    <t>〇</t>
  </si>
  <si>
    <t>1.S/N : 22340523020148</t>
  </si>
  <si>
    <t>New device</t>
  </si>
  <si>
    <t>Remark</t>
  </si>
  <si>
    <t>2.S/N :  21336523021959</t>
  </si>
  <si>
    <t>Old device (The Android device already has the Check Basket Position_V2 application installed.)</t>
  </si>
  <si>
    <t>Currently</t>
  </si>
  <si>
    <t>N2</t>
  </si>
  <si>
    <t>Plan</t>
  </si>
  <si>
    <t>1.Check Basket Position_V2</t>
  </si>
  <si>
    <t>Next plan 5 devices</t>
  </si>
  <si>
    <t>1.Check Basket Position_V2 + 2.Matching system</t>
  </si>
  <si>
    <t>Medical</t>
  </si>
  <si>
    <t>Next plan 10 devices (Check_basket_position_medical_V1+Matching system)</t>
  </si>
  <si>
    <t>1.Check_basket_position_medical_V1
2.Matching system</t>
  </si>
  <si>
    <t>Factory</t>
  </si>
  <si>
    <t>-</t>
  </si>
  <si>
    <t>Item SAP</t>
  </si>
  <si>
    <t>Item Code</t>
  </si>
  <si>
    <t>Name</t>
  </si>
  <si>
    <t>11125791</t>
  </si>
  <si>
    <t>11125734</t>
  </si>
  <si>
    <t>11123342</t>
  </si>
  <si>
    <t>11123344</t>
  </si>
  <si>
    <t>656001-S-A</t>
  </si>
  <si>
    <t>656002-S-A</t>
  </si>
  <si>
    <t>656003-S-A</t>
  </si>
  <si>
    <t>656007-S-A</t>
  </si>
  <si>
    <t>656008-S-A</t>
  </si>
  <si>
    <t>1931039-A-A</t>
  </si>
  <si>
    <t>1931113-0-AK</t>
  </si>
  <si>
    <t>1931114-0-AK</t>
  </si>
  <si>
    <t>1931108-0-A</t>
  </si>
  <si>
    <t>1931107-0-A</t>
  </si>
  <si>
    <t>1931109-0-AK</t>
  </si>
  <si>
    <t>1931106-0-A</t>
  </si>
  <si>
    <t>1931110-0-AK</t>
  </si>
  <si>
    <t>1931111-0-AK</t>
  </si>
  <si>
    <t>1931112-0-AK</t>
  </si>
  <si>
    <t>1731086-C-AK</t>
  </si>
  <si>
    <t>1931042-A-A</t>
  </si>
  <si>
    <t>1931041-A-A</t>
  </si>
  <si>
    <t>1931040-A-A</t>
  </si>
  <si>
    <t>1931082-0-AK</t>
  </si>
  <si>
    <t>09B1001-J-AK</t>
  </si>
  <si>
    <t>10B1003-D-AK</t>
  </si>
  <si>
    <t>10B1004-D-AK</t>
  </si>
  <si>
    <t>10B1005-D-AK</t>
  </si>
  <si>
    <t>1931082-A-AK</t>
  </si>
  <si>
    <t>1931027-0-A</t>
  </si>
  <si>
    <t>1931029-0-AK</t>
  </si>
  <si>
    <t>1731115-C-AK</t>
  </si>
  <si>
    <t>1731116-C-AK</t>
  </si>
  <si>
    <t>1731147-C-AK</t>
  </si>
  <si>
    <t>1731148-C-AK</t>
  </si>
  <si>
    <t>1931028-0-AK</t>
  </si>
  <si>
    <t>1931030-0-AK</t>
  </si>
  <si>
    <t>1931034-0-AK</t>
  </si>
  <si>
    <t>1731151-C-A</t>
  </si>
  <si>
    <t>1731152-C-A</t>
  </si>
  <si>
    <t>1931024-0-A</t>
  </si>
  <si>
    <t>1931017-0-A</t>
  </si>
  <si>
    <t>2031033-A-A</t>
  </si>
  <si>
    <t>2031031-A-A</t>
  </si>
  <si>
    <t>2031034-A-A</t>
  </si>
  <si>
    <t>1556112-E-A</t>
  </si>
  <si>
    <t>1556113-E-A</t>
  </si>
  <si>
    <t>1931108-B-AK</t>
  </si>
  <si>
    <t>1931109-A-AK</t>
  </si>
  <si>
    <t>1931110-A-AK</t>
  </si>
  <si>
    <t>1931111-A-AK</t>
  </si>
  <si>
    <t>1931112-A-AK</t>
  </si>
  <si>
    <t>1931113-A-AK</t>
  </si>
  <si>
    <t>1931114-A-AK</t>
  </si>
  <si>
    <t>1731128-B-AK</t>
  </si>
  <si>
    <t>1731127-B-AK</t>
  </si>
  <si>
    <t>1731144-B-AK</t>
  </si>
  <si>
    <t>1731087-B-AK</t>
  </si>
  <si>
    <t>1731091-B-AK</t>
  </si>
  <si>
    <t>1731093-B-AK</t>
  </si>
  <si>
    <t>1731088-B-AK</t>
  </si>
  <si>
    <t>1731092-B-AK</t>
  </si>
  <si>
    <t>1731094-B-AK</t>
  </si>
  <si>
    <t>1731130-B-AK</t>
  </si>
  <si>
    <t>1536011-C-AK</t>
  </si>
  <si>
    <t>1536013-C-AK</t>
  </si>
  <si>
    <t>1536012-C-AK</t>
  </si>
  <si>
    <t>1536014-C-AK</t>
  </si>
  <si>
    <t>1556125-E-AK</t>
  </si>
  <si>
    <t>1731129-B-AK</t>
  </si>
  <si>
    <t>1556124-E-AK</t>
  </si>
  <si>
    <t>1731116-D-AK</t>
  </si>
  <si>
    <t>1731147-D-AK</t>
  </si>
  <si>
    <t>1731148-D-AK</t>
  </si>
  <si>
    <t>1731150-D-A</t>
  </si>
  <si>
    <t>1731151-D-A</t>
  </si>
  <si>
    <t>1731152-D-A</t>
  </si>
  <si>
    <t>1931024-A-A</t>
  </si>
  <si>
    <t>1931025-A-A</t>
  </si>
  <si>
    <t>1931026-A-A</t>
  </si>
  <si>
    <t>1931027-A-A</t>
  </si>
  <si>
    <t>1931028-A-AK</t>
  </si>
  <si>
    <t>1931029-A-AK</t>
  </si>
  <si>
    <t>1931030-A-AK</t>
  </si>
  <si>
    <t>1931034-A-AK</t>
  </si>
  <si>
    <t>1436196-H-A</t>
  </si>
  <si>
    <t>2031287-0-AK</t>
  </si>
  <si>
    <t>2031290-0-AK</t>
  </si>
  <si>
    <t>2031293-0-AK</t>
  </si>
  <si>
    <t>2031295-0-AK</t>
  </si>
  <si>
    <t>2031032-A-A</t>
  </si>
  <si>
    <t xml:space="preserve">2B1001-W-AK </t>
  </si>
  <si>
    <t xml:space="preserve">2B1002-W-AK </t>
  </si>
  <si>
    <t xml:space="preserve">2B1003-W-AK </t>
  </si>
  <si>
    <t>2131703-0-A</t>
  </si>
  <si>
    <t>2B1001-X-AK</t>
  </si>
  <si>
    <t>2B1002-X-AK</t>
  </si>
  <si>
    <t>2B1003-X-AK</t>
  </si>
  <si>
    <t>1831080-C-AK</t>
  </si>
  <si>
    <t>1831228-A-AK</t>
  </si>
  <si>
    <t>2031148-B-AK</t>
  </si>
  <si>
    <t>1831089-C-AK</t>
  </si>
  <si>
    <t>1831093-C-AK</t>
  </si>
  <si>
    <t>1831096-C-AK</t>
  </si>
  <si>
    <t>1831099-C-AK</t>
  </si>
  <si>
    <t>1831207-A-AK</t>
  </si>
  <si>
    <t>1831210-A-AK</t>
  </si>
  <si>
    <t>1831238-B-AK</t>
  </si>
  <si>
    <t>09B1001-K-AK</t>
  </si>
  <si>
    <t>10B1003-E-AK</t>
  </si>
  <si>
    <t>10B1004-E-AK</t>
  </si>
  <si>
    <t>10B1005-E-AK</t>
  </si>
  <si>
    <t>1731146-B-AK</t>
  </si>
  <si>
    <t>656002-T-A</t>
  </si>
  <si>
    <t>656003-T-A</t>
  </si>
  <si>
    <t>656008-T-A</t>
  </si>
  <si>
    <t>1831092-D-AK</t>
  </si>
  <si>
    <t>1831094-D-AK</t>
  </si>
  <si>
    <t>1831095-D-AK</t>
  </si>
  <si>
    <t>1831096-D-AK</t>
  </si>
  <si>
    <t>1831097-D-AK</t>
  </si>
  <si>
    <t>1831098-D-AK</t>
  </si>
  <si>
    <t>1831099-D-AK</t>
  </si>
  <si>
    <t>1831100-D-AK</t>
  </si>
  <si>
    <t>1831101-D-AK</t>
  </si>
  <si>
    <t>1831200-C-AK</t>
  </si>
  <si>
    <t>1831201-C-AK</t>
  </si>
  <si>
    <t>2131730-A-AK</t>
  </si>
  <si>
    <t>2131734-A-AK</t>
  </si>
  <si>
    <t>1731085-E-AK</t>
  </si>
  <si>
    <t>1731086-E-AK</t>
  </si>
  <si>
    <t>1731099-C-AK</t>
  </si>
  <si>
    <t>1731100-C-AK</t>
  </si>
  <si>
    <t>1731105-C-AK</t>
  </si>
  <si>
    <t>1731106-C-AK</t>
  </si>
  <si>
    <t>1731119-C-AK</t>
  </si>
  <si>
    <t>1731120-C-AK</t>
  </si>
  <si>
    <t>1731121-C-AK</t>
  </si>
  <si>
    <t>1731123-C-AK</t>
  </si>
  <si>
    <t>1731124-C-AK</t>
  </si>
  <si>
    <t>1731125-C-AK</t>
  </si>
  <si>
    <t>1731153-D-AK</t>
  </si>
  <si>
    <t>1731154-D-AK</t>
  </si>
  <si>
    <t>1731155-D-AK</t>
  </si>
  <si>
    <t>1731156-D-AK</t>
  </si>
  <si>
    <t>1731157-D-AK</t>
  </si>
  <si>
    <t>1731158-D-AK</t>
  </si>
  <si>
    <t>1731170-C-AK</t>
  </si>
  <si>
    <t>1731171-C-AK</t>
  </si>
  <si>
    <t>1731174-C-AK</t>
  </si>
  <si>
    <t>1731175-C-AK</t>
  </si>
  <si>
    <t>1556035-G-AK</t>
  </si>
  <si>
    <t>1556039-G-AK</t>
  </si>
  <si>
    <t>1556041-F-AK</t>
  </si>
  <si>
    <t>1556045-F-AK</t>
  </si>
  <si>
    <t>1556004-E-AK</t>
  </si>
  <si>
    <t>2131223-C-AK</t>
  </si>
  <si>
    <t>2131224-C-AK</t>
  </si>
  <si>
    <t>2131225-C-AK</t>
  </si>
  <si>
    <t>2131226-D-AK</t>
  </si>
  <si>
    <t>2131227-C-AK</t>
  </si>
  <si>
    <t>2131228-C-AK</t>
  </si>
  <si>
    <t>2131229-C-AK</t>
  </si>
  <si>
    <t>2131231-C-AK</t>
  </si>
  <si>
    <t>2131232-C-AK</t>
  </si>
  <si>
    <t>2131233-C-AK</t>
  </si>
  <si>
    <t>2131234-B-AK</t>
  </si>
  <si>
    <t>2131235-B-AK</t>
  </si>
  <si>
    <t>2131238-B-AK</t>
  </si>
  <si>
    <t>2131674-A-AK</t>
  </si>
  <si>
    <t>2131675-A-AK</t>
  </si>
  <si>
    <t>2131678-A-AK</t>
  </si>
  <si>
    <t>2131679-A-AK</t>
  </si>
  <si>
    <t>2131681-A-AK</t>
  </si>
  <si>
    <t>2131682-A-AK</t>
  </si>
  <si>
    <t>2131475-0-AK</t>
  </si>
  <si>
    <t>2131476-0-AK</t>
  </si>
  <si>
    <t>2131477-0-AK</t>
  </si>
  <si>
    <t>2131478-0-AK</t>
  </si>
  <si>
    <t>2131479-0-AK</t>
  </si>
  <si>
    <t>2131480-0-AK</t>
  </si>
  <si>
    <t>2131656-C-AK</t>
  </si>
  <si>
    <t>2131657-C-AK</t>
  </si>
  <si>
    <t>1931110-B-AK</t>
  </si>
  <si>
    <t>1931113-B-AK</t>
  </si>
  <si>
    <t>1931114-B-AK</t>
  </si>
  <si>
    <t>1731127-B-AK-P</t>
  </si>
  <si>
    <t>1731128-B-AK-P</t>
  </si>
  <si>
    <t>2331088-0-AK</t>
  </si>
  <si>
    <t>2331096-0-A</t>
  </si>
  <si>
    <t>2331039-0-AK</t>
  </si>
  <si>
    <t>2331110-0-AK</t>
  </si>
  <si>
    <t>2331087-0-AK</t>
  </si>
  <si>
    <t>2331089-0-AK</t>
  </si>
  <si>
    <t>2331090-0-AK</t>
  </si>
  <si>
    <t>2331091-0-AK</t>
  </si>
  <si>
    <t>2331092-0-AK</t>
  </si>
  <si>
    <t>2331093-0-AK</t>
  </si>
  <si>
    <t>2331094-0-AK</t>
  </si>
  <si>
    <t>2331095-0-AK</t>
  </si>
  <si>
    <t>2331097-0-A</t>
  </si>
  <si>
    <t>2331098-0-A</t>
  </si>
  <si>
    <t>2331099-0-A</t>
  </si>
  <si>
    <t>2331100-0-A</t>
  </si>
  <si>
    <t>2331101-0-A</t>
  </si>
  <si>
    <t>2331102-0-A</t>
  </si>
  <si>
    <t>2331103-0-A</t>
  </si>
  <si>
    <t>2331104-0-A</t>
  </si>
  <si>
    <t>2331105-0-A</t>
  </si>
  <si>
    <t>2331106-0-A</t>
  </si>
  <si>
    <t>2331107-0-A</t>
  </si>
  <si>
    <t>2331108-0-A</t>
  </si>
  <si>
    <t>2331109-0-A</t>
  </si>
  <si>
    <t>2331111-0-AK</t>
  </si>
  <si>
    <t>2331112-0-AK</t>
  </si>
  <si>
    <t>2331113-0-AK</t>
  </si>
  <si>
    <t>2331114-0-AK</t>
  </si>
  <si>
    <t>2331115-0-AK</t>
  </si>
  <si>
    <t>2331065-0-A</t>
  </si>
  <si>
    <t>2331080-0-AK</t>
  </si>
  <si>
    <t>2331081-0-AK</t>
  </si>
  <si>
    <t>2331084-0-AK</t>
  </si>
  <si>
    <t>2331040-0-AK</t>
  </si>
  <si>
    <t>2331041-0-AK</t>
  </si>
  <si>
    <t>2331042-0-AK</t>
  </si>
  <si>
    <t>2331075-A-AK</t>
  </si>
  <si>
    <t>2331076-A-AK</t>
  </si>
  <si>
    <t>2331077-A-AK</t>
  </si>
  <si>
    <t>2331078-A-AK</t>
  </si>
  <si>
    <t>1556120-H-AK</t>
  </si>
  <si>
    <t>1556121-H-AK</t>
  </si>
  <si>
    <t>1556122-H-AK</t>
  </si>
  <si>
    <t>1556123-H-AK</t>
  </si>
  <si>
    <t>2331153-0-AK</t>
  </si>
  <si>
    <t>2331149-0-AK</t>
  </si>
  <si>
    <t>2331146-0-AK</t>
  </si>
  <si>
    <t>2331151-0-AK</t>
  </si>
  <si>
    <t>2331152-0-AK</t>
  </si>
  <si>
    <t>2331140-0-AK</t>
  </si>
  <si>
    <t>2331128-0-AK</t>
  </si>
  <si>
    <t>2331129-0-AK</t>
  </si>
  <si>
    <t>2331130-0-AK</t>
  </si>
  <si>
    <t>2331131-0-AK</t>
  </si>
  <si>
    <t>2331132-0-AK</t>
  </si>
  <si>
    <t>2331133-0-AK</t>
  </si>
  <si>
    <t>2331134-0-AK</t>
  </si>
  <si>
    <t>2331135-0-AK</t>
  </si>
  <si>
    <t>2331136-0-AK</t>
  </si>
  <si>
    <t>2331137-0-AK</t>
  </si>
  <si>
    <t>2331138-0-AK</t>
  </si>
  <si>
    <t>2331139-0-AK</t>
  </si>
  <si>
    <t>2331141-0-AK</t>
  </si>
  <si>
    <t>2331142-0-AK</t>
  </si>
  <si>
    <t>2331143-0-AK</t>
  </si>
  <si>
    <t>2331147-0-AK</t>
  </si>
  <si>
    <t>2331148-0-AK</t>
  </si>
  <si>
    <t>2331150-0-AK</t>
  </si>
  <si>
    <t>2331154-0-AK</t>
  </si>
  <si>
    <t>2331170-0-AK</t>
  </si>
  <si>
    <t>2331176-0-AK</t>
  </si>
  <si>
    <t>2331178-0-AK</t>
  </si>
  <si>
    <t>2331182-0-AK</t>
  </si>
  <si>
    <t>2331207-0-AK</t>
  </si>
  <si>
    <t>2331185-0-AK</t>
  </si>
  <si>
    <t>2331168-0-AK</t>
  </si>
  <si>
    <t>2331169-0-AK</t>
  </si>
  <si>
    <t>2331171-0-AK</t>
  </si>
  <si>
    <t>2331172-0-AK</t>
  </si>
  <si>
    <t>2331173-0-AK</t>
  </si>
  <si>
    <t>2331174-0-AK</t>
  </si>
  <si>
    <t>2331175-0-AK</t>
  </si>
  <si>
    <t>2331177-0-AK</t>
  </si>
  <si>
    <t>2331179-0-AK</t>
  </si>
  <si>
    <t>2331180-0-AK</t>
  </si>
  <si>
    <t>2331181-0-AK</t>
  </si>
  <si>
    <t>2331183-0-AK</t>
  </si>
  <si>
    <t>2331184-0-AK</t>
  </si>
  <si>
    <t>2331186-0-AK</t>
  </si>
  <si>
    <t>2331187-0-AK</t>
  </si>
  <si>
    <t>2331188-0-AK</t>
  </si>
  <si>
    <t>2331189-0-AK</t>
  </si>
  <si>
    <t>2331190-0-AK</t>
  </si>
  <si>
    <t>2331191-0-AK</t>
  </si>
  <si>
    <t>2331192-0-AK</t>
  </si>
  <si>
    <t>2331193-0-AK</t>
  </si>
  <si>
    <t>2331194-0-AK</t>
  </si>
  <si>
    <t>2331195-0-AK</t>
  </si>
  <si>
    <t>2331196-0-AK</t>
  </si>
  <si>
    <t>2331197-0-AK</t>
  </si>
  <si>
    <t>2331198-0-AK</t>
  </si>
  <si>
    <t>2331199-0-AK</t>
  </si>
  <si>
    <t>2331200-0-AK</t>
  </si>
  <si>
    <t>2331201-0-AK</t>
  </si>
  <si>
    <t>2331202-0-AK</t>
  </si>
  <si>
    <t>2331203-0-AK</t>
  </si>
  <si>
    <t>2331204-0-AK</t>
  </si>
  <si>
    <t>2331205-0-AK</t>
  </si>
  <si>
    <t>2331206-0-AK</t>
  </si>
  <si>
    <t>2331208-0-AK</t>
  </si>
  <si>
    <t>2331209-0-AK</t>
  </si>
  <si>
    <t>2331210-0-AK</t>
  </si>
  <si>
    <t>2331211-0-AK</t>
  </si>
  <si>
    <t>2331212-0-AK</t>
  </si>
  <si>
    <t>2331213-0-AK</t>
  </si>
  <si>
    <t>2331214-0-AK</t>
  </si>
  <si>
    <t>2331215-0-AK</t>
  </si>
  <si>
    <t>2331216-0-AK</t>
  </si>
  <si>
    <t>2331217-0-AK</t>
  </si>
  <si>
    <t>2331218-0-AK</t>
  </si>
  <si>
    <t>2331219-0-AK</t>
  </si>
  <si>
    <t>2331224-0-AK</t>
  </si>
  <si>
    <t>2331225-0-AK</t>
  </si>
  <si>
    <t>1831192-C-AK-S</t>
  </si>
  <si>
    <t>656002-V-A</t>
  </si>
  <si>
    <t>656003-V-A</t>
  </si>
  <si>
    <t>656007-V-A</t>
  </si>
  <si>
    <t>656008-V-A</t>
  </si>
  <si>
    <t>1556112-K-A</t>
  </si>
  <si>
    <t>1556113-K-A</t>
  </si>
  <si>
    <t>2131131-C-A</t>
  </si>
  <si>
    <t>2131133-C-A</t>
  </si>
  <si>
    <t>1931005-E-AK</t>
  </si>
  <si>
    <t>2131477-A-AK</t>
  </si>
  <si>
    <t>1931008-E-AK</t>
  </si>
  <si>
    <t>1931006-E-AK</t>
  </si>
  <si>
    <t>1931007-E-AK</t>
  </si>
  <si>
    <t>1931010-E-AK</t>
  </si>
  <si>
    <t>2131475-A-AK</t>
  </si>
  <si>
    <t>1931009-E-AK</t>
  </si>
  <si>
    <t>2131478-A-AK</t>
  </si>
  <si>
    <t>2131480-A-AK</t>
  </si>
  <si>
    <t>1931308-B-AK</t>
  </si>
  <si>
    <t>1931309-B-AK</t>
  </si>
  <si>
    <t>1931310-B-AK</t>
  </si>
  <si>
    <t>1931311-B-AK</t>
  </si>
  <si>
    <t>2131087-D-A</t>
  </si>
  <si>
    <t>2131089-D-A</t>
  </si>
  <si>
    <t>2131530-A-AK</t>
  </si>
  <si>
    <t>2131531-A-AK</t>
  </si>
  <si>
    <t>2131534-A-AK</t>
  </si>
  <si>
    <t>2131535-A-AK</t>
  </si>
  <si>
    <t>2131538-A-AK</t>
  </si>
  <si>
    <t>2131539-A-AK</t>
  </si>
  <si>
    <t>2131737-A-AK</t>
  </si>
  <si>
    <t>2131739-A-AK</t>
  </si>
  <si>
    <t>2131741-A-AK</t>
  </si>
  <si>
    <t>2131743-A-AK</t>
  </si>
  <si>
    <t>2131745-A-AK</t>
  </si>
  <si>
    <t>2131747-A-AK</t>
  </si>
  <si>
    <t>2131476-A-AK</t>
  </si>
  <si>
    <t>2131479-A-AK</t>
  </si>
  <si>
    <t>2431021-0-AK</t>
  </si>
  <si>
    <t>2231223-0-AK</t>
  </si>
  <si>
    <t>2231225-0-AK</t>
  </si>
  <si>
    <t>1931114-D-AK</t>
  </si>
  <si>
    <t>1931113-D-AK</t>
  </si>
  <si>
    <t>2131695-D-A</t>
  </si>
  <si>
    <t>2131687-C-AK</t>
  </si>
  <si>
    <t>1931146-D-AK</t>
  </si>
  <si>
    <t>1831086-E-AK</t>
  </si>
  <si>
    <t>1831092-E-AK</t>
  </si>
  <si>
    <t>1831098-E-AK</t>
  </si>
  <si>
    <t>1531007-N-AK</t>
  </si>
  <si>
    <t>1531009-L-AK</t>
  </si>
  <si>
    <t>1531011-L-AK</t>
  </si>
  <si>
    <t>2131118-C-AK</t>
  </si>
  <si>
    <t>1831317-F-AK</t>
  </si>
  <si>
    <t>1831318-F-AK</t>
  </si>
  <si>
    <t>2031044-C-AK</t>
  </si>
  <si>
    <t>2031035-C-AK</t>
  </si>
  <si>
    <t>1831229-C-AK</t>
  </si>
  <si>
    <t>1831259-C-AK</t>
  </si>
  <si>
    <t>1831088-E-AK</t>
  </si>
  <si>
    <t>1831094-E-AK</t>
  </si>
  <si>
    <t>1831100-E-AK</t>
  </si>
  <si>
    <t>2131688-C-AK</t>
  </si>
  <si>
    <t>2131689-C-AK</t>
  </si>
  <si>
    <t>2131690-C-AK</t>
  </si>
  <si>
    <t>2131691-C-AK</t>
  </si>
  <si>
    <t>2131692-C-AK</t>
  </si>
  <si>
    <t>2131693-C-AK</t>
  </si>
  <si>
    <t>2131694-C-AK</t>
  </si>
  <si>
    <t>2131696-D-A</t>
  </si>
  <si>
    <t>2131697-D-A</t>
  </si>
  <si>
    <t>2131698-D-A</t>
  </si>
  <si>
    <t>2131699-C-A</t>
  </si>
  <si>
    <t>2131700-C-A</t>
  </si>
  <si>
    <t>2131701-C-A</t>
  </si>
  <si>
    <t>2131702-C-A</t>
  </si>
  <si>
    <t>2031148-D-AK</t>
  </si>
  <si>
    <t>2031032-F-AK</t>
  </si>
  <si>
    <t>1931080-D-AK</t>
  </si>
  <si>
    <t>1931081-D-AK</t>
  </si>
  <si>
    <t>2031005-E-AK</t>
  </si>
  <si>
    <t>2031006-E-AK</t>
  </si>
  <si>
    <t>2031007-E-AK</t>
  </si>
  <si>
    <t>2031008-E-AK</t>
  </si>
  <si>
    <t>2031009-E-AK</t>
  </si>
  <si>
    <t>2031010-E-AK</t>
  </si>
  <si>
    <t>2031011-E-AK</t>
  </si>
  <si>
    <t>2031012-E-AK</t>
  </si>
  <si>
    <t>2031013-E-AK</t>
  </si>
  <si>
    <t>2031014-E-AK</t>
  </si>
  <si>
    <t>2031015-E-AK</t>
  </si>
  <si>
    <t>2031016-E-AK</t>
  </si>
  <si>
    <t>2031017-E-AK</t>
  </si>
  <si>
    <t>2031018-E-AK</t>
  </si>
  <si>
    <t>2031019-E-AK</t>
  </si>
  <si>
    <t>2031020-E-AK</t>
  </si>
  <si>
    <t>2031021-E-AK</t>
  </si>
  <si>
    <t>2031022-E-AK</t>
  </si>
  <si>
    <t>1556125-H-AK</t>
  </si>
  <si>
    <t>1536014-F-AK</t>
  </si>
  <si>
    <t>656002-W-A</t>
  </si>
  <si>
    <t>656003-W-A</t>
  </si>
  <si>
    <t>656004-W-A</t>
  </si>
  <si>
    <t>656007-W-A</t>
  </si>
  <si>
    <t>656008-W-A</t>
  </si>
  <si>
    <t>1356020-L-AK</t>
  </si>
  <si>
    <t>1931108-E-AK</t>
  </si>
  <si>
    <t>2231001-B-AK</t>
  </si>
  <si>
    <t>2231002-B-AK</t>
  </si>
  <si>
    <t>2231003-B-AK</t>
  </si>
  <si>
    <t>2231004-B-AK</t>
  </si>
  <si>
    <t>2231005-B-AK</t>
  </si>
  <si>
    <t>2231006-B-AK</t>
  </si>
  <si>
    <t>2231007-B-AK</t>
  </si>
  <si>
    <t>2231008-B-AK</t>
  </si>
  <si>
    <t>2231009-B-AK</t>
  </si>
  <si>
    <t>2231010-B-AK</t>
  </si>
  <si>
    <t>2231011-B-AK</t>
  </si>
  <si>
    <t>2231012-B-AK</t>
  </si>
  <si>
    <t>2231013-B-AK</t>
  </si>
  <si>
    <t>2231014-B-AK</t>
  </si>
  <si>
    <t>2231015-B-AK</t>
  </si>
  <si>
    <t>2231016-B-AK</t>
  </si>
  <si>
    <t>2231017-B-AK</t>
  </si>
  <si>
    <t>2231018-B-AK</t>
  </si>
  <si>
    <t>2231019-B-AK</t>
  </si>
  <si>
    <t>2231020-B-AK</t>
  </si>
  <si>
    <t>2231021-B-AK</t>
  </si>
  <si>
    <t>2231022-B-AK</t>
  </si>
  <si>
    <t>2231023-A-AK</t>
  </si>
  <si>
    <t>2231024-A-AK</t>
  </si>
  <si>
    <t>2231025-A-AK</t>
  </si>
  <si>
    <t>2231026-A-AK</t>
  </si>
  <si>
    <t>2231027-A-AK</t>
  </si>
  <si>
    <t>2231028-A-AK</t>
  </si>
  <si>
    <t>2231029-A-AK</t>
  </si>
  <si>
    <t>2231030-A-AK</t>
  </si>
  <si>
    <t>2231031-A-AK</t>
  </si>
  <si>
    <t>2231032-A-AK</t>
  </si>
  <si>
    <t>2231033-A-AK</t>
  </si>
  <si>
    <t>2231034-A-AK</t>
  </si>
  <si>
    <t>2231035-B-AK</t>
  </si>
  <si>
    <t>2231036-B-AK</t>
  </si>
  <si>
    <t>2231037-B-AK</t>
  </si>
  <si>
    <t>2231038-B-AK</t>
  </si>
  <si>
    <t>2231039-B-AK</t>
  </si>
  <si>
    <t>2231040-B-AK</t>
  </si>
  <si>
    <t>2231041-A-AK</t>
  </si>
  <si>
    <t>2231042-A-AK</t>
  </si>
  <si>
    <t>2031023-E-AK</t>
  </si>
  <si>
    <t>2031024-E-AK</t>
  </si>
  <si>
    <t>2031027-E-AK</t>
  </si>
  <si>
    <t>2031028-E-AK</t>
  </si>
  <si>
    <t>2031031-F-AK</t>
  </si>
  <si>
    <t>2231224-0-AK</t>
  </si>
  <si>
    <t>2231226-0-AK</t>
  </si>
  <si>
    <t>1236008-L-AK</t>
  </si>
  <si>
    <t>2031153-0-AK</t>
  </si>
  <si>
    <t>2131686-C-AK</t>
  </si>
  <si>
    <t>2131703-C-A</t>
  </si>
  <si>
    <t>2131704-C-A</t>
  </si>
  <si>
    <t>2131705-C-A</t>
  </si>
  <si>
    <t>2131706-C-A</t>
  </si>
  <si>
    <t>2131707-C-A</t>
  </si>
  <si>
    <t>2131708-C-A</t>
  </si>
  <si>
    <t>2131709-B-AK</t>
  </si>
  <si>
    <t>2131710-B-AK</t>
  </si>
  <si>
    <t>2131711-B-AK</t>
  </si>
  <si>
    <t>2131712-B-AK</t>
  </si>
  <si>
    <t>2131713-B-AK</t>
  </si>
  <si>
    <t>2131714-B-AK</t>
  </si>
  <si>
    <t>2131715-B-AK</t>
  </si>
  <si>
    <t>2131716-B-AK</t>
  </si>
  <si>
    <t>2131717-B-AK</t>
  </si>
  <si>
    <t>2131718-B-AK</t>
  </si>
  <si>
    <t>2131719-B-AK</t>
  </si>
  <si>
    <t>2131720-B-AK</t>
  </si>
  <si>
    <t>2131721-C-AK</t>
  </si>
  <si>
    <t>2131722-C-AK</t>
  </si>
  <si>
    <t>2131723-C-AK</t>
  </si>
  <si>
    <t>2131724-C-AK</t>
  </si>
  <si>
    <t>2131725-B-A</t>
  </si>
  <si>
    <t>2131730-C-AK</t>
  </si>
  <si>
    <t>2131731-C-AK</t>
  </si>
  <si>
    <t>2131732-C-AK</t>
  </si>
  <si>
    <t>2131733-C-AK</t>
  </si>
  <si>
    <t>2131734-C-AK</t>
  </si>
  <si>
    <t>2131735-C-AK</t>
  </si>
  <si>
    <t>2331263-A-AK</t>
  </si>
  <si>
    <t>1436075-J-AK</t>
  </si>
  <si>
    <t>2131223-D-AK</t>
  </si>
  <si>
    <t>2131224-D-AK</t>
  </si>
  <si>
    <t>2131225-D-AK</t>
  </si>
  <si>
    <t>2131226-E-AK</t>
  </si>
  <si>
    <t>2131227-D-AK</t>
  </si>
  <si>
    <t>2131228-D-AK</t>
  </si>
  <si>
    <t>2131229-D-AK</t>
  </si>
  <si>
    <t>2131230-D-AK</t>
  </si>
  <si>
    <t>2131231-D-AK</t>
  </si>
  <si>
    <t>2131232-D-AK</t>
  </si>
  <si>
    <t>2131233-D-AK</t>
  </si>
  <si>
    <t>2131234-C-AK</t>
  </si>
  <si>
    <t>2131235-C-AK</t>
  </si>
  <si>
    <t>2131236-A-AK</t>
  </si>
  <si>
    <t>2131237-A-AK</t>
  </si>
  <si>
    <t>2131238-C-AK</t>
  </si>
  <si>
    <t>2131239-A-AK</t>
  </si>
  <si>
    <t>2131240-A-AK</t>
  </si>
  <si>
    <t>2131241-A-AK</t>
  </si>
  <si>
    <t>2131639-D-AK</t>
  </si>
  <si>
    <t>2131640-D-AK</t>
  </si>
  <si>
    <t>2131641-D-AK</t>
  </si>
  <si>
    <t>2131642-E-AK</t>
  </si>
  <si>
    <t>2131643-C-AK</t>
  </si>
  <si>
    <t>2131644-C-AK</t>
  </si>
  <si>
    <t>2131645-C-AK</t>
  </si>
  <si>
    <t>2131646-C-AK</t>
  </si>
  <si>
    <t>2131647-C-AK</t>
  </si>
  <si>
    <t>2131648-C-AK</t>
  </si>
  <si>
    <t>2131649-C-AK</t>
  </si>
  <si>
    <t>2131650-D-AK</t>
  </si>
  <si>
    <t>2131651-D-AK</t>
  </si>
  <si>
    <t>2131652-D-AK</t>
  </si>
  <si>
    <t>2131653-D-AK</t>
  </si>
  <si>
    <t>2131654-D-AK</t>
  </si>
  <si>
    <t>2131655-D-AK</t>
  </si>
  <si>
    <t>2131656-D-AK</t>
  </si>
  <si>
    <t>2131657-D-AK</t>
  </si>
  <si>
    <t>2131658-D-AK</t>
  </si>
  <si>
    <t>2131659-D-AK</t>
  </si>
  <si>
    <t>2131660-D-AK</t>
  </si>
  <si>
    <t>2131661-D-AK</t>
  </si>
  <si>
    <t>2131662-D-AK</t>
  </si>
  <si>
    <t>2131663-D-AK</t>
  </si>
  <si>
    <t>2131664-D-AK</t>
  </si>
  <si>
    <t>2131665-D-AK</t>
  </si>
  <si>
    <t>2131666-C-AK</t>
  </si>
  <si>
    <t>2131667-C-AK</t>
  </si>
  <si>
    <t>2131668-D-AK</t>
  </si>
  <si>
    <t>2131669-C-AK</t>
  </si>
  <si>
    <t>2131670-C-AK</t>
  </si>
  <si>
    <t>2131674-B-AK</t>
  </si>
  <si>
    <t>2131675-B-AK</t>
  </si>
  <si>
    <t>2131678-B-AK</t>
  </si>
  <si>
    <t>2131679-B-AK</t>
  </si>
  <si>
    <t>2131681-B-AK</t>
  </si>
  <si>
    <t>2131682-B-AK</t>
  </si>
  <si>
    <t>2131683-C-AK</t>
  </si>
  <si>
    <t>2131684-C-AK</t>
  </si>
  <si>
    <t>2131685-C-AK</t>
  </si>
  <si>
    <t>2231220-0-AK</t>
  </si>
  <si>
    <t>2231222-0-AK</t>
  </si>
  <si>
    <t>1831078-E-AK</t>
  </si>
  <si>
    <t>1831189-C-AK</t>
  </si>
  <si>
    <t>1831190-C-AK</t>
  </si>
  <si>
    <t>1831191-C-AK</t>
  </si>
  <si>
    <t>1831192-D-AK</t>
  </si>
  <si>
    <t>1831193-C-AK</t>
  </si>
  <si>
    <t>1831200-D-AK</t>
  </si>
  <si>
    <t>1831201-D-AK</t>
  </si>
  <si>
    <t>1831205-D-AK</t>
  </si>
  <si>
    <t>1831206-C-AK</t>
  </si>
  <si>
    <t>1831211-C-AK</t>
  </si>
  <si>
    <t>1831212-C-AK</t>
  </si>
  <si>
    <t>1831228-C-AK</t>
  </si>
  <si>
    <t>1831238-D-AK</t>
  </si>
  <si>
    <t>1931082-D-AK</t>
  </si>
  <si>
    <t>2031061-A-AK</t>
  </si>
  <si>
    <t>2031062-A-AK</t>
  </si>
  <si>
    <t>2031063-A-AK</t>
  </si>
  <si>
    <t>2031125-A-AK</t>
  </si>
  <si>
    <t>2031126-A-AK</t>
  </si>
  <si>
    <t>2031127-A-AK</t>
  </si>
  <si>
    <t>2031025-E-AK</t>
  </si>
  <si>
    <t>2031254-E-AK</t>
  </si>
  <si>
    <t>2031255-E-AK</t>
  </si>
  <si>
    <t>2031256-E-AK</t>
  </si>
  <si>
    <t>2131687-C-AK-M</t>
  </si>
  <si>
    <t>2031287-B-AK</t>
  </si>
  <si>
    <t>2031288-B-AK</t>
  </si>
  <si>
    <t>2031289-B-AK</t>
  </si>
  <si>
    <t>2031290-B-AK</t>
  </si>
  <si>
    <t>2031291-B-AK</t>
  </si>
  <si>
    <t>2031292-B-AK</t>
  </si>
  <si>
    <t>2031293-B-AK</t>
  </si>
  <si>
    <t>2031294-B-AK</t>
  </si>
  <si>
    <t>2031295-B-AK</t>
  </si>
  <si>
    <t>1536015-H-AK</t>
  </si>
  <si>
    <t>1931017-F-A</t>
  </si>
  <si>
    <t>1556120-J-AK</t>
  </si>
  <si>
    <t>1556126-H-AK</t>
  </si>
  <si>
    <t>1556127-H-AK</t>
  </si>
  <si>
    <t>1556128-K-AK</t>
  </si>
  <si>
    <t>1556129-K-AK</t>
  </si>
  <si>
    <t>1731040-G-AK</t>
  </si>
  <si>
    <t>1731044-G-AK</t>
  </si>
  <si>
    <t>1731046-H-AK</t>
  </si>
  <si>
    <t>1731047-H-AK</t>
  </si>
  <si>
    <t>1731050-H-AK</t>
  </si>
  <si>
    <t>1731053-G-AK</t>
  </si>
  <si>
    <t>1731056-G-AK</t>
  </si>
  <si>
    <t>1731064-G-AK</t>
  </si>
  <si>
    <t>1731065-G-AK</t>
  </si>
  <si>
    <t>2331088-0-AK-S</t>
  </si>
  <si>
    <t>2131003-0-AK</t>
  </si>
  <si>
    <t>2131004-0-AK</t>
  </si>
  <si>
    <t>2131005-0-AK</t>
  </si>
  <si>
    <t>2131007-0-AK</t>
  </si>
  <si>
    <t>2131008-0-AK</t>
  </si>
  <si>
    <t>2131010-0-AK</t>
  </si>
  <si>
    <t>2131011-0-AK</t>
  </si>
  <si>
    <t>2131013-0-AK</t>
  </si>
  <si>
    <t>2131074-0-AK</t>
  </si>
  <si>
    <t>2131075-0-AK</t>
  </si>
  <si>
    <t>2131101-0-AK</t>
  </si>
  <si>
    <t>2131103-0-AK</t>
  </si>
  <si>
    <t>2131104-0-AK</t>
  </si>
  <si>
    <t>2131107-0-AK</t>
  </si>
  <si>
    <t>2131109-0-AK</t>
  </si>
  <si>
    <t>2131106-0-AK</t>
  </si>
  <si>
    <t>2031155-0-AK</t>
  </si>
  <si>
    <t>2131031-0-AK</t>
  </si>
  <si>
    <t>2131033-0-AK</t>
  </si>
  <si>
    <t>2131035-0-AK</t>
  </si>
  <si>
    <t>2131037-0-AK</t>
  </si>
  <si>
    <t>2131052-0-AK</t>
  </si>
  <si>
    <t>2131054-0-AK</t>
  </si>
  <si>
    <t>2131056-0-AK</t>
  </si>
  <si>
    <t>2131058-0-AK</t>
  </si>
  <si>
    <t>2131066-0-AK</t>
  </si>
  <si>
    <t>1556112-L-A</t>
  </si>
  <si>
    <t>1556113-L-A</t>
  </si>
  <si>
    <t>1556128-L-AK</t>
  </si>
  <si>
    <t>1731064-H-AK</t>
  </si>
  <si>
    <t>0956007-R-AK</t>
  </si>
  <si>
    <t>0956008-R-AK</t>
  </si>
  <si>
    <t>0956009-Q-AK</t>
  </si>
  <si>
    <t>0956010-Q-AK</t>
  </si>
  <si>
    <t>0956011-T-AK</t>
  </si>
  <si>
    <t>0956012-S-AK</t>
  </si>
  <si>
    <t>1236001-M-AK</t>
  </si>
  <si>
    <t>1436196-P-A</t>
  </si>
  <si>
    <t>1931091-F-AK</t>
  </si>
  <si>
    <t>1931103-F-AK</t>
  </si>
  <si>
    <t>1931104-F-AK</t>
  </si>
  <si>
    <t>1931110-E-AK</t>
  </si>
  <si>
    <t>2231120-0-AK</t>
  </si>
  <si>
    <t>2231121-0-AK</t>
  </si>
  <si>
    <t>2231118-0-AK</t>
  </si>
  <si>
    <t>2331125-0-AK</t>
  </si>
  <si>
    <t>2231116-0-AK</t>
  </si>
  <si>
    <t>2031029-E-AK</t>
  </si>
  <si>
    <t>2131589-B-AK</t>
  </si>
  <si>
    <t>2131592-B-AK</t>
  </si>
  <si>
    <t>2131742-B-AK</t>
  </si>
  <si>
    <t>2131744-B-AK</t>
  </si>
  <si>
    <t>2131746-B-AK</t>
  </si>
  <si>
    <t>2231110-B-AK</t>
  </si>
  <si>
    <t>2231111-B-AK</t>
  </si>
  <si>
    <t>2231112-B-AK</t>
  </si>
  <si>
    <t>2231113-B-AK</t>
  </si>
  <si>
    <t>0956007-S-AK</t>
  </si>
  <si>
    <t>0956008-S-AK</t>
  </si>
  <si>
    <t>0956009-R-AK</t>
  </si>
  <si>
    <t>0956010-R-AK</t>
  </si>
  <si>
    <t>0956011-U-AK</t>
  </si>
  <si>
    <t>0956012-T-AK</t>
  </si>
  <si>
    <t>2231117-0-AK</t>
  </si>
  <si>
    <t>10B1005-F-AK</t>
  </si>
  <si>
    <t>10B1004-F-AK</t>
  </si>
  <si>
    <t>2231227-0-AK</t>
  </si>
  <si>
    <t>2231228-0-AK</t>
  </si>
  <si>
    <t>2231229-0-AK</t>
  </si>
  <si>
    <t>2231230-0-AK</t>
  </si>
  <si>
    <t>2231231-0-AK</t>
  </si>
  <si>
    <t>2231232-0-AK</t>
  </si>
  <si>
    <t>2231233-0-AK</t>
  </si>
  <si>
    <t>2231234-0-AK</t>
  </si>
  <si>
    <t>2131593-B-AK</t>
  </si>
  <si>
    <t>1831261-C-AK</t>
  </si>
  <si>
    <t>2031271-B-AK</t>
  </si>
  <si>
    <t>2031272-B-AK</t>
  </si>
  <si>
    <t>2031274-B-AK</t>
  </si>
  <si>
    <t>2431033-0-AK</t>
  </si>
  <si>
    <t>2431034-0-AK</t>
  </si>
  <si>
    <t>2431037-0-AK</t>
  </si>
  <si>
    <t>2431038-0-AK</t>
  </si>
  <si>
    <t>2531055-0-AK</t>
  </si>
  <si>
    <t>2531056-0-AK</t>
  </si>
  <si>
    <t>2531057-0-AK</t>
  </si>
  <si>
    <t>2431025-0-AK</t>
  </si>
  <si>
    <t>2431026-0-AK</t>
  </si>
  <si>
    <t>2431027-0-AK</t>
  </si>
  <si>
    <t>2431028-0-AK</t>
  </si>
  <si>
    <t>2431029-0-AK</t>
  </si>
  <si>
    <t>2431030-0-AK</t>
  </si>
  <si>
    <t>2431031-0-AK</t>
  </si>
  <si>
    <t>2431032-0-AK</t>
  </si>
  <si>
    <t>2431035-0-AK</t>
  </si>
  <si>
    <t>2431036-0-AK</t>
  </si>
  <si>
    <t>1556001-H-AK</t>
  </si>
  <si>
    <t>1556002-H-AK</t>
  </si>
  <si>
    <t>1556003-G-AK</t>
  </si>
  <si>
    <t>1556004-G-AK</t>
  </si>
  <si>
    <t>1556005-G-AK</t>
  </si>
  <si>
    <t>1556006-G-AK</t>
  </si>
  <si>
    <t>1556007-H-AK</t>
  </si>
  <si>
    <t>1556008-H-AK</t>
  </si>
  <si>
    <t>1556009-H-AK</t>
  </si>
  <si>
    <t>1556010-H-AK</t>
  </si>
  <si>
    <t>1556035-J-AK</t>
  </si>
  <si>
    <t>1556036-J-AK</t>
  </si>
  <si>
    <t>1556037-K-AK</t>
  </si>
  <si>
    <t>1556038-K-AK</t>
  </si>
  <si>
    <t>1556039-J-AK</t>
  </si>
  <si>
    <t>1556040-J-AK</t>
  </si>
  <si>
    <t>1556041-H-AK</t>
  </si>
  <si>
    <t>1556042-H-AK</t>
  </si>
  <si>
    <t>1556043-J-AK</t>
  </si>
  <si>
    <t>1556044-J-AK</t>
  </si>
  <si>
    <t>1556045-H-AK</t>
  </si>
  <si>
    <t>1556046-H-AK</t>
  </si>
  <si>
    <t>1556047-J-AK</t>
  </si>
  <si>
    <t>1556048-L-AK</t>
  </si>
  <si>
    <t>1556049-K-AK</t>
  </si>
  <si>
    <t>1556050-M-AK</t>
  </si>
  <si>
    <t>1556051-J-AK</t>
  </si>
  <si>
    <t>1556052-L-AK</t>
  </si>
  <si>
    <t>1556053-H-AK</t>
  </si>
  <si>
    <t>1556054-H-AK</t>
  </si>
  <si>
    <t>1556055-J-AK</t>
  </si>
  <si>
    <t>1556056-J-AK</t>
  </si>
  <si>
    <t>1556057-H-AK</t>
  </si>
  <si>
    <t>1556058-H-AK</t>
  </si>
  <si>
    <t>1556059-H-AK</t>
  </si>
  <si>
    <t>1556060-H-AK</t>
  </si>
  <si>
    <t>1556061-J-AK</t>
  </si>
  <si>
    <t>1556062-J-AK</t>
  </si>
  <si>
    <t>1556063-H-AK</t>
  </si>
  <si>
    <t>1556064-H-AK</t>
  </si>
  <si>
    <t>1631048-H-AK</t>
  </si>
  <si>
    <t>1631049-H-AK</t>
  </si>
  <si>
    <t>1731081-E-AK</t>
  </si>
  <si>
    <t>1731082-E-AK</t>
  </si>
  <si>
    <t>1731084-F-AK</t>
  </si>
  <si>
    <t>1731101-F-AK</t>
  </si>
  <si>
    <t>1731102-F-AK</t>
  </si>
  <si>
    <t>1731103-F-AK</t>
  </si>
  <si>
    <t>1731104-F-AK</t>
  </si>
  <si>
    <t>1731107-F-AK</t>
  </si>
  <si>
    <t>1731108-F-AK</t>
  </si>
  <si>
    <t>1731109-F-AK</t>
  </si>
  <si>
    <t>1731110-F-AK</t>
  </si>
  <si>
    <t>1731119-E-AK</t>
  </si>
  <si>
    <t>1731120-E-AK</t>
  </si>
  <si>
    <t>1731121-E-AK</t>
  </si>
  <si>
    <t>1731122-E-AK</t>
  </si>
  <si>
    <t>1731135-E-AK</t>
  </si>
  <si>
    <t>1731136-E-AK</t>
  </si>
  <si>
    <t>1731137-E-AK</t>
  </si>
  <si>
    <t>1731138-E-AK</t>
  </si>
  <si>
    <t>1731139-E-AK</t>
  </si>
  <si>
    <t>1731140-E-AK</t>
  </si>
  <si>
    <t>1731141-E-AK</t>
  </si>
  <si>
    <t>1731142-E-AK</t>
  </si>
  <si>
    <t>1731143-D-AK</t>
  </si>
  <si>
    <t>1731144-D-AK</t>
  </si>
  <si>
    <t>1731145-D-AK</t>
  </si>
  <si>
    <t>1731146-D-AK</t>
  </si>
  <si>
    <t>1731159-E-A</t>
  </si>
  <si>
    <t>1731170-E-AK</t>
  </si>
  <si>
    <t>1731171-E-AK</t>
  </si>
  <si>
    <t>1731174-E-AK</t>
  </si>
  <si>
    <t>1731175-E-AK</t>
  </si>
  <si>
    <t>1731176-E-AK</t>
  </si>
  <si>
    <t>1731177-E-AK</t>
  </si>
  <si>
    <t>1731180-E-AK</t>
  </si>
  <si>
    <t>1731181-E-AK</t>
  </si>
  <si>
    <t>2331122-0-AK</t>
  </si>
  <si>
    <t>2331127-0-AK</t>
  </si>
  <si>
    <t>2131042-0-AK</t>
  </si>
  <si>
    <t>2131063-0-AK</t>
  </si>
  <si>
    <t>2031023-F-AK</t>
  </si>
  <si>
    <t>2031024-F-AK</t>
  </si>
  <si>
    <t>2031025-F-AK</t>
  </si>
  <si>
    <t>2031026-F-AK</t>
  </si>
  <si>
    <t>2031027-F-AK</t>
  </si>
  <si>
    <t>2031028-F-AK</t>
  </si>
  <si>
    <t>2031029-F-AK</t>
  </si>
  <si>
    <t>2031030-F-AK</t>
  </si>
  <si>
    <t>2031031-G-AK</t>
  </si>
  <si>
    <t>2031032-G-AK</t>
  </si>
  <si>
    <t>2031033-G-AK</t>
  </si>
  <si>
    <t>2031034-G-AK</t>
  </si>
  <si>
    <t>2031254-F-AK</t>
  </si>
  <si>
    <t>2031255-F-AK</t>
  </si>
  <si>
    <t>2031256-F-AK</t>
  </si>
  <si>
    <t>2031259-E-AK</t>
  </si>
  <si>
    <t>2031262-E-AK</t>
  </si>
  <si>
    <t>2131588-B-AK</t>
  </si>
  <si>
    <t>2451002-0-A</t>
  </si>
  <si>
    <t>2451003-0-A</t>
  </si>
  <si>
    <t>2031042-0-A</t>
  </si>
  <si>
    <t>1831192-D-AK-S</t>
  </si>
  <si>
    <t>10B1003-F-AK</t>
  </si>
  <si>
    <t>1536013-H-AK</t>
  </si>
  <si>
    <t>1536015-K-AK</t>
  </si>
  <si>
    <t>2131024-A-AK</t>
  </si>
  <si>
    <t>2131027-A-AK</t>
  </si>
  <si>
    <t>2531249-0-A</t>
  </si>
  <si>
    <t>2531252-0-A</t>
  </si>
  <si>
    <t>2031287-C-AK</t>
  </si>
  <si>
    <t>2031290-C-AK</t>
  </si>
  <si>
    <t>2031293-C-AK</t>
  </si>
  <si>
    <t>2231142-0-A</t>
  </si>
  <si>
    <t>2231143-0-A</t>
  </si>
  <si>
    <t>2231144-0-A</t>
  </si>
  <si>
    <t>2231145-0-A</t>
  </si>
  <si>
    <t>2231146-0-A</t>
  </si>
  <si>
    <t>2231147-0-A</t>
  </si>
  <si>
    <t>1931017-G-A</t>
  </si>
  <si>
    <t>2531273-0-AK</t>
  </si>
  <si>
    <t>2531277-0-AK</t>
  </si>
  <si>
    <t>2531290-0-AK</t>
  </si>
  <si>
    <t>2531294-0-AK</t>
  </si>
  <si>
    <t>2531241-0-AK</t>
  </si>
  <si>
    <t>2531263-0-AK</t>
  </si>
  <si>
    <t>2531265-0-AK</t>
  </si>
  <si>
    <t>2131695-D-A-R</t>
  </si>
  <si>
    <t>2131530-B-AK</t>
  </si>
  <si>
    <t>2131538-B-AK</t>
  </si>
  <si>
    <t>2131535-B-AK</t>
  </si>
  <si>
    <t>2131539-B-AK</t>
  </si>
  <si>
    <t>2131531-B-AK</t>
  </si>
  <si>
    <t>2131534-B-AK</t>
  </si>
  <si>
    <t>2131743-B-AK</t>
  </si>
  <si>
    <t>2131745-B-AK</t>
  </si>
  <si>
    <t>2131737-B-AK</t>
  </si>
  <si>
    <t>2131747-B-AK</t>
  </si>
  <si>
    <t>2131739-B-AK</t>
  </si>
  <si>
    <t>2131741-B-AK</t>
  </si>
  <si>
    <t>2131087-E-A</t>
  </si>
  <si>
    <t>2131089-E-A</t>
  </si>
  <si>
    <t>1556126-J-AK</t>
  </si>
  <si>
    <t>1556127-J-AK</t>
  </si>
  <si>
    <t>1731038-J-AK</t>
  </si>
  <si>
    <t>1731044-H-AK</t>
  </si>
  <si>
    <t>1731050-J-AK</t>
  </si>
  <si>
    <t>1731056-H-AK</t>
  </si>
  <si>
    <t>2231221-0-AK</t>
  </si>
  <si>
    <t>2131585-B-AK</t>
  </si>
  <si>
    <t>2131738-B-AK</t>
  </si>
  <si>
    <t>2531356-0-AK</t>
  </si>
  <si>
    <t xml:space="preserve">Streaming 14 135cm </t>
  </si>
  <si>
    <t xml:space="preserve">Streaming 14 165cm </t>
  </si>
  <si>
    <t>Streaming 14 180cm</t>
  </si>
  <si>
    <t>Streaming 14 180cm Angle</t>
  </si>
  <si>
    <t>Streaming 18 165cm</t>
  </si>
  <si>
    <t>Streaming 18 180cm</t>
  </si>
  <si>
    <t>ASAHI PTCA Guide Wire ASAHI SION blue ES 190cm</t>
  </si>
  <si>
    <t>ASAHI Peripheral Guide  Wire ASAHI Halberd18 Straight 300cm</t>
  </si>
  <si>
    <t>ASAHI Peripheral Guide Wire ASAHI Halberd14 Pre-shape 300cm</t>
  </si>
  <si>
    <t>ASAHI Peripheral Guide Wire ASAHI Halberd18 Pre-shape 300cm</t>
  </si>
  <si>
    <t>ASAHI Peripheral Guide Wire ASAHI Halberd14 Straight 300cm</t>
  </si>
  <si>
    <t>ASAHI Peripheral Guide Wire ASAHI Halberd18 Straight 200cm</t>
  </si>
  <si>
    <t>ASAHI Peripheral Guide Wire ASAHI Halberd14 Pre-shape 235cm</t>
  </si>
  <si>
    <t>ASAHI Peripheral Guide Wire ASAHI Halberd18 Pre-shape 200cm</t>
  </si>
  <si>
    <t>ASAHI Peripheral Guide Wire ASAHI Halberd18 Straight 235cm</t>
  </si>
  <si>
    <t>ASAHI Peripheral Guide Wire ASAHI Halberd18 Pre-shape 235cm</t>
  </si>
  <si>
    <t>ASAHI PTCA Guide Wire FIELDER XT 300cm</t>
  </si>
  <si>
    <t>ASAHI PTCA Guide Wire ASAHI SION blue ES 300cm J</t>
  </si>
  <si>
    <t>ASAHI PTCA Guide Wire ASAHI SION blue ES 190cm J</t>
  </si>
  <si>
    <t>ASAHI PTCA Guide Wire ASAHI SION  blue ES 300cm</t>
  </si>
  <si>
    <t>ASAHI PTCA Guide Wire ASAHI SION blue 300cm</t>
  </si>
  <si>
    <t>ASAHI PTCA Guide Wire ASAHI SION blue 300cm J</t>
  </si>
  <si>
    <t>ASAHI PTCA Guide Wire ASAHI Gaia Next 3 190cm Pre-shape</t>
  </si>
  <si>
    <t>ASAHI PTCA Guide Wire ASAHI SION 300cm</t>
  </si>
  <si>
    <t>Soutenir NV 3mm</t>
  </si>
  <si>
    <t>Soutenir CV 7mm</t>
  </si>
  <si>
    <t>Soutenir CV 3mm (Short type)</t>
  </si>
  <si>
    <t>Soutenir CV 5mm (Short type)</t>
  </si>
  <si>
    <t>ASAHI PTCA Guide Wire ASAHI SION blue 190cm Pre-shape</t>
  </si>
  <si>
    <t>ASAHI PTCA Guide Wire ASAHI SION 190cm Pre-shape</t>
  </si>
  <si>
    <t>ASAHI PTCA Guide Wire ASAHI SION 180cm</t>
  </si>
  <si>
    <t xml:space="preserve">ASAHI PTCA Guide Wire ASAHI SION 300cm </t>
  </si>
  <si>
    <t>ASAHI PTCA Guide Wire ASAHI SION 180cm J</t>
  </si>
  <si>
    <t>ASAHI PTCA Guide Wire ASAHI SION 300cm J</t>
  </si>
  <si>
    <t>ASAHI PTCA Guide Wire ASAHI SION 300cm Pre-shape</t>
  </si>
  <si>
    <t>ASAHI PTCA Guide Wire ASAHI SION 190cm</t>
  </si>
  <si>
    <t>ASAHI PTCA Guide Wire ASAHI SION 190cm J</t>
  </si>
  <si>
    <t>ASAHI PTCA Guide Wire ASAHI SION blue 180cm</t>
  </si>
  <si>
    <t>ASAHI PTCA Guide Wire ASAHI SION blue 180cm J</t>
  </si>
  <si>
    <t>ASAHI PTCA Guide Wire ASAHI SION blue 300cm Pre-shape</t>
  </si>
  <si>
    <t>ASAHI PTCA Guide Wire ASAHI Gladius EX14 300cm Straight</t>
  </si>
  <si>
    <t>ASAHI PTCA Guide Wire ASAHI Gladius MG14 300cm Straight</t>
  </si>
  <si>
    <t>ASAHI PTCA Guide Wire ASAHI Gladius EX14 200cm Straight</t>
  </si>
  <si>
    <t>ASAHI PTCA Guide Wire ASAHI Gladius EX14 300cm Pre-shape</t>
  </si>
  <si>
    <t>STREAMING 14 135CM</t>
  </si>
  <si>
    <t>STREAMING 14 165CM</t>
  </si>
  <si>
    <t>ASAHI Peripheral Guide Wire Treasure 12</t>
  </si>
  <si>
    <t>ASAHI Peripheral Guide Wire Treasure 12 300cm</t>
  </si>
  <si>
    <t>ASAHI Peripheral Guide Wire Treasure Floppy</t>
  </si>
  <si>
    <t>ASAHI Peripheral Guide Wire Treasure Floppy 300cm</t>
  </si>
  <si>
    <t>ASAHI Peripheral Guide Wire Astato 30</t>
  </si>
  <si>
    <t>ASAHI Peripheral Guide Wire Astato XS 20</t>
  </si>
  <si>
    <t>ASAHI PTCA Guide Wire Fielder XT-R 300cm</t>
  </si>
  <si>
    <t>ASAHI PTCA Guide Wire ASAHI Gaia Second Pre-shape 300cm</t>
  </si>
  <si>
    <t>ASAHI PTCA Guide Wire ASAHI Gaia Second Straight 190cm</t>
  </si>
  <si>
    <t>ASAHI PTCA Guide Wire ASAHI Gaia Second Straight 300cm</t>
  </si>
  <si>
    <t>ASAHI PTCA Guide Wire ASAHI Gaia First Pre-shape 300cm</t>
  </si>
  <si>
    <t>ASAHI PTCA Guide Wire ASAHI Gaia First Straight 190cm</t>
  </si>
  <si>
    <t>ASAHI PTCA Guide Wire ASAHI Gaia First Straight 300cm</t>
  </si>
  <si>
    <t>ASAHI PTCA Guide Wire ASAHI Gaia Third Straight 190cm</t>
  </si>
  <si>
    <t>ASAHI PTCA Guide Wire ASAHI Gaia Third Straight 300cm</t>
  </si>
  <si>
    <t>ASAHI PTCA Guide Wire Fielder 300cm</t>
  </si>
  <si>
    <t>ASAHI PTCA Guide Wire Fielder FC 180cm J</t>
  </si>
  <si>
    <t>ASAHI PTCA Guide Wire Fielder FC 300cm J</t>
  </si>
  <si>
    <t>ASAHI PTCA Guide Wire Route 180cm J</t>
  </si>
  <si>
    <t>ASAHI PTCA Guide Wire Rinato 300cm</t>
  </si>
  <si>
    <t>ASAHI PTCA Guide Wire Rinato 300cm J</t>
  </si>
  <si>
    <t>ASAHI PTCA Guide Wire Miracle 3 180cm J</t>
  </si>
  <si>
    <t>ASAHI PTCA Guide Wire Miracle 3 300cm J</t>
  </si>
  <si>
    <t>ASAHI PTCA Guide Wire Miracle 6 180cm J</t>
  </si>
  <si>
    <t>ASAHI PTCA Guide Wire Miracle 6 300cm J</t>
  </si>
  <si>
    <t>ASAHI PTCA Guide Wire ULTIMATEbros 3 300cm</t>
  </si>
  <si>
    <t>ASAHI PTCA Guide Wire ULTIMATEbros 3 180cm J</t>
  </si>
  <si>
    <t>ASAHI PTCA Guide Wire ULTIMATEbros 3 300cm J</t>
  </si>
  <si>
    <t>ASAHI PTCA Guide Wire Soft 300cm</t>
  </si>
  <si>
    <t>ASAHI PTCA Guide Wire Soft 300cm J</t>
  </si>
  <si>
    <t>ASAHI PTCA Guide Wire Grand Slam 180cm J</t>
  </si>
  <si>
    <t>ASAHI PTCA Guide Wire Grand Slam 300cm J</t>
  </si>
  <si>
    <t>ASAHI PTCA Guide Wire Conquest Pro 180cm J</t>
  </si>
  <si>
    <t>ASAHI Peripheral Guide Wire ASAHI Gladius14 Straight 200cm</t>
  </si>
  <si>
    <t>ASAHI Peripheral Guide Wire ASAHI Gladius14 Pre-shape 200cm</t>
  </si>
  <si>
    <t>ASAHI Peripheral Guide Wire ASAHI Gladius14 Straight 235cm</t>
  </si>
  <si>
    <t>ASAHI Peripheral Guide Wire ASAHI Gladius14 Pre-shape 235cm</t>
  </si>
  <si>
    <t>ASAHI Peripheral Guide Wire ASAHI Gladius14 Pre-shape 300cm</t>
  </si>
  <si>
    <t>ASAHI Peripheral Guide Wire ASAHI Gladius18 Straight 200cm</t>
  </si>
  <si>
    <t>ASAHI Peripheral Guide Wire ASAHI Gladius18 Pre-shape 200cm</t>
  </si>
  <si>
    <t>ASAHI Peripheral Guide Wire ASAHI Gladius18 Straight 235cm</t>
  </si>
  <si>
    <t>ASAHI Peripheral Guide Wire ASAHI Gladius18 Pre-shape 235cm</t>
  </si>
  <si>
    <t>ASAHI Peripheral Guide Wire ASAHI Gladius18 Pre-shape 300cm</t>
  </si>
  <si>
    <t>ASAHI Peripheral Guide Wire ASAHI Gaia PV18 Straight 200cm</t>
  </si>
  <si>
    <t>ASAHI Peripheral Guide Wire ASAHI Gaia PV18 Pre-shape 200cm</t>
  </si>
  <si>
    <t>ASAHI Peripheral Guide Wire Gladius14 straight 300cm</t>
  </si>
  <si>
    <t>ASAHI Peripheral Guide Wire ASAHI Halberd14 Straight 200cm</t>
  </si>
  <si>
    <t>ASAHI Peripheral Guide Wire ASAHI Halberd14 Pre-shape 200cm</t>
  </si>
  <si>
    <t>ASAHI Peripheral Guide Wire ASAHI Halberd14 Straight 235cm</t>
  </si>
  <si>
    <t>ASAHI PTCA Guide Wire ASAHI RG3 330cm</t>
  </si>
  <si>
    <t>ASAHI PTCA Guide Wire Soft 180cm</t>
  </si>
  <si>
    <t>ASAHI PTCA Guide Wire Grand Slam 180cm</t>
  </si>
  <si>
    <t>ASAHI PTCA Guide Wire Miracle 3 180cm</t>
  </si>
  <si>
    <t>ASAHI PTCA Guide Wire Miracle 6 180cm</t>
  </si>
  <si>
    <t>ASAHI PTCA Guide Wire Miracle 12 180cm</t>
  </si>
  <si>
    <t>ASAHI PTCA Guide Wire Route 180cm</t>
  </si>
  <si>
    <t>ASAHI Peripheral Guide Wire ASAHI Halberd14 Pre-Shape 300cm</t>
  </si>
  <si>
    <t>ASAHI Peripheral Guide Wire ASAHI Halberd18 Pre-Shape 200cm</t>
  </si>
  <si>
    <t>ASAHI Peripheral Guide Wire ASAHI Halberd18 Pre-Shape 235cm</t>
  </si>
  <si>
    <t>ASAHI Peripheral Guide Wire ASAHI Halberd18 Straight 300cm</t>
  </si>
  <si>
    <t>ASAHI Peripheral Guide Wire ASAHI Halberd 18  Pre-shape  300cm</t>
  </si>
  <si>
    <t>ASAHI PTCA Guide Wire Rinato 180cm</t>
  </si>
  <si>
    <t>ASAHI PTCA Guide Wire MIRACLEbros 12 180cm J</t>
  </si>
  <si>
    <t>ASAHI PTCA Guide Wire GRAND SLAM 300cm</t>
  </si>
  <si>
    <t>ASAHI PTCA Guide Wire GRAND SLAM 180cm</t>
  </si>
  <si>
    <t>ASAHI PTCA Guide Wire SOFT 300 cm</t>
  </si>
  <si>
    <t>ASAHI PTCA Guide Wire  MIRACLE bros3 180 cm</t>
  </si>
  <si>
    <t>ASAHI PTCA Guide Wire  MIRACLE bros6 180 cm</t>
  </si>
  <si>
    <t>ASAHI PTCA Guide Wire  MIRACLE bros12 180 cm</t>
  </si>
  <si>
    <t>ASAHI PTCA Guide Wire  MIRACLE bros3 300 cm</t>
  </si>
  <si>
    <t>ASAHI PTCA Guide Wire  MIRACLE bros6 300 cm</t>
  </si>
  <si>
    <t>ASAHI PTCA Guide Wire  MIRACLE bros12 300 cm</t>
  </si>
  <si>
    <t>ASAHI PTCA Guide Wire GRAND SLAM 300 cm J</t>
  </si>
  <si>
    <t>ASAHI PTCA  Guide Wire Fielder XT-R 190cm</t>
  </si>
  <si>
    <t>ASAHI PTCA  Guide Wire Fielder XT-A 190cm</t>
  </si>
  <si>
    <t>ASAHI PTCA Guide Wire Fielder XT-A 300cm</t>
  </si>
  <si>
    <t>ASAHI Peripheral Guide Wire Regalia XS 1.0 300cm</t>
  </si>
  <si>
    <t>ASAHI PTCA Guide Wire GRAND SLAM 180cm J</t>
  </si>
  <si>
    <t>ASAHI Peripheral Guide Wire Regalia XS 1.0</t>
  </si>
  <si>
    <t>ASAHI PTCA Guide Wire Fielder 180cm J</t>
  </si>
  <si>
    <t>ASAHI PTCA Guide Wire Fielder XT 190cm</t>
  </si>
  <si>
    <t>ASAHI PTCA Guide Wire Fielder XT 300cm</t>
  </si>
  <si>
    <t>ASAHI PTCA Guide Wire Rinato 180cm J</t>
  </si>
  <si>
    <t>ASAHI PTCA Guide Wire Conquest Pro 180cm</t>
  </si>
  <si>
    <t>ASAHI PTCA Guide Wire Conquest Pro 300cm</t>
  </si>
  <si>
    <t>ASAHI PTCA Guide Wire Conquest Pro 12 180cm</t>
  </si>
  <si>
    <t xml:space="preserve">ASAHI PTCA Guide Wire ASAHI SION blue 300cm </t>
  </si>
  <si>
    <t>ASAHI PTCA Guide Wire ASAHI SION</t>
  </si>
  <si>
    <t>ASAHI PTCA Guide Wire ASAHI SION blue 190cm</t>
  </si>
  <si>
    <t>ASAHI PTCA Guide Wire ASAHI SION blue 190cm J</t>
  </si>
  <si>
    <t>PCI Guide Wire ASAHI Gaia Next 1 190cm Pre-shape</t>
  </si>
  <si>
    <t>PCI Guide Wire ASAHI Gaia Next 2 190cm Pre-shape</t>
  </si>
  <si>
    <t>PCI Guide Wire ASAHI Gaia Next 3 190cm Pre-shape</t>
  </si>
  <si>
    <t>PCI Guide Wire ASAHI Gaia Next 1 235cm Pre-shape</t>
  </si>
  <si>
    <t>PCI Guide Wire ASAHI Gaia Next 1 300cm Pre-shape</t>
  </si>
  <si>
    <t>PCI Guide Wire ASAHI Gaia Next 2 235cm Pre-shape</t>
  </si>
  <si>
    <t>PCI Guide Wire ASAHI Gaia Next 2 300cm Pre-shape</t>
  </si>
  <si>
    <t>PCI Guide Wire ASAHI Gaia Next 3 235cm Pre-shape</t>
  </si>
  <si>
    <t>PCI Guide Wire ASAHI Gaia Next 3 300cm Pre-shape</t>
  </si>
  <si>
    <t>ASAHI PTCA Guide Wire ASAHI Gladius EX14 200cm Pre-shape</t>
  </si>
  <si>
    <t>Soutenir 3mm</t>
  </si>
  <si>
    <t>Soutenir 5mm</t>
  </si>
  <si>
    <t>Soutenir 7mm</t>
  </si>
  <si>
    <t>ASAHI PTCA Guide Wire ASAHI Gladius MG14 190cm Pre-shape</t>
  </si>
  <si>
    <t>ASAHI PTCA Guide Wire ASAHI Gladius MG14 190cm Straight</t>
  </si>
  <si>
    <t>ASAHI PTCA Guide Wire ASAHI Gladius MG14 300cm Pre-shape</t>
  </si>
  <si>
    <t>ASAHI PTCA Guide Wire ASAHI Gladius MG14  ES 190cm Pre-shape</t>
  </si>
  <si>
    <t>ASAHI PTCA Guide Wire Grand Slam 300cm</t>
  </si>
  <si>
    <t>ASAHI PTCA Guide Wire ASAHI Miracle Neo 3 Straight 190cm</t>
  </si>
  <si>
    <t>PCI Guide Wire MINAMO 300cm Straight</t>
  </si>
  <si>
    <t>PCI Guide Wire MINAMO 300cm Pre-shape</t>
  </si>
  <si>
    <t>ASAHI Extension Wire Extension 165cm</t>
  </si>
  <si>
    <t>ASAHI PTCA Guide Wire ASAHI Conquest Pro 8-20 190cm Pre-shape</t>
  </si>
  <si>
    <t>ASAHI Peripheral Guide Wire ASAHI Gladius MG14 PV 190cm Pre-shape</t>
  </si>
  <si>
    <t>ASAHI Peripheral Guide Wire ASAHI Gladius MG14 PV 190cm Straight</t>
  </si>
  <si>
    <t>ASAHI Peripheral Guide Wire ASAHI Gladius MG14 PV 235cm Straight</t>
  </si>
  <si>
    <t>ASAHI Peripheral Guide Wire ASAHI Gladius MG14 PV 300cm Straight</t>
  </si>
  <si>
    <t>ASAHI Peripheral Guide Wire ASAHI Gladius MG14 PV ES 190cm Pre-shape</t>
  </si>
  <si>
    <t>ASAHI Peripheral Guide Wire ASAHI Gladius MG14 PV ES 190cm Straight</t>
  </si>
  <si>
    <t>ASAHI Peripheral Guide Wire ASAHI Gladius MG14 PV ES 235cm Straight</t>
  </si>
  <si>
    <t>ASAHI Peripheral Guide Wire ASAHI Gladius MG18 PV ES 190cm Pre-shape</t>
  </si>
  <si>
    <t>ASAHI Peripheral Guide Wire ASAHI Gladius MG18 PV ES 190cm Straight</t>
  </si>
  <si>
    <t>ASAHI Peripheral Guide Wire ASAHI Gladius MG18 PV ES 235cm Straight</t>
  </si>
  <si>
    <t>ASAHI Peripheral Guide Wire Gladius18 Pre-shape 235cm</t>
  </si>
  <si>
    <t>ASAHI Peripheral Guide Wire Gladius18 Straight 235cm</t>
  </si>
  <si>
    <t>ASAHI Peripheral Guide Wire Gladius18 straight 300cm</t>
  </si>
  <si>
    <t>ASAHI Peripheral Guide Wire Halberd14 Pre-shape 200cm</t>
  </si>
  <si>
    <t>Soutenir CV 3mm (Short Type)</t>
  </si>
  <si>
    <t>Soutenir CV 5mm (Short Type)</t>
  </si>
  <si>
    <t>ASAHI PTCA Guide Wire SOFT 300cm J</t>
  </si>
  <si>
    <t>Streaming 14 135cm</t>
  </si>
  <si>
    <t>Streaming 14 165cm</t>
  </si>
  <si>
    <t>ASAHI PTCA Guide Wire Fielder FC 180cm</t>
  </si>
  <si>
    <t>ASAHI PTCA Guide Wire Fielder FC 300cm</t>
  </si>
  <si>
    <t>ASAHI PTCA Guide Wire Fielder XT-A 190cm</t>
  </si>
  <si>
    <t>ASAHI PTCA Guide Wire Fielder XT-R 190cm</t>
  </si>
  <si>
    <t>ASAHI Peripheral Guide Wire ASAHI Gladius14 Straight 300cm</t>
  </si>
  <si>
    <t>ASAHI Peripheral Guide Wire ASAHI Gladius18 Straight 300cm</t>
  </si>
  <si>
    <t>ASAHI PTCA Guide Wire ASAHI Gladius MG14 ES 190cm Pre-shape</t>
  </si>
  <si>
    <t>ASAHI PTCA Guide Wire ASAHI Gladius MG14 ES 190cm Straight</t>
  </si>
  <si>
    <t>ASAHI PTCA Guide Wire ASAHI Gladius MG14 ES 300cm Pre-shape</t>
  </si>
  <si>
    <t>ASAHI Peripheral Guide Wire ASAHI Gladius MG14 PV ES 235cm Pre-shape</t>
  </si>
  <si>
    <t>ASAHI Peripheral Guide Wire ASAHI Gladius MG14 PV ES 300cm Pre-shape</t>
  </si>
  <si>
    <t>ASAHI Peripheral Guide Wire ASAHI Gladius MG14 PV ES 300cm Straight</t>
  </si>
  <si>
    <t>ASAHI Peripheral Guide Wire ASAHI Gladius MG18 PV ES 235cm Pre-shape</t>
  </si>
  <si>
    <t>ASAHI Peripheral Guide Wire ASAHI Gladius MG18 PV ES 300cm Pre-shape</t>
  </si>
  <si>
    <t>ASAHI Peripheral Guide Wire ASAHI Gladius MG18 PV ES 300cm Straight</t>
  </si>
  <si>
    <t>ASAHI Peripheral Guide Wire Gladius14 Pre-shape 200cm</t>
  </si>
  <si>
    <t>ASAHI Peripheral Guide Wire Gladius14 Pre-shape 235cm</t>
  </si>
  <si>
    <t>ASAHI Peripheral Guide Wire Gladius18 pre-shape 200cm</t>
  </si>
  <si>
    <t>ASAHI PTCA Guide Wire ASAHI SION black STRAIGHT</t>
  </si>
  <si>
    <t>ASAHI PTCA Guide Wire ASAHI SION black Straight 190cm</t>
  </si>
  <si>
    <t>ASAHI PTCA Guide Wire ASAHI SION black Straight 300cm</t>
  </si>
  <si>
    <t>ASAHI PTCA Guide Wire ASAHI SION black Pre-shape 190cm</t>
  </si>
  <si>
    <t>ASAHI PTCA Guide Wire ASAHI SION black Pre-shape 300cm</t>
  </si>
  <si>
    <t>ASAHI PTCA Guide Wire ASAHI SION black 190cm J</t>
  </si>
  <si>
    <t>ASAHI PTCA Guide Wire ASAHI SION black 300cm J</t>
  </si>
  <si>
    <t>ASAHI PTCA Guide Wire FIELDER XT 190cm</t>
  </si>
  <si>
    <t>ASAHI PTCA Guide Wire FIELDER XT-R 190cm</t>
  </si>
  <si>
    <t>ASAHI PTCA Guide Wire FIELDER XT-R 300cm</t>
  </si>
  <si>
    <t>ASAHI PTCA Guide Wire FIELDER XT-A 190cm</t>
  </si>
  <si>
    <t>ASAHI PTCA Guide Wire FIELDER XT-A 300cm</t>
  </si>
  <si>
    <t>ASAHI PTCA Guide Wire FIELDER 180cm</t>
  </si>
  <si>
    <t>ASAHI PTCA Guide Wire FIELDER 300cm</t>
  </si>
  <si>
    <t>ASAHI PTCA Guide Wire FIELDER 180cm J</t>
  </si>
  <si>
    <t>ASAHI PTCA Guide Wire FIELDER FC 180cm</t>
  </si>
  <si>
    <t>ASAHI PTCA Guide Wire FIELDER FC 300cm</t>
  </si>
  <si>
    <t>ASAHI PTCA Guide Wire FIELDER FC 180cmJ</t>
  </si>
  <si>
    <t>ASAHI PTCA Guide Wire ASAHI Gladius Mongo14 ES 300cm Pre-shape</t>
  </si>
  <si>
    <t>ASAHI PTCA Guide Wire ASAHI Gladius Mongo14 ES 300cm Straight</t>
  </si>
  <si>
    <t>ASAHI PTCA Guide Wire ASAHI Gladius Mongo14 ES 190cm Pre-shape</t>
  </si>
  <si>
    <t>ASAHI PTCA Guide Wire ASAHI Gladius Mongo14 ES 190cm Straight</t>
  </si>
  <si>
    <t>ASAHI Peripheral Guide Wire Regalia XS 1.0 180cm</t>
  </si>
  <si>
    <t>ASAHI PTCA Guide Wire Soft 180cm J</t>
  </si>
  <si>
    <t>ASAHI PTCA Guide Wire Miracle 3 300cm</t>
  </si>
  <si>
    <t>ASAHI PTCA Guide Wire Miracle 6 300cm</t>
  </si>
  <si>
    <t>ASAHI PTCA Guide Wire MIRACLEbros 3 180cm</t>
  </si>
  <si>
    <t>ASAHI PTCA Guide Wire MIRACLEbros 3 300cm</t>
  </si>
  <si>
    <t>ASAHI PTCA Guide Wire MIRACLEbros 6 180cm</t>
  </si>
  <si>
    <t>ASAHI PTCA Guide Wire MIRACLEbros 6 300cm</t>
  </si>
  <si>
    <t>ASAHI PTCA Guide Wire MIRACLEbros 12 180cm</t>
  </si>
  <si>
    <t>ASAHI PTCA Guide Wire MIRACLEbros 12 300cm</t>
  </si>
  <si>
    <t>ASAHI Gladius Mongo 18 PV ES 190cm Straight</t>
  </si>
  <si>
    <t>ASAHI Gladius Mongo 18 PV ES 235cm Straight</t>
  </si>
  <si>
    <t>ASAHI Gladius Mongo 18 PV ES 300cm Straight</t>
  </si>
  <si>
    <t>ASAHI Gladius Mongo 18 PV ES 190cm Pre-shape</t>
  </si>
  <si>
    <t>ASAHI Gladius Mongo 18 PV ES 235cm Pre-shape</t>
  </si>
  <si>
    <t>ASAHI Gladius Mongo 18 PV ES 300cm Pre-shape</t>
  </si>
  <si>
    <t xml:space="preserve">ASAHI PTCA Guide Wire Fielder XT 190cm </t>
  </si>
  <si>
    <t>ASAHI PTCA Guide Wire Conquest Pro 300cm J</t>
  </si>
  <si>
    <t>ASAHI Peripheral Guide Wire Astato 30 180cm</t>
  </si>
  <si>
    <t>ASAHI Peripheral Guide Wire Astato 30 300cm</t>
  </si>
  <si>
    <t>ASAHI Peripheral Guide Wire Treasure 12 180cm</t>
  </si>
  <si>
    <t>ASAHI PTCA Guide Wire ASAHI Gaia First Pre-shape 190cm</t>
  </si>
  <si>
    <t>ASAHI PTCA Guide Wire ASAHI Gaia Second Pre-shape 190cm</t>
  </si>
  <si>
    <t>ASAHI PTCA Guide Wire ASAHI Gaia Third Pre-shape 190cm</t>
  </si>
  <si>
    <t>ASAHI PTCA Guide Wire ASAHI Gaia Third Pre-shape 300cm</t>
  </si>
  <si>
    <t>ASAHI PTCA Guide Wire Conquest Pro 8-20 180cm</t>
  </si>
  <si>
    <t>ASAHI PTCA Guide Wire Fielder 180cm</t>
  </si>
  <si>
    <t>ASAHI PTCA Guide Wire ASAHI SION blue ES 190cm Pre-shape</t>
  </si>
  <si>
    <t>ASAHI PTCA Guide Wire ASAHI SION blue ES 300cm Pre-shape</t>
  </si>
  <si>
    <t>ASAHI PTCA Guide Wire ASAHI SION blue ES 300cm</t>
  </si>
  <si>
    <t>ASAHI PTCA Guide Wire ASAHI Gladius MG14 ES 300cm Straight</t>
  </si>
  <si>
    <t>ASAHI PTCA Guide Wire PROWATER 180cm J</t>
  </si>
  <si>
    <t>ASAHI PTCA Guide Wire Route 300cm</t>
  </si>
  <si>
    <t>ASAHI PTCA Guide Wire PROWATERflex 180cm</t>
  </si>
  <si>
    <t>ASAHI PTCA Guide Wire PROWATERflex 180cm J</t>
  </si>
  <si>
    <t>ASAHI PTCA Guide Wire PROWATERflex 300cm</t>
  </si>
  <si>
    <t>ASAHI PTCA Guide Wire PROWATER 180cm</t>
  </si>
  <si>
    <t>ASAHI PTCA Guide Wire PROWATER 300cm</t>
  </si>
  <si>
    <t>ASAHI PTCA Guide Wire PROWATER 300cm J</t>
  </si>
  <si>
    <t>ASAHI PTCA Guide Wire ULTIMATEbros 3 180cm</t>
  </si>
  <si>
    <t>ASAHI Peripheral Guide Wire ASAHI Gladius MG14 PV 235cm Pre-shape</t>
  </si>
  <si>
    <t>ASAHI Peripheral Guide Wire ASAHI Gladius MG14 PV 300cm Pre-shape</t>
  </si>
  <si>
    <t>ASAHI Peripheral Guide Wire ASAHI Gaia PV18 Pre-shape 235cm</t>
  </si>
  <si>
    <t>ASAHI Peripheral Guide Wire ASAHI Gaia PV18 Pre-shape 300cm</t>
  </si>
  <si>
    <t>ASAHI Peripheral Guide Wire ASAHI Gaia PV18 Straight 300cm</t>
  </si>
  <si>
    <t>ASAHI Peripheral Guide Wire ASAHI Gaia PV18 Straight 235cm</t>
  </si>
  <si>
    <t>ASAHI Peripheral Guide Wire Astato XS 20 180cm</t>
  </si>
  <si>
    <t>ASAHI Peripheral Guide Wire Astato XS 20 300cm</t>
  </si>
  <si>
    <t>ASAHI Peripheral Guide Wire Astato XS 40 200cm</t>
  </si>
  <si>
    <t>ASAHI Peripheral Guide Wire Astato XS 40 300cm</t>
  </si>
  <si>
    <t>CROSSLEAD 0.035inch 200cm Angle</t>
  </si>
  <si>
    <t>CROSSLEAD 0.035inch 300cm Angle</t>
  </si>
  <si>
    <t>PCI Guide Wire MINAMO 190cm Straight</t>
  </si>
  <si>
    <t>ASAHI Gladius Mongo18 PV ES 300cm Straight</t>
  </si>
  <si>
    <t>PCI Guide Wire MINAMO 190cm J</t>
  </si>
  <si>
    <t>PCI Guide Wire MINAMO 190cm Pre-shape</t>
  </si>
  <si>
    <t>ASAHI Gladius Mongo18 PV ES 190cm Straight</t>
  </si>
  <si>
    <t>PCI Guide Wire MINAMO 300cm J</t>
  </si>
  <si>
    <t>ASAHI Gladius Mongo18 PV ES 190cm Pre-shape</t>
  </si>
  <si>
    <t>ASAHI Gladius Mongo18 PV ES 300cm Pre-shape</t>
  </si>
  <si>
    <t>CONFIANZA PRO 8-20 190cm Pre-shape</t>
  </si>
  <si>
    <t>CONFIANZA PRO 8-20 190cm Straight</t>
  </si>
  <si>
    <t>CONFIANZA PRO 8-20 300cm Pre-shape</t>
  </si>
  <si>
    <t>CONFIANZA PRO 8-20 300cm Straight</t>
  </si>
  <si>
    <t>CROSSLEAD Penetration 200cm Straight</t>
  </si>
  <si>
    <t>CROSSLEAD Penetration 200cm pre-shape</t>
  </si>
  <si>
    <t>CROSSLEAD Penetration 235cm Straight</t>
  </si>
  <si>
    <t>CROSSLEAD Penetration 235cm pre-shape</t>
  </si>
  <si>
    <t>CROSSLEAD Penetration 300cm Straight</t>
  </si>
  <si>
    <t>CROSSLEAD Penetration 300cm pre-shape</t>
  </si>
  <si>
    <t>ASAHI Gladius Mongo18 PV ES 235cm Straight</t>
  </si>
  <si>
    <t>ASAHI Gladius Mongo18 PV ES 235cm Pre-shape</t>
  </si>
  <si>
    <t>PCI Guide Wire ASAHI Conquest Pro 12 S-ST 190cm Pre-shape</t>
  </si>
  <si>
    <t>CROSSLEAD 0.014inch 235cm Straight</t>
  </si>
  <si>
    <t>CROSSLEAD 0.014inch 300cm Straight</t>
  </si>
  <si>
    <t>ASAHI PTCA Guide Wire ASAHI Gladius EX 200cm Pre-shape</t>
  </si>
  <si>
    <t>ASAHI PTCA Guide Wire ASAHI Gaia Next 1 190cm Pre-shape</t>
  </si>
  <si>
    <t>ASAHI PTCA Guide Wire ASAHI Gaia Next 2 190cm Pre-shape</t>
  </si>
  <si>
    <t>ASAHI PCI Guide Wire ASAHI Gaia Next 4 190cm Pre-shape</t>
  </si>
  <si>
    <t>ASAHI PTCA Guide Wire ASAHI Conquest Pro 12 190cm Pre-shape</t>
  </si>
  <si>
    <t>ASAHI PTCA Guide Wire ASAHI Conquest Pro 12 ST 190cm Pre-shape</t>
  </si>
  <si>
    <t>ASAHI PTCA Guide Wire ASAHI Miracle Neo 3 pre-shape 190cm</t>
  </si>
  <si>
    <t>ASAHI Peripheral Guide Wire Treasure</t>
  </si>
  <si>
    <t xml:space="preserve">ASAHI Peripheral Guide Wire ASAHI Gladius MG14 PV 190cm Pre-shape </t>
  </si>
  <si>
    <t xml:space="preserve">ASAHI Peripheral Guide Wire ASAHI Gladius MG14 PV 235cm Pre-shape </t>
  </si>
  <si>
    <t xml:space="preserve">ASAHI Peripheral Guide Wire ASAHI Gladius MG14 PV 300cm Pre-shape </t>
  </si>
  <si>
    <t xml:space="preserve">ASAHI Peripheral Guide Wire ASAHI Gladius MG14 PV ES 190cm Pre-shape </t>
  </si>
  <si>
    <t xml:space="preserve">ASAHI Peripheral Guide Wire ASAHI Gladius MG14 PV ES 235cm Pre-shape </t>
  </si>
  <si>
    <t xml:space="preserve">ASAHI Peripheral Guide Wire ASAHI Gladius MG14 PV ES 300cm Pre-shape </t>
  </si>
  <si>
    <t xml:space="preserve">ASAHI Peripheral Guide Wire ASAHI Gladius MG18 PV ES 190cm Pre-shape </t>
  </si>
  <si>
    <t xml:space="preserve">ASAHI Peripheral Guide Wire ASAHI Gladius MG18 PV ES 235cm Pre-shape </t>
  </si>
  <si>
    <t xml:space="preserve">ASAHI Peripheral Guide Wire ASAHI Gladius MG18 PV ES 300cm Pre-shape </t>
  </si>
  <si>
    <t>ASAHI Peripheral Guide Wire Treasure Floppy 190cm</t>
  </si>
  <si>
    <t xml:space="preserve">ASAHI Peripheral Guide Wire ASAHI Halberd14 Pre-shape 235cm </t>
  </si>
  <si>
    <t xml:space="preserve">ASAHI Peripheral Guide Wire ASAHI Halberd14 Straight 300cm </t>
  </si>
  <si>
    <t xml:space="preserve">ASAHI Peripheral Guide Wire ASAHI Halberd14 Pre-shape 300cm </t>
  </si>
  <si>
    <t xml:space="preserve">ASAHI Peripheral Guide Wire ASAHI Halberd18 Straight 200cm </t>
  </si>
  <si>
    <t xml:space="preserve">ASAHI Peripheral Guide Wire ASAHI Halberd18 Pre-shape 200cm </t>
  </si>
  <si>
    <t xml:space="preserve">ASAHI Peripheral Guide Wire ASAHI Halberd18 Straight 235cm </t>
  </si>
  <si>
    <t xml:space="preserve">ASAHI Peripheral Guide Wire ASAHI Halberd18 Pre-shape 235cm </t>
  </si>
  <si>
    <t xml:space="preserve">ASAHI Peripheral Guide Wire ASAHI Gaia PV18 Pre-shape 235cm </t>
  </si>
  <si>
    <t xml:space="preserve">ASAHI Peripheral Guide Wire ASAHI Gaia PV18 Pre-shape 300cm </t>
  </si>
  <si>
    <t xml:space="preserve">ASAHI Peripheral Guide Wire ASAHI Gaia PV18 Pre-shape 200cm </t>
  </si>
  <si>
    <t xml:space="preserve">ASAHI Peripheral Guide Wire ASAHI Halberd14 Straight 200cm </t>
  </si>
  <si>
    <t xml:space="preserve">ASAHI Peripheral Guide Wire ASAHI Halberd14 Pre-shape 200cm </t>
  </si>
  <si>
    <t xml:space="preserve">ASAHI Peripheral Guide Wire ASAHI Halberd14 Straight 235cm </t>
  </si>
  <si>
    <t xml:space="preserve">ASAHI Peripheral Guide Wire ASAHI Halberd18 Straight 300cm </t>
  </si>
  <si>
    <t xml:space="preserve">ASAHI Peripheral Guide Wire ASAHI Halberd18 Pre-shape 300cm </t>
  </si>
  <si>
    <t xml:space="preserve">ASAHI Peripheral Guide Wire ASAHI Gladius14 Straight 200cm </t>
  </si>
  <si>
    <t xml:space="preserve">ASAHI Peripheral Guide Wire ASAHI Gladius14 Pre-shape 200cm </t>
  </si>
  <si>
    <t xml:space="preserve">ASAHI Peripheral Guide Wire ASAHI Gladius14 Straight 235cm </t>
  </si>
  <si>
    <t xml:space="preserve">ASAHI Peripheral Guide Wire ASAHI Gladius14 Pre-shape 235cm </t>
  </si>
  <si>
    <t xml:space="preserve">ASAHI Peripheral Guide Wire ASAHI Gladius14 Straight 300cm </t>
  </si>
  <si>
    <t xml:space="preserve">ASAHI Peripheral Guide Wire ASAHI Gladius14 Pre-shape 300cm </t>
  </si>
  <si>
    <t xml:space="preserve">ASAHI Peripheral Guide Wire ASAHI Gladius18 Straight 200cm </t>
  </si>
  <si>
    <t xml:space="preserve">ASAHI Peripheral Guide Wire ASAHI Gladius18 Pre-shape 200cm </t>
  </si>
  <si>
    <t xml:space="preserve">ASAHI Peripheral Guide Wire ASAHI Gladius18 Straight 235cm </t>
  </si>
  <si>
    <t xml:space="preserve">ASAHI Peripheral Guide Wire ASAHI Gladius18 Pre-shape 235cm </t>
  </si>
  <si>
    <t xml:space="preserve">ASAHI Peripheral Guide Wire ASAHI Gladius18 Straight 300cm </t>
  </si>
  <si>
    <t xml:space="preserve">ASAHI Peripheral Guide Wire ASAHI Gladius18 Pre-shape 300cm </t>
  </si>
  <si>
    <t>CROSSLEAD 0.014inch 235cm Pre-shape</t>
  </si>
  <si>
    <t>CROSSLEAD 0.014inch 300cm Pre-shape</t>
  </si>
  <si>
    <t>PCI Guide Wire Miracle Neo 3 190cm Pre-shape</t>
  </si>
  <si>
    <t>ASAHI PTCA Guide Wire Miracle 12 300cm</t>
  </si>
  <si>
    <t>ASAHI PTCA Guide Wire CONFIANZA PRO 180cm</t>
  </si>
  <si>
    <t>ASAHI PTCA Guide Wire CONFIANZA PRO 300cm</t>
  </si>
  <si>
    <t>ASAHI PTCA Guide Wire CONFIANZA PRO 12 180cm</t>
  </si>
  <si>
    <t>ASAHI PTCA Guide Wire CONFIANZA PRO 12 300cm</t>
  </si>
  <si>
    <t>CROSSLEAD 0.14inch 100cm Pre-shape</t>
  </si>
  <si>
    <t>CROSSLEAD 0.14inch 200cm Pre-shape</t>
  </si>
  <si>
    <t xml:space="preserve">ASAHI PTCA Guide Wire ASAHI Gladius MG14 300cm Pre-shape </t>
  </si>
  <si>
    <t>ASAHI Peripheral Guide Wire Cruise 300cm</t>
  </si>
  <si>
    <t>ASAHI Peripheral Guide Wire Cruise</t>
  </si>
  <si>
    <t>ASAHI PTCA Guide Wire ASAHI ULTIMATEbros 3</t>
  </si>
  <si>
    <t>ASAHI PTCA Guide Wire Conquest Pro</t>
  </si>
  <si>
    <t>PCI Guide Wire Gaia Next 1 300cm Pre-shape</t>
  </si>
  <si>
    <t>PCI Guide Wire Gaia Next 2 300cm Pre-shape</t>
  </si>
  <si>
    <t>PCI Guide Wire Gaia Next 3 300cm Pre-shape</t>
  </si>
  <si>
    <t>PCI Guide Wire Gaia Next 1 190cm Pre-shape</t>
  </si>
  <si>
    <t>PCI Guide Wire Gaia Next 2 190cm Pre-shape</t>
  </si>
  <si>
    <t>PCI Guide Wire Gaia Next 3 190cm Pre-shape</t>
  </si>
  <si>
    <t>PCI Guide Wire Grand Slam 180cm Straight</t>
  </si>
  <si>
    <t>PCI Guide Wire Grand Slam 300cm Straight</t>
  </si>
  <si>
    <t>PCI Guide Wire Miracle 3 180cm Straight</t>
  </si>
  <si>
    <t>PCI Guide Wire Miracle 3 300cm Straight</t>
  </si>
  <si>
    <t>PCI Guide Wire Miracle 6 180cm Straight</t>
  </si>
  <si>
    <t>PCI Guide Wire Miracle 6 300cm Straight</t>
  </si>
  <si>
    <t>PCI Guide Wire Miracle 12 180cm Straight</t>
  </si>
  <si>
    <t>PCI Guide Wire Miracle 12 300cm Straight</t>
  </si>
  <si>
    <t>PCI Guide Wire Grand Slam 180cm J-shape</t>
  </si>
  <si>
    <t>PCI Guide Wire Grand Slam 300cm J-shape</t>
  </si>
  <si>
    <t>PCI Guide Wire MIRACLEbros 3 180cm Straight</t>
  </si>
  <si>
    <t>PCI Guide Wire MIRACLEbros 3 300cm Straight</t>
  </si>
  <si>
    <t>PCI Guide Wire MIRACLEbros 6 180cm Straight</t>
  </si>
  <si>
    <t>PCI Guide Wire MIRACLEbros 12 180cm Straight</t>
  </si>
  <si>
    <t>PCI Guide Wire MIRACLEbros 12 300cm Straight</t>
  </si>
  <si>
    <t>PCI Guide Wire MIRACLEbros 6 300cm Straight</t>
  </si>
  <si>
    <t>PCI Guide Wire Miracle Neo 3 300cm Pre-shape</t>
  </si>
  <si>
    <t>PCI Guide Wire Conquest Pro 190cm</t>
  </si>
  <si>
    <t>PCI Guide Wire Conquest Pro 300cm</t>
  </si>
  <si>
    <t>PCI Guide Wire Conquest Pro 12 190cm</t>
  </si>
  <si>
    <t>PCI Guide Wire Conquest Pro 12 300cm</t>
  </si>
  <si>
    <t>PCI Guide Wire Confianza Pro 190cm</t>
  </si>
  <si>
    <t>PCI Guide Wire Confianza Pro 300cm</t>
  </si>
  <si>
    <t>PCI Guide Wire Confianza Pro 12 190cm</t>
  </si>
  <si>
    <t>PCI Guide Wire Confianza Pro 12 300cm</t>
  </si>
  <si>
    <t>PCI Guide Wire Confianza Pro 12 190cm Pre-Shape</t>
  </si>
  <si>
    <t>CROSSLEAD Tracker 300cm Straight</t>
  </si>
  <si>
    <t>CROSSLEAD Tracker 300cm Pre-shape</t>
  </si>
  <si>
    <t>CROSSLEAD Tracker 235cm Straight</t>
  </si>
  <si>
    <t>PCI Guide Wire CELHAWK 190cm Pre-shape</t>
  </si>
  <si>
    <t>CROSSLEAD Tracker 200cm Straight</t>
  </si>
  <si>
    <t>CROSSLEAD Penetration 300cm straight</t>
  </si>
  <si>
    <t>CROSSLEAD Tracker 235cm pre-shape</t>
  </si>
  <si>
    <t>CROSSLEAD Tracker 300cm pre-shape</t>
  </si>
  <si>
    <t>CROSSLEAD Tracker 200cm pre-shape</t>
  </si>
  <si>
    <t>CROSSLEAD 0.014inch 100cm Straight</t>
  </si>
  <si>
    <t>CROSSLEAD 0.014inch 100cm Pre-shape</t>
  </si>
  <si>
    <t>CROSSLEAD 0.014inch 200cm Straight</t>
  </si>
  <si>
    <t>CROSSLEAD 0.014inch 200cm Pre-shape</t>
  </si>
  <si>
    <t>CROSSLEAD 0.018inch 100cm Straight</t>
  </si>
  <si>
    <t>CROSSLEAD 0.018inch 200cm Straight</t>
  </si>
  <si>
    <t>CROSSLEAD 0.018inch 200cm Pre-shape</t>
  </si>
  <si>
    <t>CROSSLEAD 0.018inch 300cm Straight</t>
  </si>
  <si>
    <t>CROSSLEAD 0.018inch 300cm Pre-shape</t>
  </si>
  <si>
    <t>CROSSLEAD 0.018inch 100cm Pre-shape</t>
  </si>
  <si>
    <t>CROSSLEAD 0.018inch 235cm Straight</t>
  </si>
  <si>
    <t>CROSSLEAD 0.018inch 235cm Pre-shape</t>
  </si>
  <si>
    <t>Peripheral Guide Wire Treasure 12 180cm</t>
  </si>
  <si>
    <t xml:space="preserve">Peripheral Guide Wire Treasure 12 300cm </t>
  </si>
  <si>
    <t xml:space="preserve">Peripheral Guide Wire Regalia XS 1.0 180cm </t>
  </si>
  <si>
    <t>Peripheral Guide Wire Regalia XS 1.0 300cm</t>
  </si>
  <si>
    <t xml:space="preserve">Peripheral Guide Wire Astato 30 180cm </t>
  </si>
  <si>
    <t xml:space="preserve">Peripheral Guide Wire Astato 30 300cm </t>
  </si>
  <si>
    <t>Peripheral Guide Wire Treasure Floppy 190cm</t>
  </si>
  <si>
    <t xml:space="preserve">Peripheral Guide Wire Treasure Floppy 300cm </t>
  </si>
  <si>
    <t xml:space="preserve">Peripheral Guide Wire Astato XS 20 180cm </t>
  </si>
  <si>
    <t xml:space="preserve">Peripheral Guide Wire Astato XS 20 300cm </t>
  </si>
  <si>
    <t xml:space="preserve">Peripheral Guide Wire ASAHI Gladius14 Straight 200cm </t>
  </si>
  <si>
    <t xml:space="preserve">Peripheral Guide Wire ASAHI Gladius14 Pre-shape 200cm </t>
  </si>
  <si>
    <t>Peripheral Guide Wire ASAHI Gladius14 Straight 235cm</t>
  </si>
  <si>
    <t xml:space="preserve">Peripheral Guide Wire ASAHI Gladius14 Pre-shape 235cm </t>
  </si>
  <si>
    <t>Peripheral Guide Wire ASAHI Gladius14 Straight 300cm</t>
  </si>
  <si>
    <t xml:space="preserve">Peripheral Guide Wire ASAHI Gladius14 Pre-shape 300cm </t>
  </si>
  <si>
    <t>Peripheral Guide Wire ASAHI Gladius18 Straight 200cm</t>
  </si>
  <si>
    <t xml:space="preserve">Peripheral Guide Wire ASAHI Gladius18 Pre-shape 200cm </t>
  </si>
  <si>
    <t xml:space="preserve">Peripheral Guide Wire ASAHI Gladius18 Straight 235cm </t>
  </si>
  <si>
    <t xml:space="preserve">Peripheral Guide Wire ASAHI Gladius18 Pre-shape 235cm </t>
  </si>
  <si>
    <t xml:space="preserve">Peripheral Guide Wire ASAHI Gladius18 Straight 300cm </t>
  </si>
  <si>
    <t xml:space="preserve">Peripheral Guide Wire ASAHI Gladius18 Pre-shape 300cm </t>
  </si>
  <si>
    <t>Peripheral Guide Wire ASAHI Halberd14 Straight 200cm</t>
  </si>
  <si>
    <t xml:space="preserve">Peripheral Guide Wire ASAHI Halberd14 Pre-shape 200cm </t>
  </si>
  <si>
    <t xml:space="preserve">Peripheral Guide Wire ASAHI Halberd14 Straight 235cm </t>
  </si>
  <si>
    <t xml:space="preserve">Peripheral Guide Wire ASAHI Halberd14 Pre-shape 235cm </t>
  </si>
  <si>
    <t xml:space="preserve">Peripheral Guide Wire ASAHI Halberd14 Straight 300cm </t>
  </si>
  <si>
    <t xml:space="preserve">Peripheral Guide Wire ASAHI Halberd14 Pre-shape 300cm </t>
  </si>
  <si>
    <t xml:space="preserve">Peripheral Guide Wire ASAHI Halberd18 Straight 200cm </t>
  </si>
  <si>
    <t xml:space="preserve">Peripheral Guide Wire ASAHI Halberd18 Pre-shape 200cm </t>
  </si>
  <si>
    <t xml:space="preserve">Peripheral Guide Wire ASAHI Halberd18 Straight 235cm </t>
  </si>
  <si>
    <t>Peripheral Guide Wire ASAHI Halberd18 Pre-shape 235cm</t>
  </si>
  <si>
    <t>Peripheral Guide Wire ASAHI Halberd18 Straight 300cm</t>
  </si>
  <si>
    <t>Peripheral Guide Wire ASAHI Halberd18 Pre-shape 300cm</t>
  </si>
  <si>
    <t xml:space="preserve">Peripheral Guide Wire ASAHI Gaia PV18 Straight 200cm </t>
  </si>
  <si>
    <t>Peripheral Guide Wire ASAHI Gaia PV18 Pre-shape 200cm</t>
  </si>
  <si>
    <t xml:space="preserve">Peripheral Guide Wire ASAHI Gaia PV18 Straight 235cm </t>
  </si>
  <si>
    <t xml:space="preserve">Peripheral Guide Wire ASAHI Gaia PV18 Pre-shape 235cm </t>
  </si>
  <si>
    <t xml:space="preserve">Peripheral Guide Wire ASAHI Gaia PV18 Straight 300cm </t>
  </si>
  <si>
    <t>Peripheral Guide Wire ASAHI Gaia PV18 Pre-shape 300cm</t>
  </si>
  <si>
    <t>Peripheral Guide Wire Astato XS 40 200cm</t>
  </si>
  <si>
    <t>Peripheral Guide Wire Astato XS 40 300cm</t>
  </si>
  <si>
    <t>PCI Guide Wire CONFIANZA PRO 180cm</t>
  </si>
  <si>
    <t>PCI Guide Wire CONFIANZA PRO 300cm</t>
  </si>
  <si>
    <t>PCI Guide Wire CONFIANZA PRO 12 300cm</t>
  </si>
  <si>
    <t>PCI Guide Wire ASAHI Gaia First Pre-shape 190cm</t>
  </si>
  <si>
    <t>PCI Guide Wire ASAHI Gaia First Pre-shape 300cm</t>
  </si>
  <si>
    <t xml:space="preserve">PCI Guide Wire ASAHI Gaia First Straight 190cm </t>
  </si>
  <si>
    <t xml:space="preserve">PCI Guide Wire ASAHI Gaia First Straight 300cm </t>
  </si>
  <si>
    <t>PCI Guide Wire ASAHI Gaia Second Pre-shape 190cm</t>
  </si>
  <si>
    <t>PCI Guide Wire ASAHI Gaia Second Pre-shape  300cm</t>
  </si>
  <si>
    <t xml:space="preserve">PCI Guide Wire ASAHI Gaia Second Straight 190cm </t>
  </si>
  <si>
    <t>PCI Guide Wire ASAHI Gaia Second Straight 300cm</t>
  </si>
  <si>
    <t xml:space="preserve">PCI Guide Wire FIELDER 180cm </t>
  </si>
  <si>
    <t xml:space="preserve">PCI Guide Wire FIELDER 300cm </t>
  </si>
  <si>
    <t>PCI Guide Wire FIELDER 180cm J</t>
  </si>
  <si>
    <t>PCI Guide Wire FIELDER 300cm J</t>
  </si>
  <si>
    <t>PCI Guide Wire PROWATER 180cm</t>
  </si>
  <si>
    <t>PCI Guide Wire PROWATER 300cm</t>
  </si>
  <si>
    <t>PCI Guide Wire PROWATER 180cm J</t>
  </si>
  <si>
    <t>PCI Guide Wire PROWATER 300cm J</t>
  </si>
  <si>
    <t>PCI Guide Wire PROWATERflex 180cm</t>
  </si>
  <si>
    <t>PCI Guide Wire PROWATERflex 300cm</t>
  </si>
  <si>
    <t>PCI Guide Wire PROWATERflex 180cm J</t>
  </si>
  <si>
    <t>PCI Guide Wire PROWATERflex 300cm J</t>
  </si>
  <si>
    <t>PCI Guide Wire SOFT 180cm</t>
  </si>
  <si>
    <t>PCI Guide Wire SOFT 300cm</t>
  </si>
  <si>
    <t>PCI Guide Wire SOFT 180cm J</t>
  </si>
  <si>
    <t>PCI Guide Wire SOFT 300cm J</t>
  </si>
  <si>
    <t>PCI Guide Wire ASAHI RG3 330cm</t>
  </si>
  <si>
    <t>PCI Guide Wire ASAHI Gladius Mongo14 ES 300cm Pre-shape</t>
  </si>
  <si>
    <t>PCI Guide Wire ASAHI Gladius Mongo14 ES 300cm Straight</t>
  </si>
  <si>
    <t>PCI Guide Wire ASAHI Gladius Mongo14 ES 190cm Pre-shape</t>
  </si>
  <si>
    <t>PCI Guide Wire ASAHI Gladius Mongo14 ES 190cm Straight</t>
  </si>
  <si>
    <t>PCI Guide Wire ASAHI Gladius Mongo14 300cm Pre-shape</t>
  </si>
  <si>
    <t>PCI Guide Wire ASAHI Gladius Mongo14 300cm Straight</t>
  </si>
  <si>
    <t>PCI Guide Wire ASAHI Gladius Mongo14 190cm Pre-shape</t>
  </si>
  <si>
    <t>PCI Guide Wire ASAHI Gladius Mongo14 190cm Straight</t>
  </si>
  <si>
    <t>PCI Guide Wire CELHAWK 190cm Straight</t>
  </si>
  <si>
    <t>PCI Guide Wire CELHAWK 300cm Pre-shape</t>
  </si>
  <si>
    <t>PCI Guide Wire Conquest Pro 190cm Pre-Shape</t>
  </si>
  <si>
    <t>PCI Guide Wire Confianza Pro 190cm Pre-Shape</t>
  </si>
  <si>
    <t>CROSSLEAD ES 300cm Angle</t>
  </si>
  <si>
    <t>CROSSLEAD ES 400cm Angle</t>
  </si>
  <si>
    <t>SION blue PLUS 190cm Straight</t>
  </si>
  <si>
    <t>PCI Guide Wire Fielder FC 180cm Straight</t>
  </si>
  <si>
    <t>PCI Guide Wire Fielder XT 190cm Straight</t>
  </si>
  <si>
    <t>PCI Guide Wire SION blue 180cm</t>
  </si>
  <si>
    <t>PCI Guide Wire SION blue 180cm J</t>
  </si>
  <si>
    <t>PCI Guide Wire MINAMO blue 190cm Straight</t>
  </si>
  <si>
    <t>PCI Guide Wire MINAMO blue 190cm Pre-shape</t>
  </si>
  <si>
    <t>PCI Guide Wire MINAMO blue 235cm Straight</t>
  </si>
  <si>
    <t>PCI Guide Wire MINAMO blue 235cm Pre-shape</t>
  </si>
  <si>
    <t>PCI Guide Wire MINAMO blue 300cm Straight</t>
  </si>
  <si>
    <t>PCI Guide Wire MINAMO blue 300cm Pre-shape</t>
  </si>
  <si>
    <t>PCI Guide Wire Fielder XT-A 190cm</t>
  </si>
  <si>
    <t>PCI Guide Wire Fielder XT-R 190cm</t>
  </si>
  <si>
    <t>PCI Guide Wire Gladius EX14 200cm Pre-shape</t>
  </si>
  <si>
    <t>PCI Guide Wire Gladius MG14 190cm Pre-shape</t>
  </si>
  <si>
    <t>PCI Guide Wire SION 180cm</t>
  </si>
  <si>
    <t>PCI Guide Wire SION black 190cm</t>
  </si>
  <si>
    <t>PCI Guide Wire SION black 190cm J</t>
  </si>
  <si>
    <t>ASAHI Peripheral Guide Wire ASAHI Gladius18 Straight 3000cm</t>
  </si>
  <si>
    <t>CROSSLEAD Penetration 0.014inch 200cm pre-shape</t>
  </si>
  <si>
    <t>CROSSLEAD Penetration 0.018inch 200cm pre-shape</t>
  </si>
  <si>
    <t>Extension Wire Extension 165cm</t>
  </si>
  <si>
    <t>Dwg no.</t>
  </si>
  <si>
    <t>Doc. no.</t>
  </si>
  <si>
    <t>Japan doc No.</t>
  </si>
  <si>
    <t>1835070-A</t>
  </si>
  <si>
    <t>ATN-21256</t>
  </si>
  <si>
    <t>AMT3-099-009</t>
  </si>
  <si>
    <t>ATN-18876</t>
  </si>
  <si>
    <t>1935046-0</t>
  </si>
  <si>
    <t>ATN-19206</t>
  </si>
  <si>
    <t>1935047-0</t>
  </si>
  <si>
    <t>ATN-19207</t>
  </si>
  <si>
    <t>AMT3-138-005</t>
  </si>
  <si>
    <t>ATN-24483</t>
  </si>
  <si>
    <t>1935015-A</t>
  </si>
  <si>
    <t>ATN-19013</t>
  </si>
  <si>
    <t>AMT3-099-008</t>
  </si>
  <si>
    <t>ATN-18523</t>
  </si>
  <si>
    <t>1935021-0</t>
  </si>
  <si>
    <t>ATN-19047</t>
  </si>
  <si>
    <t>1935020-0</t>
  </si>
  <si>
    <t>ATN-19045</t>
  </si>
  <si>
    <t>1835109-A</t>
  </si>
  <si>
    <t>ATN-19255</t>
  </si>
  <si>
    <t>1935045-0</t>
  </si>
  <si>
    <t>ATN-19830</t>
  </si>
  <si>
    <t>AMT3-139-019</t>
  </si>
  <si>
    <t>ATN-19834</t>
  </si>
  <si>
    <t>1935050-0</t>
  </si>
  <si>
    <t>ATN-21682</t>
  </si>
  <si>
    <t>AMT10-001-007</t>
  </si>
  <si>
    <t>ATN-21685</t>
  </si>
  <si>
    <t>1935048-0</t>
  </si>
  <si>
    <t>ATN-21681</t>
  </si>
  <si>
    <t>1835104-A</t>
  </si>
  <si>
    <t>ATN-21444</t>
  </si>
  <si>
    <t>1835103-A</t>
  </si>
  <si>
    <t>ATN-21134</t>
  </si>
  <si>
    <t xml:space="preserve">1935003-0 </t>
  </si>
  <si>
    <t>ATN-21473</t>
  </si>
  <si>
    <t>2035007-A</t>
  </si>
  <si>
    <t>ATN-21671</t>
  </si>
  <si>
    <t>AMT3-078-009</t>
  </si>
  <si>
    <t>ATN-19777</t>
  </si>
  <si>
    <t>ATN-21666</t>
  </si>
  <si>
    <t>AMT3-085-008</t>
  </si>
  <si>
    <t>ATN-21667</t>
  </si>
  <si>
    <t>AMT3-086-007</t>
  </si>
  <si>
    <t>ATN-21129</t>
  </si>
  <si>
    <t>1835209-A</t>
  </si>
  <si>
    <t>ATN-22265</t>
  </si>
  <si>
    <t>ATN-22321</t>
  </si>
  <si>
    <t>ATN-22130</t>
  </si>
  <si>
    <t>ATN-22323</t>
  </si>
  <si>
    <t>ATN-22322</t>
  </si>
  <si>
    <t>1935020-A</t>
  </si>
  <si>
    <t>AMT3-151-007</t>
  </si>
  <si>
    <t>ATN-22100</t>
  </si>
  <si>
    <t>1935021-A</t>
  </si>
  <si>
    <t>1835098-0</t>
  </si>
  <si>
    <t>ATN-22785</t>
  </si>
  <si>
    <t>AMT3-120-006</t>
  </si>
  <si>
    <t>ATN-22569</t>
  </si>
  <si>
    <t>1835097-0</t>
  </si>
  <si>
    <t>ATN-22913</t>
  </si>
  <si>
    <t>1835108-0</t>
  </si>
  <si>
    <t>ATN-22786</t>
  </si>
  <si>
    <t>AMT3-153-006</t>
  </si>
  <si>
    <t>ATN-22570</t>
  </si>
  <si>
    <t>AMT3-154-006</t>
  </si>
  <si>
    <t>ATN-22571</t>
  </si>
  <si>
    <t>AMT3-156-006</t>
  </si>
  <si>
    <t>ATN-22572</t>
  </si>
  <si>
    <t>1835147-B</t>
  </si>
  <si>
    <t>1835149-B</t>
  </si>
  <si>
    <t>ATN-22132</t>
  </si>
  <si>
    <t>1835166-B</t>
  </si>
  <si>
    <t>ATN-22135</t>
  </si>
  <si>
    <t>AMT3-103-010</t>
  </si>
  <si>
    <t>ATN-22018</t>
  </si>
  <si>
    <t>AMT3-074-010</t>
  </si>
  <si>
    <t>ATN-22017</t>
  </si>
  <si>
    <t>2135080-0</t>
  </si>
  <si>
    <t>ATN-23020</t>
  </si>
  <si>
    <t>2035059-0</t>
  </si>
  <si>
    <t>ATN-23014</t>
  </si>
  <si>
    <t>2035060-0</t>
  </si>
  <si>
    <t>ATN-23015</t>
  </si>
  <si>
    <t>2035061-0</t>
  </si>
  <si>
    <t>ATN-23016</t>
  </si>
  <si>
    <t>1935049-0</t>
  </si>
  <si>
    <t>ATN-23134</t>
  </si>
  <si>
    <t>2235013-0</t>
  </si>
  <si>
    <t>ATN-23194</t>
  </si>
  <si>
    <t>AMT3-105-008</t>
  </si>
  <si>
    <t>ATN-22019</t>
  </si>
  <si>
    <t>1935049-A</t>
  </si>
  <si>
    <t>1935028-A</t>
  </si>
  <si>
    <t>ATN-21446</t>
  </si>
  <si>
    <t>1835054-B</t>
  </si>
  <si>
    <t>ATN-21442</t>
  </si>
  <si>
    <t>1835053-A</t>
  </si>
  <si>
    <t>ATN-19015</t>
  </si>
  <si>
    <t>ATN-21765</t>
  </si>
  <si>
    <t>AMT3-145-010</t>
  </si>
  <si>
    <t>ATN-21772</t>
  </si>
  <si>
    <t>2035015-A</t>
  </si>
  <si>
    <t>ATN-21767</t>
  </si>
  <si>
    <t>AMT3-112-005</t>
  </si>
  <si>
    <t>ATN-21813</t>
  </si>
  <si>
    <t>1935029-A</t>
  </si>
  <si>
    <t>ATN-21427</t>
  </si>
  <si>
    <t>1935030-A</t>
  </si>
  <si>
    <t>ATN-21428</t>
  </si>
  <si>
    <t>1935031-A</t>
  </si>
  <si>
    <t>ATN-21257</t>
  </si>
  <si>
    <t>AMT3-087-008</t>
  </si>
  <si>
    <t>ATN-21130</t>
  </si>
  <si>
    <t>1835068-A</t>
  </si>
  <si>
    <t>ATN-18994</t>
  </si>
  <si>
    <t>1935050-A</t>
  </si>
  <si>
    <t>1935048-A</t>
  </si>
  <si>
    <t>AMT3-101-006</t>
  </si>
  <si>
    <t>ATN-22568</t>
  </si>
  <si>
    <t>1835071-A</t>
  </si>
  <si>
    <t>ATN-19019</t>
  </si>
  <si>
    <t>AMT3-108-008</t>
  </si>
  <si>
    <t>ATN-22099</t>
  </si>
  <si>
    <t>2135119-0</t>
  </si>
  <si>
    <t>ATN-23190</t>
  </si>
  <si>
    <t>1835106-0</t>
  </si>
  <si>
    <t>ATN-22860</t>
  </si>
  <si>
    <t>1835110-0</t>
  </si>
  <si>
    <t>ATN-22861</t>
  </si>
  <si>
    <t>1835101-0</t>
  </si>
  <si>
    <t>ATN-22859</t>
  </si>
  <si>
    <t>1835102-0</t>
  </si>
  <si>
    <t>ATN-22916</t>
  </si>
  <si>
    <t>1835095-0</t>
  </si>
  <si>
    <t>ATN-22858</t>
  </si>
  <si>
    <t>1935027-0</t>
  </si>
  <si>
    <t>ATN-21426</t>
  </si>
  <si>
    <t>1835087-0</t>
  </si>
  <si>
    <t>ATN-22698</t>
  </si>
  <si>
    <t>1835088-0</t>
  </si>
  <si>
    <t>ATN-22911</t>
  </si>
  <si>
    <t>1835086-0</t>
  </si>
  <si>
    <t>ATN-22910</t>
  </si>
  <si>
    <t>2235017-A</t>
  </si>
  <si>
    <t>ATN-23198</t>
  </si>
  <si>
    <t>2135005-D</t>
  </si>
  <si>
    <t>ATN-23252</t>
  </si>
  <si>
    <t>2135006-C</t>
  </si>
  <si>
    <t>ATN-23253</t>
  </si>
  <si>
    <t>2235002-A</t>
  </si>
  <si>
    <t>ATN-23191</t>
  </si>
  <si>
    <t>2135101-A</t>
  </si>
  <si>
    <t>ATN-23172</t>
  </si>
  <si>
    <t>2135055-0</t>
  </si>
  <si>
    <t>ATN-23631</t>
  </si>
  <si>
    <t>2135104-B</t>
  </si>
  <si>
    <t>ATN-23175</t>
  </si>
  <si>
    <t>2335014-0</t>
  </si>
  <si>
    <t>ATN-24105</t>
  </si>
  <si>
    <t>2335015-0</t>
  </si>
  <si>
    <t>ATN-24106</t>
  </si>
  <si>
    <t>2335004-0</t>
  </si>
  <si>
    <t>ATN-24100</t>
  </si>
  <si>
    <t>2335018-0</t>
  </si>
  <si>
    <t>ATN-24108</t>
  </si>
  <si>
    <t>2335006-0</t>
  </si>
  <si>
    <t>ATN-24089</t>
  </si>
  <si>
    <t>2335017-0</t>
  </si>
  <si>
    <t>ATN-24107</t>
  </si>
  <si>
    <t>2335009-0</t>
  </si>
  <si>
    <t>ATN-24102</t>
  </si>
  <si>
    <t>2335013-0</t>
  </si>
  <si>
    <t>ATN-24438</t>
  </si>
  <si>
    <t>2335005-0</t>
  </si>
  <si>
    <t>ATN-24101</t>
  </si>
  <si>
    <t>2335011-0</t>
  </si>
  <si>
    <t>ATN-24103</t>
  </si>
  <si>
    <t>1835168-C</t>
  </si>
  <si>
    <t>ATN-23667</t>
  </si>
  <si>
    <t>AMT3-161-006</t>
  </si>
  <si>
    <t>ATN-25027</t>
  </si>
  <si>
    <t>2335027-0</t>
  </si>
  <si>
    <t>ATN-24224</t>
  </si>
  <si>
    <t>2335026-0</t>
  </si>
  <si>
    <t>ATN-24223</t>
  </si>
  <si>
    <t>2335025-0</t>
  </si>
  <si>
    <t>ATN-24222</t>
  </si>
  <si>
    <t>2335023-0</t>
  </si>
  <si>
    <t>ATN-24221</t>
  </si>
  <si>
    <t>2335022-0</t>
  </si>
  <si>
    <t>ATN-24229</t>
  </si>
  <si>
    <t>AMT3-158-007</t>
  </si>
  <si>
    <t>ATN-25002</t>
  </si>
  <si>
    <t>2335024-0</t>
  </si>
  <si>
    <t>ATN-24230</t>
  </si>
  <si>
    <t>2335036-0</t>
  </si>
  <si>
    <t>ATN-24254</t>
  </si>
  <si>
    <t>2335037-0</t>
  </si>
  <si>
    <t>ATN-24255</t>
  </si>
  <si>
    <t>2335038-0</t>
  </si>
  <si>
    <t>ATN-24439</t>
  </si>
  <si>
    <t>2335042-0</t>
  </si>
  <si>
    <t>ATN-24259</t>
  </si>
  <si>
    <t>2335039-0</t>
  </si>
  <si>
    <t>ATN-24256</t>
  </si>
  <si>
    <t>2335040-0</t>
  </si>
  <si>
    <t>ATN-24257</t>
  </si>
  <si>
    <t>2335041-0</t>
  </si>
  <si>
    <t>ATN-24258</t>
  </si>
  <si>
    <t>2335043-0</t>
  </si>
  <si>
    <t>ATN-24260</t>
  </si>
  <si>
    <t>2335044-0</t>
  </si>
  <si>
    <t>ATN-24261</t>
  </si>
  <si>
    <t>AMT3-109-008</t>
  </si>
  <si>
    <t>ATN-24989</t>
  </si>
  <si>
    <t>2335046-0</t>
  </si>
  <si>
    <t>ATN-24262</t>
  </si>
  <si>
    <t>1935046-A</t>
  </si>
  <si>
    <t>AMT3-130-008</t>
  </si>
  <si>
    <t>ATN-24855</t>
  </si>
  <si>
    <t>1935047-A</t>
  </si>
  <si>
    <t>AMT3-132-007</t>
  </si>
  <si>
    <t>ATN-24858</t>
  </si>
  <si>
    <t>1835209-C</t>
  </si>
  <si>
    <t>2135053-A</t>
  </si>
  <si>
    <t>ATN-23367</t>
  </si>
  <si>
    <t>AMT3-178-024</t>
  </si>
  <si>
    <t>ATN-23362</t>
  </si>
  <si>
    <t>1835026-B</t>
  </si>
  <si>
    <t>ATN-21764</t>
  </si>
  <si>
    <t>2135055-A</t>
  </si>
  <si>
    <t>1935068-A</t>
  </si>
  <si>
    <t>ATN-23235</t>
  </si>
  <si>
    <t>2135001-B</t>
  </si>
  <si>
    <t>ATN-23358</t>
  </si>
  <si>
    <t>2135066-A</t>
  </si>
  <si>
    <t>ATN-24676</t>
  </si>
  <si>
    <t>AMT3-188-007</t>
  </si>
  <si>
    <t>ATN-24354</t>
  </si>
  <si>
    <t>2135084-A</t>
  </si>
  <si>
    <t>ATN-24677</t>
  </si>
  <si>
    <t>AMT3-189-013</t>
  </si>
  <si>
    <t>ATN-24367</t>
  </si>
  <si>
    <t>2435011-0</t>
  </si>
  <si>
    <t>ATN-25035</t>
  </si>
  <si>
    <t>AMT3-173-004</t>
  </si>
  <si>
    <t>ATN-21814</t>
  </si>
  <si>
    <t>2235038-0</t>
  </si>
  <si>
    <t>ATN-25110</t>
  </si>
  <si>
    <t>AMT3-205-024</t>
  </si>
  <si>
    <t>ATN-25114</t>
  </si>
  <si>
    <t>1935021-B</t>
  </si>
  <si>
    <t xml:space="preserve">AMT3-233-005 </t>
  </si>
  <si>
    <t>ATN-25171</t>
  </si>
  <si>
    <t xml:space="preserve">AMT3-233-005  </t>
  </si>
  <si>
    <t>2135111-D</t>
  </si>
  <si>
    <t>ATN-23182</t>
  </si>
  <si>
    <t>2235012-C</t>
  </si>
  <si>
    <t>ATN-23193</t>
  </si>
  <si>
    <t>1935034-B</t>
  </si>
  <si>
    <t>ATN-19771</t>
  </si>
  <si>
    <t>1935029-B</t>
  </si>
  <si>
    <t>1935030-B</t>
  </si>
  <si>
    <t>1935031-B</t>
  </si>
  <si>
    <t>1935035-C</t>
  </si>
  <si>
    <t>ATN-20041</t>
  </si>
  <si>
    <t>1935036-C</t>
  </si>
  <si>
    <t>ATN-20042</t>
  </si>
  <si>
    <t>1935037-C</t>
  </si>
  <si>
    <t>ATN-20043</t>
  </si>
  <si>
    <t>2135003-B</t>
  </si>
  <si>
    <t>ATN-22423</t>
  </si>
  <si>
    <t>AMT3-180-008</t>
  </si>
  <si>
    <t>ATN-22425</t>
  </si>
  <si>
    <t>1835028-C</t>
  </si>
  <si>
    <t>2035015-B</t>
  </si>
  <si>
    <t>1835053-B</t>
  </si>
  <si>
    <t>AMT3-118-008</t>
  </si>
  <si>
    <t>ATN-25176</t>
  </si>
  <si>
    <t>1835060-B</t>
  </si>
  <si>
    <t>ATN-24549</t>
  </si>
  <si>
    <t>2135108-C</t>
  </si>
  <si>
    <t>ATN-23179</t>
  </si>
  <si>
    <t>2135109-C</t>
  </si>
  <si>
    <t>ATN-23180</t>
  </si>
  <si>
    <t>2035007-D</t>
  </si>
  <si>
    <t>1935043-B</t>
  </si>
  <si>
    <t>ATN-19828</t>
  </si>
  <si>
    <t>1935044-B</t>
  </si>
  <si>
    <t>ATN-19829</t>
  </si>
  <si>
    <t>2035004-D</t>
  </si>
  <si>
    <t>ATN-21668</t>
  </si>
  <si>
    <t>2035005-D</t>
  </si>
  <si>
    <t>ATN-21669</t>
  </si>
  <si>
    <t>2035006-D</t>
  </si>
  <si>
    <t>ATN-21670</t>
  </si>
  <si>
    <t>1835166-C</t>
  </si>
  <si>
    <t>AMT3-102-008</t>
  </si>
  <si>
    <t>ATN-24850</t>
  </si>
  <si>
    <t>1835149-C</t>
  </si>
  <si>
    <t>AMT3-162-009</t>
  </si>
  <si>
    <t>ATN-25271</t>
  </si>
  <si>
    <t>1935046-B</t>
  </si>
  <si>
    <t>1935047-B</t>
  </si>
  <si>
    <t>1835191-C</t>
  </si>
  <si>
    <t>ATN-19041</t>
  </si>
  <si>
    <t>AMT3-229-005</t>
  </si>
  <si>
    <t>ATN-25447</t>
  </si>
  <si>
    <t>1935020-B</t>
  </si>
  <si>
    <t>AMT3-232-005</t>
  </si>
  <si>
    <t>ATN-25082</t>
  </si>
  <si>
    <t>2135121-A</t>
  </si>
  <si>
    <t>ATN-23644</t>
  </si>
  <si>
    <t>AMT3-150-007</t>
  </si>
  <si>
    <t>ATN-25029</t>
  </si>
  <si>
    <t>2135122-A</t>
  </si>
  <si>
    <t>ATN-23645</t>
  </si>
  <si>
    <t>AMT3-135-011</t>
  </si>
  <si>
    <t>ATN-24976</t>
  </si>
  <si>
    <t>2135123-A</t>
  </si>
  <si>
    <t>ATN-23646</t>
  </si>
  <si>
    <t>2135124-A</t>
  </si>
  <si>
    <t>ATN-23647</t>
  </si>
  <si>
    <t>AMT3-152-007</t>
  </si>
  <si>
    <t>ATN-25015</t>
  </si>
  <si>
    <t>2135125-A</t>
  </si>
  <si>
    <t>ATN-23648</t>
  </si>
  <si>
    <t>2135126-A</t>
  </si>
  <si>
    <t>ATN-23649</t>
  </si>
  <si>
    <t>2135127-A</t>
  </si>
  <si>
    <t>ATN-23650</t>
  </si>
  <si>
    <t>AMT3-160-006</t>
  </si>
  <si>
    <t>ATN-25051</t>
  </si>
  <si>
    <t>2135128-A</t>
  </si>
  <si>
    <t>ATN-23651</t>
  </si>
  <si>
    <t>AMT3-099-227</t>
  </si>
  <si>
    <t>ATN-21961</t>
  </si>
  <si>
    <t>2135129-A</t>
  </si>
  <si>
    <t>ATN-23652</t>
  </si>
  <si>
    <t>2035002-D</t>
  </si>
  <si>
    <t>2035003-D</t>
  </si>
  <si>
    <t>2135092-B</t>
  </si>
  <si>
    <t>ATN-23024</t>
  </si>
  <si>
    <t>AMT3-245-007</t>
  </si>
  <si>
    <t>ATN-25086</t>
  </si>
  <si>
    <t>2035032-0</t>
  </si>
  <si>
    <t>ATN-25233</t>
  </si>
  <si>
    <t>2235014-B</t>
  </si>
  <si>
    <t>ATN-23195</t>
  </si>
  <si>
    <t>AMT3-104-007</t>
  </si>
  <si>
    <t>ATN-24846</t>
  </si>
  <si>
    <t>2235013-B</t>
  </si>
  <si>
    <t>2135110-B</t>
  </si>
  <si>
    <t>ATN-23181</t>
  </si>
  <si>
    <t>2135112-A</t>
  </si>
  <si>
    <t>ATN-23183</t>
  </si>
  <si>
    <t>AMT3-114-008</t>
  </si>
  <si>
    <t>ATN-24883</t>
  </si>
  <si>
    <t>2135113-A</t>
  </si>
  <si>
    <t>ATN-23184</t>
  </si>
  <si>
    <t>AMT3-115-008</t>
  </si>
  <si>
    <t>ATN-24885</t>
  </si>
  <si>
    <t>2135114-A</t>
  </si>
  <si>
    <t>ATN-23185</t>
  </si>
  <si>
    <t>AMT3-116-008</t>
  </si>
  <si>
    <t>ATN-24887</t>
  </si>
  <si>
    <t>2135115-B</t>
  </si>
  <si>
    <t>ATN-23186</t>
  </si>
  <si>
    <t>2135116-B</t>
  </si>
  <si>
    <t>ATN-23187</t>
  </si>
  <si>
    <t>AMT3-163-009</t>
  </si>
  <si>
    <t>ATN-25359</t>
  </si>
  <si>
    <t>2135117-A</t>
  </si>
  <si>
    <t>ATN-23188</t>
  </si>
  <si>
    <t>AMT3-157-007</t>
  </si>
  <si>
    <t>ATN-24848</t>
  </si>
  <si>
    <t>2135119-B</t>
  </si>
  <si>
    <t>AMT3-164-012</t>
  </si>
  <si>
    <t>ATN-25004</t>
  </si>
  <si>
    <t>2335061-A</t>
  </si>
  <si>
    <t>ATN-24485</t>
  </si>
  <si>
    <t>1835094-D</t>
  </si>
  <si>
    <t>ATN-19934</t>
  </si>
  <si>
    <t>2235017-B</t>
  </si>
  <si>
    <t>2135005-E</t>
  </si>
  <si>
    <t>2135006-D</t>
  </si>
  <si>
    <t>2235002-B</t>
  </si>
  <si>
    <t>2135004-B</t>
  </si>
  <si>
    <t>ATN-25369</t>
  </si>
  <si>
    <t>2235016-C</t>
  </si>
  <si>
    <t>ATN-23197</t>
  </si>
  <si>
    <t>2135107-B</t>
  </si>
  <si>
    <t>ATN-23178</t>
  </si>
  <si>
    <t>2235015-B</t>
  </si>
  <si>
    <t>ATN-23196</t>
  </si>
  <si>
    <t>AMT3-159-007</t>
  </si>
  <si>
    <t>ATN-25013</t>
  </si>
  <si>
    <t>2135102-C</t>
  </si>
  <si>
    <t>ATN-23173</t>
  </si>
  <si>
    <t>2135103-C</t>
  </si>
  <si>
    <t>ATN-23174</t>
  </si>
  <si>
    <t>AMT3-183-003</t>
  </si>
  <si>
    <t>ATN-25202</t>
  </si>
  <si>
    <t>2135104-C</t>
  </si>
  <si>
    <t>AMT3-106-007</t>
  </si>
  <si>
    <t>ATN-24852</t>
  </si>
  <si>
    <t>2135105-C</t>
  </si>
  <si>
    <t>ATN-23176</t>
  </si>
  <si>
    <t>AMT3-149-008</t>
  </si>
  <si>
    <t>ATN-25357</t>
  </si>
  <si>
    <t>2235011-C</t>
  </si>
  <si>
    <t>ATN-23192</t>
  </si>
  <si>
    <t>AMT3-110-007</t>
  </si>
  <si>
    <t>ATN-24881</t>
  </si>
  <si>
    <t>2235043-A</t>
  </si>
  <si>
    <t>ATN-23758</t>
  </si>
  <si>
    <t>2135106-B</t>
  </si>
  <si>
    <t>ATN-23177</t>
  </si>
  <si>
    <t>2135101-B</t>
  </si>
  <si>
    <t>2235040-0</t>
  </si>
  <si>
    <t>ATN-25111</t>
  </si>
  <si>
    <t>1935026-B</t>
  </si>
  <si>
    <t>ATN-21445</t>
  </si>
  <si>
    <t>1835056-B</t>
  </si>
  <si>
    <t>ATN-19017</t>
  </si>
  <si>
    <t>1835044-B</t>
  </si>
  <si>
    <t>ATN-21438</t>
  </si>
  <si>
    <t>1835054-C</t>
  </si>
  <si>
    <t>1835037-B</t>
  </si>
  <si>
    <t>ATN-25584</t>
  </si>
  <si>
    <t>1835071-B</t>
  </si>
  <si>
    <t>1835070-B</t>
  </si>
  <si>
    <t>1835035-B</t>
  </si>
  <si>
    <t>ATN-21342</t>
  </si>
  <si>
    <t>1835068-B</t>
  </si>
  <si>
    <t>1935045-B</t>
  </si>
  <si>
    <t>2035017-A</t>
  </si>
  <si>
    <t>ATN-24550</t>
  </si>
  <si>
    <t>2035018-A</t>
  </si>
  <si>
    <t>ATN-24551</t>
  </si>
  <si>
    <t>2035019-A</t>
  </si>
  <si>
    <t>ATN-24552</t>
  </si>
  <si>
    <t>2335075-B</t>
  </si>
  <si>
    <t>ATN-24742</t>
  </si>
  <si>
    <t>2335076-B</t>
  </si>
  <si>
    <t>ATN-24743</t>
  </si>
  <si>
    <t>2335077-B</t>
  </si>
  <si>
    <t>ATN-24744</t>
  </si>
  <si>
    <t>2035059-B</t>
  </si>
  <si>
    <t>2035060-B</t>
  </si>
  <si>
    <t>2035061-B</t>
  </si>
  <si>
    <t>1835150-D</t>
  </si>
  <si>
    <t>ATN-22133</t>
  </si>
  <si>
    <t>1935003-D</t>
  </si>
  <si>
    <t>1835168-D</t>
  </si>
  <si>
    <t>1835167-D</t>
  </si>
  <si>
    <t>1835170-D</t>
  </si>
  <si>
    <t>ATN-21511</t>
  </si>
  <si>
    <t>1835211-D</t>
  </si>
  <si>
    <t>1835171-D</t>
  </si>
  <si>
    <t>1835173-D</t>
  </si>
  <si>
    <t>ATN-22530</t>
  </si>
  <si>
    <t>2035109-0</t>
  </si>
  <si>
    <t>ATN-25402</t>
  </si>
  <si>
    <t>2035106-0</t>
  </si>
  <si>
    <t>ATN-25401</t>
  </si>
  <si>
    <t>2035101-0</t>
  </si>
  <si>
    <t>ATN-25438</t>
  </si>
  <si>
    <t>1935008-G</t>
  </si>
  <si>
    <t>ATN-18965</t>
  </si>
  <si>
    <t>AMT3-243-004</t>
  </si>
  <si>
    <t>ATN-25167</t>
  </si>
  <si>
    <t>1935007-F</t>
  </si>
  <si>
    <t>ATN-18869</t>
  </si>
  <si>
    <t>2135089-C</t>
  </si>
  <si>
    <t>ATN-23021</t>
  </si>
  <si>
    <t>AMT3-228-005</t>
  </si>
  <si>
    <t>ATN-25080</t>
  </si>
  <si>
    <t>2435024-0</t>
  </si>
  <si>
    <t>ATN-25417</t>
  </si>
  <si>
    <t>AMT3-239-006</t>
  </si>
  <si>
    <t>ATN-25428</t>
  </si>
  <si>
    <t>2135080-D</t>
  </si>
  <si>
    <t>AMT3-224-007</t>
  </si>
  <si>
    <t>ATN-25430</t>
  </si>
  <si>
    <t>1935018-C</t>
  </si>
  <si>
    <t>ATN-19043</t>
  </si>
  <si>
    <t>AMT3-234-006</t>
  </si>
  <si>
    <t>ATN-25117</t>
  </si>
  <si>
    <t>1935020-C</t>
  </si>
  <si>
    <t>1935021-C</t>
  </si>
  <si>
    <t>2235024-0</t>
  </si>
  <si>
    <t>ATN-25452</t>
  </si>
  <si>
    <t>AMT3-197-036</t>
  </si>
  <si>
    <t>ATN-24505</t>
  </si>
  <si>
    <t>2335059-0</t>
  </si>
  <si>
    <t>ATN-25509</t>
  </si>
  <si>
    <t>AMT3-213-015</t>
  </si>
  <si>
    <t>ATN-25511</t>
  </si>
  <si>
    <t>2135065-B</t>
  </si>
  <si>
    <t>ATN-24344</t>
  </si>
  <si>
    <t>2135083-B</t>
  </si>
  <si>
    <t>ATN-24373</t>
  </si>
  <si>
    <t>2235023-B</t>
  </si>
  <si>
    <t>ATN-24507</t>
  </si>
  <si>
    <t>1935008-H</t>
  </si>
  <si>
    <t>1935007-G</t>
  </si>
  <si>
    <t>2135089-D</t>
  </si>
  <si>
    <t>1935048-B</t>
  </si>
  <si>
    <t>2235041-0</t>
  </si>
  <si>
    <t>ATN-25745</t>
  </si>
  <si>
    <t xml:space="preserve">AMT3-205-024 </t>
  </si>
  <si>
    <t>2235039-0</t>
  </si>
  <si>
    <t>ATN-25743</t>
  </si>
  <si>
    <t>2035056-A</t>
  </si>
  <si>
    <t>ATN-25533</t>
  </si>
  <si>
    <t>AMT3-215-028</t>
  </si>
  <si>
    <t>ATN-25807</t>
  </si>
  <si>
    <t>2435002-0</t>
  </si>
  <si>
    <t>ATN-25790</t>
  </si>
  <si>
    <t>2535004-0</t>
  </si>
  <si>
    <t>ATN-25809</t>
  </si>
  <si>
    <t>2435001-0</t>
  </si>
  <si>
    <t>ATN-25789</t>
  </si>
  <si>
    <t>2435004-0</t>
  </si>
  <si>
    <t>ATN-25792</t>
  </si>
  <si>
    <t>1835084-B</t>
  </si>
  <si>
    <t>ATN-22909</t>
  </si>
  <si>
    <t>1835086-B</t>
  </si>
  <si>
    <t>1835085-B</t>
  </si>
  <si>
    <t>ATN-19600</t>
  </si>
  <si>
    <t>1835087-B</t>
  </si>
  <si>
    <t>1835088-B</t>
  </si>
  <si>
    <t>1835089-B</t>
  </si>
  <si>
    <t>ATN-22699</t>
  </si>
  <si>
    <t>1835090-B</t>
  </si>
  <si>
    <t>ATN-21510</t>
  </si>
  <si>
    <t>1835091-B</t>
  </si>
  <si>
    <t>ATN-22912</t>
  </si>
  <si>
    <t>1835107-B</t>
  </si>
  <si>
    <t>ATN-22804</t>
  </si>
  <si>
    <t>1835111-B</t>
  </si>
  <si>
    <t>ATN-22917</t>
  </si>
  <si>
    <t>1835112-B</t>
  </si>
  <si>
    <t>ATN-22862</t>
  </si>
  <si>
    <t>1835101-B</t>
  </si>
  <si>
    <t>1835099-B</t>
  </si>
  <si>
    <t>ATN-22914</t>
  </si>
  <si>
    <t>1835100-B</t>
  </si>
  <si>
    <t>ATN-22915</t>
  </si>
  <si>
    <t>1835097-B</t>
  </si>
  <si>
    <t>1835096-B</t>
  </si>
  <si>
    <t>ATN-22803</t>
  </si>
  <si>
    <t>1935027-B</t>
  </si>
  <si>
    <t>1935025-B</t>
  </si>
  <si>
    <t>ATN-21425</t>
  </si>
  <si>
    <t>2035002-E</t>
  </si>
  <si>
    <t>2035003-E</t>
  </si>
  <si>
    <t>2035007-E</t>
  </si>
  <si>
    <t>2335075-C</t>
  </si>
  <si>
    <t>2335076-C</t>
  </si>
  <si>
    <t>2335077-C</t>
  </si>
  <si>
    <t>2035022-D</t>
  </si>
  <si>
    <t>ATN-22268</t>
  </si>
  <si>
    <t>2455002-0</t>
  </si>
  <si>
    <t>ATN-25923</t>
  </si>
  <si>
    <t>AMT3-302-003</t>
  </si>
  <si>
    <t>ATN-25921</t>
  </si>
  <si>
    <t>2035058-0</t>
  </si>
  <si>
    <t xml:space="preserve">ATN-25968 </t>
  </si>
  <si>
    <t>AMT3-074-027</t>
  </si>
  <si>
    <t>ATN-26003</t>
  </si>
  <si>
    <t>2035111-A</t>
  </si>
  <si>
    <t>ATN-25969</t>
  </si>
  <si>
    <t>2035112-A</t>
  </si>
  <si>
    <t>ATN-25970</t>
  </si>
  <si>
    <t>2535057-0</t>
  </si>
  <si>
    <t>ATN-26050</t>
  </si>
  <si>
    <t>2235028-0</t>
  </si>
  <si>
    <t>ATN-25995</t>
  </si>
  <si>
    <t>AMT3-206-030</t>
  </si>
  <si>
    <t>ATN-26005</t>
  </si>
  <si>
    <t>2535061-0</t>
  </si>
  <si>
    <t>ATN-26106</t>
  </si>
  <si>
    <t>2535062-0</t>
  </si>
  <si>
    <t>ATN-26107</t>
  </si>
  <si>
    <t>2535065-0</t>
  </si>
  <si>
    <t>ATN-26108</t>
  </si>
  <si>
    <t>2535066-0</t>
  </si>
  <si>
    <t>ATN-26109</t>
  </si>
  <si>
    <t>2535056-0</t>
  </si>
  <si>
    <t>ATN-26104</t>
  </si>
  <si>
    <t>2535059-0</t>
  </si>
  <si>
    <t>ATN-26105</t>
  </si>
  <si>
    <t>2135066-B</t>
  </si>
  <si>
    <t>2135084-B</t>
  </si>
  <si>
    <t>2135001-C</t>
  </si>
  <si>
    <t>1835212-D</t>
  </si>
  <si>
    <t>ATN-22324</t>
  </si>
  <si>
    <t>2535072-0</t>
  </si>
  <si>
    <t>ATN-26126</t>
  </si>
  <si>
    <t>1832365-0</t>
  </si>
  <si>
    <t>1832364-0</t>
  </si>
  <si>
    <t>1832362-0</t>
  </si>
  <si>
    <t>1832179-0</t>
  </si>
  <si>
    <t>1832180-0</t>
  </si>
  <si>
    <t>1832373-0</t>
  </si>
  <si>
    <t>1832206-0</t>
  </si>
  <si>
    <t>1832294-0</t>
  </si>
  <si>
    <t>1832289-0</t>
  </si>
  <si>
    <t>1832295-0</t>
  </si>
  <si>
    <t>1832288-0</t>
  </si>
  <si>
    <t>1832290-0</t>
  </si>
  <si>
    <t>1832287-0</t>
  </si>
  <si>
    <t>1832291-0</t>
  </si>
  <si>
    <t>1832292-0</t>
  </si>
  <si>
    <t>1832293-0</t>
  </si>
  <si>
    <t>1832212-0</t>
  </si>
  <si>
    <t>1832210-0</t>
  </si>
  <si>
    <t>1832207-0</t>
  </si>
  <si>
    <t>1832209-0</t>
  </si>
  <si>
    <t>1932447-0</t>
  </si>
  <si>
    <t>1832195-0</t>
  </si>
  <si>
    <t>1942149-0</t>
  </si>
  <si>
    <t>1942150-0</t>
  </si>
  <si>
    <t>1942151-0</t>
  </si>
  <si>
    <t>1942152-0</t>
  </si>
  <si>
    <t>1942153-0</t>
  </si>
  <si>
    <t>2032052-0</t>
  </si>
  <si>
    <t>1932115-0</t>
  </si>
  <si>
    <t>1932107-0</t>
  </si>
  <si>
    <t>1832196-0</t>
  </si>
  <si>
    <t>1832197-0</t>
  </si>
  <si>
    <t>1832198-0</t>
  </si>
  <si>
    <t>1932108-0</t>
  </si>
  <si>
    <t>1932105-0</t>
  </si>
  <si>
    <t>1932106-0</t>
  </si>
  <si>
    <t>1932111-0</t>
  </si>
  <si>
    <t>1932112-0</t>
  </si>
  <si>
    <t>1932116-0</t>
  </si>
  <si>
    <t>1932134-0</t>
  </si>
  <si>
    <t>1932067-0</t>
  </si>
  <si>
    <t>1932132-0</t>
  </si>
  <si>
    <t>1932135-0</t>
  </si>
  <si>
    <t>1832309-0</t>
  </si>
  <si>
    <t>1832225-0</t>
  </si>
  <si>
    <t>1832226-0</t>
  </si>
  <si>
    <t>2032232-0</t>
  </si>
  <si>
    <t>1832378-0</t>
  </si>
  <si>
    <t>1832377-0</t>
  </si>
  <si>
    <t>1832182-0</t>
  </si>
  <si>
    <t>1832310-0</t>
  </si>
  <si>
    <t>1832314-0</t>
  </si>
  <si>
    <t>1832319-0</t>
  </si>
  <si>
    <t>1832311-0</t>
  </si>
  <si>
    <t>1832315-0</t>
  </si>
  <si>
    <t>1832321-0</t>
  </si>
  <si>
    <t>1832380-0</t>
  </si>
  <si>
    <t>1832308-0</t>
  </si>
  <si>
    <t>1832327-0</t>
  </si>
  <si>
    <t>1832328-0</t>
  </si>
  <si>
    <t>1832186-0</t>
  </si>
  <si>
    <t>1832379-0</t>
  </si>
  <si>
    <t>1832187-0</t>
  </si>
  <si>
    <t>1832196-A</t>
  </si>
  <si>
    <t>1832195-A</t>
  </si>
  <si>
    <t>1832197-A</t>
  </si>
  <si>
    <t>1832198-A</t>
  </si>
  <si>
    <t>1932109-A</t>
  </si>
  <si>
    <t>1932110-A</t>
  </si>
  <si>
    <t>1932111-A</t>
  </si>
  <si>
    <t>1932112-A</t>
  </si>
  <si>
    <t>1832194-A</t>
  </si>
  <si>
    <t>1832199-A</t>
  </si>
  <si>
    <t>1932116-A</t>
  </si>
  <si>
    <t>1932113-A</t>
  </si>
  <si>
    <t>1932114-A</t>
  </si>
  <si>
    <t>1932115-A</t>
  </si>
  <si>
    <t>1932108-A</t>
  </si>
  <si>
    <t>1932107-A</t>
  </si>
  <si>
    <t>1932105-A</t>
  </si>
  <si>
    <t>1932106-A</t>
  </si>
  <si>
    <t>1832170-0</t>
  </si>
  <si>
    <t>2032050-0</t>
  </si>
  <si>
    <t>2032051-0</t>
  </si>
  <si>
    <t>2032064-0</t>
  </si>
  <si>
    <t>1932133-0</t>
  </si>
  <si>
    <t>1932117-0</t>
  </si>
  <si>
    <t>1832270-0</t>
  </si>
  <si>
    <t>1932436-A</t>
  </si>
  <si>
    <t>1932066-0</t>
  </si>
  <si>
    <t>1932072-0</t>
  </si>
  <si>
    <t>1932077-0</t>
  </si>
  <si>
    <t>1932080-0</t>
  </si>
  <si>
    <t>2032228-0</t>
  </si>
  <si>
    <t>1832185-0</t>
  </si>
  <si>
    <t>1832364-A</t>
  </si>
  <si>
    <t>1832362-A</t>
  </si>
  <si>
    <t>1832180-A</t>
  </si>
  <si>
    <t>1932068-A</t>
  </si>
  <si>
    <t>1932070-A</t>
  </si>
  <si>
    <t>1932071-A</t>
  </si>
  <si>
    <t>1932074-A</t>
  </si>
  <si>
    <t>1932076-A</t>
  </si>
  <si>
    <t>1932077-A</t>
  </si>
  <si>
    <t>1932078-A</t>
  </si>
  <si>
    <t>1932079-A</t>
  </si>
  <si>
    <t>1932080-A</t>
  </si>
  <si>
    <t>1932081-A</t>
  </si>
  <si>
    <t>1932082-A</t>
  </si>
  <si>
    <t>2032222-A</t>
  </si>
  <si>
    <t>2032224-A</t>
  </si>
  <si>
    <t>1832224-A</t>
  </si>
  <si>
    <t>1832226-A</t>
  </si>
  <si>
    <t>1832228-A</t>
  </si>
  <si>
    <t>1832223-A</t>
  </si>
  <si>
    <t>1832225-A</t>
  </si>
  <si>
    <t>1832227-A</t>
  </si>
  <si>
    <t>1832277-A</t>
  </si>
  <si>
    <t>1832280-A</t>
  </si>
  <si>
    <t>1832381-A</t>
  </si>
  <si>
    <t>1932104-A</t>
  </si>
  <si>
    <t>1832308-A</t>
  </si>
  <si>
    <t>1832309-A</t>
  </si>
  <si>
    <t>1832327-A</t>
  </si>
  <si>
    <t>1832328-A</t>
  </si>
  <si>
    <t>1832190-A</t>
  </si>
  <si>
    <t>1832191-A</t>
  </si>
  <si>
    <t>1832192-A</t>
  </si>
  <si>
    <t>1832325-A</t>
  </si>
  <si>
    <t>1832326-A</t>
  </si>
  <si>
    <t>1832324-A</t>
  </si>
  <si>
    <t>1832279-A</t>
  </si>
  <si>
    <t>1832274-A</t>
  </si>
  <si>
    <t>1832276-A</t>
  </si>
  <si>
    <t>1832281-A</t>
  </si>
  <si>
    <t>1932073-A</t>
  </si>
  <si>
    <t>1932075-A</t>
  </si>
  <si>
    <t>1932067-A</t>
  </si>
  <si>
    <t>1932069-A</t>
  </si>
  <si>
    <t>2032221-A</t>
  </si>
  <si>
    <t>2032225-A</t>
  </si>
  <si>
    <t>1832186-A</t>
  </si>
  <si>
    <t>1832181-0</t>
  </si>
  <si>
    <t>1832184-0</t>
  </si>
  <si>
    <t>1832313-0</t>
  </si>
  <si>
    <t>1832211-A</t>
  </si>
  <si>
    <t>1832212-A</t>
  </si>
  <si>
    <t>1832291-A</t>
  </si>
  <si>
    <t>1832294-A</t>
  </si>
  <si>
    <t>1832295-A</t>
  </si>
  <si>
    <t>1932121-A</t>
  </si>
  <si>
    <t>1932122-A</t>
  </si>
  <si>
    <t>1932117-A</t>
  </si>
  <si>
    <t>1932119-A</t>
  </si>
  <si>
    <t>1932118-A</t>
  </si>
  <si>
    <t>1932120-A</t>
  </si>
  <si>
    <t>1832175-A</t>
  </si>
  <si>
    <t>1932059-A</t>
  </si>
  <si>
    <t>1932063-A</t>
  </si>
  <si>
    <t>2032174-A</t>
  </si>
  <si>
    <t>2032173-A</t>
  </si>
  <si>
    <t>2032176-A</t>
  </si>
  <si>
    <t>2032175-A</t>
  </si>
  <si>
    <t>1832330-A</t>
  </si>
  <si>
    <t>1832329-A</t>
  </si>
  <si>
    <t>1832331-A</t>
  </si>
  <si>
    <t>1832332-A</t>
  </si>
  <si>
    <t>1832267-A</t>
  </si>
  <si>
    <t>1832297-A</t>
  </si>
  <si>
    <t>1832299-A</t>
  </si>
  <si>
    <t>1832298-A</t>
  </si>
  <si>
    <t>1832265-A</t>
  </si>
  <si>
    <t>1832266-A</t>
  </si>
  <si>
    <t>1832268-A</t>
  </si>
  <si>
    <t>1832202-A</t>
  </si>
  <si>
    <t>1832204-A</t>
  </si>
  <si>
    <t>1832323-A</t>
  </si>
  <si>
    <t>1932061-A</t>
  </si>
  <si>
    <t>1932058-A</t>
  </si>
  <si>
    <t>1932060-A</t>
  </si>
  <si>
    <t>1932062-A</t>
  </si>
  <si>
    <t>1932064-A</t>
  </si>
  <si>
    <t>1932066-A</t>
  </si>
  <si>
    <t>1932072-A</t>
  </si>
  <si>
    <t>1832336-A</t>
  </si>
  <si>
    <t>1832338-A</t>
  </si>
  <si>
    <t>1832334-A</t>
  </si>
  <si>
    <t>1832337-A</t>
  </si>
  <si>
    <t>1832333-A</t>
  </si>
  <si>
    <t>1832335-A</t>
  </si>
  <si>
    <t>1832238-B</t>
  </si>
  <si>
    <t>1832239-B</t>
  </si>
  <si>
    <t>1832283-A</t>
  </si>
  <si>
    <t>1832282-A</t>
  </si>
  <si>
    <t>2032227-A</t>
  </si>
  <si>
    <t>2032228-A</t>
  </si>
  <si>
    <t>2032229-A</t>
  </si>
  <si>
    <t>2032230-A</t>
  </si>
  <si>
    <t>2032231-A</t>
  </si>
  <si>
    <t>2032232-A</t>
  </si>
  <si>
    <t>1832290-A</t>
  </si>
  <si>
    <t>1832292-A</t>
  </si>
  <si>
    <t>1832293-A</t>
  </si>
  <si>
    <t>2032223-A</t>
  </si>
  <si>
    <t>2032226-A</t>
  </si>
  <si>
    <t>1832242-A</t>
  </si>
  <si>
    <t>1832243-A</t>
  </si>
  <si>
    <t>1832179-A</t>
  </si>
  <si>
    <t>1832365-A</t>
  </si>
  <si>
    <t>2132008-B</t>
  </si>
  <si>
    <t>2132010-B</t>
  </si>
  <si>
    <t>1932008-D</t>
  </si>
  <si>
    <t>1932017-D</t>
  </si>
  <si>
    <t>1932010-D</t>
  </si>
  <si>
    <t>1932012-D</t>
  </si>
  <si>
    <t>1932035-D</t>
  </si>
  <si>
    <t>1932019-D</t>
  </si>
  <si>
    <t>1932436-B</t>
  </si>
  <si>
    <t>1932437-B</t>
  </si>
  <si>
    <t>1932438-B</t>
  </si>
  <si>
    <t>1932439-B</t>
  </si>
  <si>
    <t>2132431-0</t>
  </si>
  <si>
    <t>2132432-0</t>
  </si>
  <si>
    <t>2132439-0</t>
  </si>
  <si>
    <t>2132440-0</t>
  </si>
  <si>
    <t>2132447-0</t>
  </si>
  <si>
    <t>2132448-0</t>
  </si>
  <si>
    <t>2132481-0</t>
  </si>
  <si>
    <t>2132482-0</t>
  </si>
  <si>
    <t>2132469-0</t>
  </si>
  <si>
    <t>2132470-0</t>
  </si>
  <si>
    <t>2132477-0</t>
  </si>
  <si>
    <t>2132478-0</t>
  </si>
  <si>
    <t>2432044-0</t>
  </si>
  <si>
    <t>2232205-0</t>
  </si>
  <si>
    <t>2232207-0</t>
  </si>
  <si>
    <t>2332478-0</t>
  </si>
  <si>
    <t>2332477-0</t>
  </si>
  <si>
    <t>1932445-B</t>
  </si>
  <si>
    <t>1932446-B</t>
  </si>
  <si>
    <t>1932447-B</t>
  </si>
  <si>
    <t>2132029-A</t>
  </si>
  <si>
    <t>2032090-A</t>
  </si>
  <si>
    <t>2032065-A</t>
  </si>
  <si>
    <t>1832271-A</t>
  </si>
  <si>
    <t>2032050-A</t>
  </si>
  <si>
    <t>2032051-A</t>
  </si>
  <si>
    <t>1832187-A</t>
  </si>
  <si>
    <t>1832365-B</t>
  </si>
  <si>
    <t>1832364-B</t>
  </si>
  <si>
    <t>1832362-B</t>
  </si>
  <si>
    <t>1832363-B</t>
  </si>
  <si>
    <t>1832179-B</t>
  </si>
  <si>
    <t>1832180-B</t>
  </si>
  <si>
    <t>2332456-0</t>
  </si>
  <si>
    <t>2332476-0</t>
  </si>
  <si>
    <t>2332480-0</t>
  </si>
  <si>
    <t>2232206-0</t>
  </si>
  <si>
    <t>2232208-0</t>
  </si>
  <si>
    <t>2332520-0</t>
  </si>
  <si>
    <t>2432001-0</t>
  </si>
  <si>
    <t>1832300-A</t>
  </si>
  <si>
    <t>1832205-A</t>
  </si>
  <si>
    <t>1832247-A</t>
  </si>
  <si>
    <t>1832249-A</t>
  </si>
  <si>
    <t>1832246-A</t>
  </si>
  <si>
    <t>1832248-A</t>
  </si>
  <si>
    <t>1832261-A</t>
  </si>
  <si>
    <t>1832259-A</t>
  </si>
  <si>
    <t>1832260-A</t>
  </si>
  <si>
    <t>1832258-A</t>
  </si>
  <si>
    <t>1832253-A</t>
  </si>
  <si>
    <t>1832255-A</t>
  </si>
  <si>
    <t>1832252-A</t>
  </si>
  <si>
    <t>1832254-A</t>
  </si>
  <si>
    <t>1832240-B</t>
  </si>
  <si>
    <t>1832312-0</t>
  </si>
  <si>
    <t>1832317-0</t>
  </si>
  <si>
    <t>1832316-0</t>
  </si>
  <si>
    <t>1832320-0</t>
  </si>
  <si>
    <t>1832231-A</t>
  </si>
  <si>
    <t>1832233-A</t>
  </si>
  <si>
    <t>1832234-A</t>
  </si>
  <si>
    <t>1832232-A</t>
  </si>
  <si>
    <t>1832236-B</t>
  </si>
  <si>
    <t>1832237-B</t>
  </si>
  <si>
    <t>1832203-A</t>
  </si>
  <si>
    <t>2232202-0</t>
  </si>
  <si>
    <t>2232204-0</t>
  </si>
  <si>
    <t>1932199-A</t>
  </si>
  <si>
    <t>1832270-A</t>
  </si>
  <si>
    <t>2032052-A</t>
  </si>
  <si>
    <t>2032062-A</t>
  </si>
  <si>
    <t>2032063-A</t>
  </si>
  <si>
    <t>2032064-A</t>
  </si>
  <si>
    <t>1932065-A</t>
  </si>
  <si>
    <t>2032133-A</t>
  </si>
  <si>
    <t>2032134-A</t>
  </si>
  <si>
    <t>2032135-A</t>
  </si>
  <si>
    <t>2032235-A</t>
  </si>
  <si>
    <t>2032236-A</t>
  </si>
  <si>
    <t>1832273-0</t>
  </si>
  <si>
    <t>2032450-0</t>
  </si>
  <si>
    <t>2032148-A</t>
  </si>
  <si>
    <t>2032242-A</t>
  </si>
  <si>
    <t>2332513-0</t>
  </si>
  <si>
    <t>2332512-0</t>
  </si>
  <si>
    <t>2332519-0</t>
  </si>
  <si>
    <t>2332518-0</t>
  </si>
  <si>
    <t>2332455-0</t>
  </si>
  <si>
    <t>2332454-0</t>
  </si>
  <si>
    <t>2332501-0</t>
  </si>
  <si>
    <t>2332200-0</t>
  </si>
  <si>
    <t>2332485-0</t>
  </si>
  <si>
    <t>2332471-0</t>
  </si>
  <si>
    <t>2332472-0</t>
  </si>
  <si>
    <t>2332607-0</t>
  </si>
  <si>
    <t>2332608-0</t>
  </si>
  <si>
    <t>2332605-0</t>
  </si>
  <si>
    <t>2332072-0</t>
  </si>
  <si>
    <t>2332603-0</t>
  </si>
  <si>
    <t>2232102-0</t>
  </si>
  <si>
    <t>2232103-0</t>
  </si>
  <si>
    <t>2232104-0</t>
  </si>
  <si>
    <t>2232105-0</t>
  </si>
  <si>
    <t>2332604-0</t>
  </si>
  <si>
    <t>2332613-0</t>
  </si>
  <si>
    <t>2332614-0</t>
  </si>
  <si>
    <t>2332615-0</t>
  </si>
  <si>
    <t>2332616-0</t>
  </si>
  <si>
    <t>2332617-0</t>
  </si>
  <si>
    <t>2332618-0</t>
  </si>
  <si>
    <t>2332619-0</t>
  </si>
  <si>
    <t>2332620-0</t>
  </si>
  <si>
    <t>2432032-0</t>
  </si>
  <si>
    <t>2432034-0</t>
  </si>
  <si>
    <t>2432035-0</t>
  </si>
  <si>
    <t>2432038-0</t>
  </si>
  <si>
    <t>2432039-0</t>
  </si>
  <si>
    <t>2432033-0</t>
  </si>
  <si>
    <t>2432036-0</t>
  </si>
  <si>
    <t>2432037-0</t>
  </si>
  <si>
    <t>1832193-A</t>
  </si>
  <si>
    <t>2332069-0</t>
  </si>
  <si>
    <t>2332074-0</t>
  </si>
  <si>
    <t>2032451-0</t>
  </si>
  <si>
    <t>2132012-0</t>
  </si>
  <si>
    <t>2032082-0</t>
  </si>
  <si>
    <t>2232238-0</t>
  </si>
  <si>
    <t>2232239-0</t>
  </si>
  <si>
    <t>2232240-0</t>
  </si>
  <si>
    <t>2232241-0</t>
  </si>
  <si>
    <t>2232242-0</t>
  </si>
  <si>
    <t>2232243-0</t>
  </si>
  <si>
    <t>2032435-0</t>
  </si>
  <si>
    <t>2232203-0</t>
  </si>
  <si>
    <t xml:space="preserve"> Label check sheet for bag</t>
  </si>
  <si>
    <t xml:space="preserve"> Label check sheet  for box</t>
  </si>
  <si>
    <t>Label check sheet 4 Lens CN  (bag)</t>
  </si>
  <si>
    <t xml:space="preserve">Label check sheet  for  distributor CN (box) </t>
  </si>
  <si>
    <t>Label check sheet distributor KR</t>
  </si>
  <si>
    <t xml:space="preserve"> -</t>
  </si>
  <si>
    <t>ATN-9877</t>
  </si>
  <si>
    <t xml:space="preserve"> - </t>
  </si>
  <si>
    <t>ATN-9878</t>
  </si>
  <si>
    <t>ATN-9879</t>
  </si>
  <si>
    <t>ATN-9883</t>
  </si>
  <si>
    <t>ATN-9884</t>
  </si>
  <si>
    <t xml:space="preserve">  -</t>
  </si>
  <si>
    <t>OHP-LS-14455</t>
  </si>
  <si>
    <t>OHP-LS-14456</t>
  </si>
  <si>
    <t>OHP-LS-15448</t>
  </si>
  <si>
    <t>OHP-LS-15449</t>
  </si>
  <si>
    <t>OHP-LS-8701</t>
  </si>
  <si>
    <t>OHP-LS-8702</t>
  </si>
  <si>
    <t>OHP-LS-8773</t>
  </si>
  <si>
    <t>OHP-LS-8774</t>
  </si>
  <si>
    <t>OHP-LS-8691</t>
  </si>
  <si>
    <t>OHP-LS-8692</t>
  </si>
  <si>
    <t>OHP-LS-8763</t>
  </si>
  <si>
    <t>OHP-LS-8764</t>
  </si>
  <si>
    <t>OHP-LS-8703</t>
  </si>
  <si>
    <t>OHP-LS-8704</t>
  </si>
  <si>
    <t>OHP-LS-8775</t>
  </si>
  <si>
    <t>OHP-LS-8776</t>
  </si>
  <si>
    <t>OHP-LS-8689</t>
  </si>
  <si>
    <t>OHP-LS-8690</t>
  </si>
  <si>
    <t>OHP-LS-8761</t>
  </si>
  <si>
    <t>OHP-LS-8762</t>
  </si>
  <si>
    <t>OHP-LS-8693</t>
  </si>
  <si>
    <t>OHP-LS-8694</t>
  </si>
  <si>
    <t>OHP-LS-8765</t>
  </si>
  <si>
    <t>OHP-LS-8766</t>
  </si>
  <si>
    <t>OHP-LS-8687</t>
  </si>
  <si>
    <t>OHP-LS-8688</t>
  </si>
  <si>
    <t>OHP-LS-8759</t>
  </si>
  <si>
    <t>OHP-LS-8760</t>
  </si>
  <si>
    <t>OHP-LS-8695</t>
  </si>
  <si>
    <t>OHP-LS-8696</t>
  </si>
  <si>
    <t>OHP-LS-8767</t>
  </si>
  <si>
    <t>OHP-LS-8768</t>
  </si>
  <si>
    <t>OHP-LS-8697</t>
  </si>
  <si>
    <t>OHP-LS-8698</t>
  </si>
  <si>
    <t>OHP-LS-8769</t>
  </si>
  <si>
    <t>OHP-LS-8770</t>
  </si>
  <si>
    <t>OHP-LS-8699</t>
  </si>
  <si>
    <t>OHP-LS-8700</t>
  </si>
  <si>
    <t>OHP-LS-8771</t>
  </si>
  <si>
    <t>OHP-LS-8772</t>
  </si>
  <si>
    <t>OHP-LS-8647</t>
  </si>
  <si>
    <t>OHP-LS-8648</t>
  </si>
  <si>
    <t>OHP-LS-14461</t>
  </si>
  <si>
    <t>OHP-LS-14462</t>
  </si>
  <si>
    <t>OHP-LS-15454</t>
  </si>
  <si>
    <t>OHP-LS-15455</t>
  </si>
  <si>
    <t>OHP-LS-14459</t>
  </si>
  <si>
    <t>OHP-LS-14460</t>
  </si>
  <si>
    <t>OHP-LS-15452</t>
  </si>
  <si>
    <t>OHP-LS-15453</t>
  </si>
  <si>
    <t>OHP-LS-14457</t>
  </si>
  <si>
    <t>OHP-LS-14458</t>
  </si>
  <si>
    <t>OHP-LS-15450</t>
  </si>
  <si>
    <t>OHP-LS-15451</t>
  </si>
  <si>
    <t>OHP-LS-9436</t>
  </si>
  <si>
    <t>OHP-LS-9437</t>
  </si>
  <si>
    <t>OHP-LS-12792</t>
  </si>
  <si>
    <t>OHP-LS-12793</t>
  </si>
  <si>
    <t>ATN-10374</t>
  </si>
  <si>
    <t>ATN-10375</t>
  </si>
  <si>
    <t>ATN-10376</t>
  </si>
  <si>
    <t>OHP-LS-9618</t>
  </si>
  <si>
    <t>OHP-LS-9619</t>
  </si>
  <si>
    <t>OHP-LS-9610</t>
  </si>
  <si>
    <t>OHP-LS-9611</t>
  </si>
  <si>
    <t>OHP-LS-2288</t>
  </si>
  <si>
    <t>OHP-LS-2289</t>
  </si>
  <si>
    <t>OHP-LS-2290</t>
  </si>
  <si>
    <t>OHP-LS-2291</t>
  </si>
  <si>
    <t>OHP-LS-2348</t>
  </si>
  <si>
    <t>OHP-LS-2349</t>
  </si>
  <si>
    <t>OHP-LS-2350</t>
  </si>
  <si>
    <t>OHP-LS-2351</t>
  </si>
  <si>
    <t>OHP-LS-9612</t>
  </si>
  <si>
    <t>OHP-LS-9613</t>
  </si>
  <si>
    <t>OHP-LS-9606</t>
  </si>
  <si>
    <t>OHP-LS-9607</t>
  </si>
  <si>
    <t>OHP-LS-9608</t>
  </si>
  <si>
    <t>OHP-LS-9609</t>
  </si>
  <si>
    <t>OHP-LS-2354</t>
  </si>
  <si>
    <t>OHP-LS-2355</t>
  </si>
  <si>
    <t>OHP-LS-2356</t>
  </si>
  <si>
    <t>OHP-LS-2357</t>
  </si>
  <si>
    <t>OHP-LS-2358</t>
  </si>
  <si>
    <t>OHP-LS-2359</t>
  </si>
  <si>
    <t>OHP-LS-9620</t>
  </si>
  <si>
    <t>OHP-LS-9621</t>
  </si>
  <si>
    <t>OHP-LS-9614</t>
  </si>
  <si>
    <t>OHP-LS-9615</t>
  </si>
  <si>
    <t>OHP-LS-9616</t>
  </si>
  <si>
    <t>OHP-LS-9617</t>
  </si>
  <si>
    <t>OHP-LS-9913</t>
  </si>
  <si>
    <t>OHP-LS-9914</t>
  </si>
  <si>
    <t>AMI-ILKR0008 Ver.1</t>
  </si>
  <si>
    <t>OHP-LS-10033</t>
  </si>
  <si>
    <t>OHP-LS-10034</t>
  </si>
  <si>
    <t>OHP-LS-10017</t>
  </si>
  <si>
    <t>OHP-LS-10018</t>
  </si>
  <si>
    <t>OHP-LS-10019</t>
  </si>
  <si>
    <t>OHP-LS-10020</t>
  </si>
  <si>
    <t>OHP-LS-10021</t>
  </si>
  <si>
    <t>OHP-LS-10022</t>
  </si>
  <si>
    <t>OHP-LS-10023</t>
  </si>
  <si>
    <t>OHP-LS-10024</t>
  </si>
  <si>
    <t>OHP-LS-10025</t>
  </si>
  <si>
    <t>OHP-LS-10026</t>
  </si>
  <si>
    <t>OHP-LS-10027</t>
  </si>
  <si>
    <t>OHP-LS-10029</t>
  </si>
  <si>
    <t>OHP-LS-10030</t>
  </si>
  <si>
    <t>OHP-LS-10035</t>
  </si>
  <si>
    <t xml:space="preserve">OHP-LS-10036 </t>
  </si>
  <si>
    <t>ATN-16802</t>
  </si>
  <si>
    <t>OHP-LS-10445</t>
  </si>
  <si>
    <t>ATN-16803</t>
  </si>
  <si>
    <t>OHP-LS-2121</t>
  </si>
  <si>
    <t>OHP-LS-2242</t>
  </si>
  <si>
    <t>OHP-LS-2243</t>
  </si>
  <si>
    <t>OHP-LS-10422</t>
  </si>
  <si>
    <t>OHP-LS-14529</t>
  </si>
  <si>
    <t>OHP-LS-14530</t>
  </si>
  <si>
    <t>OHP-LS-15384</t>
  </si>
  <si>
    <t>OHP-LS-15385</t>
  </si>
  <si>
    <t>OHP-LS-14531</t>
  </si>
  <si>
    <t>OHP-LS-14532</t>
  </si>
  <si>
    <t>OHP-LS-15386</t>
  </si>
  <si>
    <t>OHP-LS-15387</t>
  </si>
  <si>
    <t>OHP-LS-14533</t>
  </si>
  <si>
    <t>OHP-LS-14534</t>
  </si>
  <si>
    <t>OHP-LS-15388</t>
  </si>
  <si>
    <t>OHP-LS-15389</t>
  </si>
  <si>
    <t>OHP-LS-14535</t>
  </si>
  <si>
    <t>OHP-LS-14536</t>
  </si>
  <si>
    <t>OHP-LS-15390</t>
  </si>
  <si>
    <t>OHP-LS-15391</t>
  </si>
  <si>
    <t>OHP-LS-14537</t>
  </si>
  <si>
    <t>OHP-LS-14538</t>
  </si>
  <si>
    <t>OHP-LS-15392</t>
  </si>
  <si>
    <t>OHP-LS-15393</t>
  </si>
  <si>
    <t>OHP-LS-14539</t>
  </si>
  <si>
    <t>OHP-LS-14540</t>
  </si>
  <si>
    <t>OHP-LS-15394</t>
  </si>
  <si>
    <t>OHP-LS-15395</t>
  </si>
  <si>
    <t>OHP-LS-14541</t>
  </si>
  <si>
    <t>OHP-LS-14542</t>
  </si>
  <si>
    <t>OHP-LS-15396</t>
  </si>
  <si>
    <t>OHP-LS-15397</t>
  </si>
  <si>
    <t>OHP-LS-2310</t>
  </si>
  <si>
    <t>OHP-LS-2311</t>
  </si>
  <si>
    <t>OHP-LS-2308</t>
  </si>
  <si>
    <t>OHP-LS-2309</t>
  </si>
  <si>
    <t>OHP-LS-2342</t>
  </si>
  <si>
    <t>OHP-LS-2343</t>
  </si>
  <si>
    <t>OHP-LS-2480</t>
  </si>
  <si>
    <t>OHP-LS-2481</t>
  </si>
  <si>
    <t>OHP-LS-2484</t>
  </si>
  <si>
    <t>OHP-LS-2485</t>
  </si>
  <si>
    <t>OHP-LS-2488</t>
  </si>
  <si>
    <t>OHP-LS-2489</t>
  </si>
  <si>
    <t>OHP-LS-2482</t>
  </si>
  <si>
    <t>OHP-LS-2483</t>
  </si>
  <si>
    <t>OHP-LS-2486</t>
  </si>
  <si>
    <t>OHP-LS-2487</t>
  </si>
  <si>
    <t>OHP-LS-2490</t>
  </si>
  <si>
    <t>OHP-LS-2491</t>
  </si>
  <si>
    <t>OHP-LS-2314</t>
  </si>
  <si>
    <t>OHP-LS-2315</t>
  </si>
  <si>
    <t>OHP-LS-2240</t>
  </si>
  <si>
    <t>OHP-LS-2241</t>
  </si>
  <si>
    <t>OHP-LS-2244</t>
  </si>
  <si>
    <t>OHP-LS-2245</t>
  </si>
  <si>
    <t>OHP-LS-2246</t>
  </si>
  <si>
    <t>OHP-LS-2247</t>
  </si>
  <si>
    <t>ATN-16805</t>
  </si>
  <si>
    <t>OHP-LS-2312</t>
  </si>
  <si>
    <t>OHP-LS-2313</t>
  </si>
  <si>
    <t>ATN-16859</t>
  </si>
  <si>
    <t>OHP-LS-8629</t>
  </si>
  <si>
    <t>OHP-LS-8630</t>
  </si>
  <si>
    <t>OHP-LS-7934</t>
  </si>
  <si>
    <t>OHP-LS-7935</t>
  </si>
  <si>
    <t>OHP-LS-13644</t>
  </si>
  <si>
    <t>OHP-LS-13645</t>
  </si>
  <si>
    <t>OHP-LS-13643</t>
  </si>
  <si>
    <t>OHP-LS-13646</t>
  </si>
  <si>
    <t>OHP-LS-13647</t>
  </si>
  <si>
    <t>OHP-LS-13648</t>
  </si>
  <si>
    <t>OHP-LS-13649</t>
  </si>
  <si>
    <t>OHP-LS-13660</t>
  </si>
  <si>
    <t>OHP-LS-13661</t>
  </si>
  <si>
    <t>OHP-LS-10031</t>
  </si>
  <si>
    <t>OHP-LS-10032</t>
  </si>
  <si>
    <t>OHP-LS-12786</t>
  </si>
  <si>
    <t>OHP-LS-12787</t>
  </si>
  <si>
    <t>OHP-LS-12788</t>
  </si>
  <si>
    <t>OHP-LS-12789</t>
  </si>
  <si>
    <t>OHP-LS-12790</t>
  </si>
  <si>
    <t>OHP-LS-12791</t>
  </si>
  <si>
    <t>OHP-LS-14153</t>
  </si>
  <si>
    <t>OHP-LS-14154</t>
  </si>
  <si>
    <t>OHP-LS-13411</t>
  </si>
  <si>
    <t>OHP-LS-13412</t>
  </si>
  <si>
    <t>OHP-LS-13425</t>
  </si>
  <si>
    <t>OHP-LS-13426</t>
  </si>
  <si>
    <t>OHP-LS-13421</t>
  </si>
  <si>
    <t>OHP-LS-13422</t>
  </si>
  <si>
    <t>OHP-LS-10160</t>
  </si>
  <si>
    <t>OHP-LS-10161</t>
  </si>
  <si>
    <t>OHP-LS-7575</t>
  </si>
  <si>
    <t>OHP-LS-7576</t>
  </si>
  <si>
    <t>OHP-LS-7583</t>
  </si>
  <si>
    <t>OHP-LS-7584</t>
  </si>
  <si>
    <t>OHP-LS-7593</t>
  </si>
  <si>
    <t>OHP-LS-7594</t>
  </si>
  <si>
    <t>OHP-LS-7595</t>
  </si>
  <si>
    <t>OHP-LS-7596</t>
  </si>
  <si>
    <t>OHP-LS-12371</t>
  </si>
  <si>
    <t>OHP-LS-12372</t>
  </si>
  <si>
    <t>OHP-LS-12377</t>
  </si>
  <si>
    <t>OHP-LS-12378</t>
  </si>
  <si>
    <t>OHP-LS-12379</t>
  </si>
  <si>
    <t>OHP-LS-12380</t>
  </si>
  <si>
    <t>OHP-LS-12381</t>
  </si>
  <si>
    <t>OHP-LS-12382</t>
  </si>
  <si>
    <t>OHP-LS-2346</t>
  </si>
  <si>
    <t>OHP-LS-2347</t>
  </si>
  <si>
    <t>OHP-LS-19697</t>
  </si>
  <si>
    <t>OHP-LS-19698</t>
  </si>
  <si>
    <t>OHP-LS-19699</t>
  </si>
  <si>
    <t>OHP-LS-19700</t>
  </si>
  <si>
    <t>OHP-LS-19709</t>
  </si>
  <si>
    <t>OHP-LS-19710</t>
  </si>
  <si>
    <t>OHP-LS-7585</t>
  </si>
  <si>
    <t>OHP-LS-7586</t>
  </si>
  <si>
    <t>OHP-LS-7589</t>
  </si>
  <si>
    <t>OHP-LS-7590</t>
  </si>
  <si>
    <t>OHP-LS-7587</t>
  </si>
  <si>
    <t>OHP-LS-7588</t>
  </si>
  <si>
    <t>OHP-LS-7591</t>
  </si>
  <si>
    <t>OHP-LS-7592</t>
  </si>
  <si>
    <t>OHP-LS-7597</t>
  </si>
  <si>
    <t>OHP-LS-7598</t>
  </si>
  <si>
    <t>OHP-LS-7601</t>
  </si>
  <si>
    <t>OHP-LS-7602</t>
  </si>
  <si>
    <t>OHP-LS-7599</t>
  </si>
  <si>
    <t>OHP-LS-7600</t>
  </si>
  <si>
    <t>OHP-LS-12357</t>
  </si>
  <si>
    <t>OHP-LS-12358</t>
  </si>
  <si>
    <t>OHP-LS-12359</t>
  </si>
  <si>
    <t>OHP-LS-12360</t>
  </si>
  <si>
    <t>OHP-LS-12369</t>
  </si>
  <si>
    <t>OHP-LS-12370</t>
  </si>
  <si>
    <t>OHP-LS-14207</t>
  </si>
  <si>
    <t>OHP-LS-14208</t>
  </si>
  <si>
    <t>OHP-LS-14215</t>
  </si>
  <si>
    <t>OHP-LS-14216</t>
  </si>
  <si>
    <t>OHP-LS-8645</t>
  </si>
  <si>
    <t>OHP-LS-8646</t>
  </si>
  <si>
    <t>OHP-LS-2500</t>
  </si>
  <si>
    <t>OHP-LS-2501</t>
  </si>
  <si>
    <t>OHP-LS-2502</t>
  </si>
  <si>
    <t>OHP-LS-2503</t>
  </si>
  <si>
    <t>OHP-LS-2444</t>
  </si>
  <si>
    <t>OHP-LS-2445</t>
  </si>
  <si>
    <t>OHP-LS-2446</t>
  </si>
  <si>
    <t>OHP-LS-2447</t>
  </si>
  <si>
    <t>OHP-LS-2292</t>
  </si>
  <si>
    <t>OHP-LS-2293</t>
  </si>
  <si>
    <t>OHP-LS-2294</t>
  </si>
  <si>
    <t>OHP-LS-2295</t>
  </si>
  <si>
    <t>OHP-LS-2296</t>
  </si>
  <si>
    <t>OHP-LS-2297</t>
  </si>
  <si>
    <t>OHP-LS-2300</t>
  </si>
  <si>
    <t>OHP-LS-2301</t>
  </si>
  <si>
    <t>OHP-LS-2302</t>
  </si>
  <si>
    <t>OHP-LS-2303</t>
  </si>
  <si>
    <t>OHP-LS-2304</t>
  </si>
  <si>
    <t>OHP-LS-2305</t>
  </si>
  <si>
    <t>OHP-LS-2360</t>
  </si>
  <si>
    <t>OHP-LS-2361</t>
  </si>
  <si>
    <t>OHP-LS-2362</t>
  </si>
  <si>
    <t>OHP-LS-2363</t>
  </si>
  <si>
    <t>OHP-LS-2364</t>
  </si>
  <si>
    <t>OHP-LS-2365</t>
  </si>
  <si>
    <t>OHP-LS-2366</t>
  </si>
  <si>
    <t>OHP-LS-2367</t>
  </si>
  <si>
    <t>OHP-LS-2368</t>
  </si>
  <si>
    <t>OHP-LS-2369</t>
  </si>
  <si>
    <t>OHP-LS-2370</t>
  </si>
  <si>
    <t>OHP-LS-2371</t>
  </si>
  <si>
    <t>OHP-LS-5190</t>
  </si>
  <si>
    <t>OHP-LS-5191</t>
  </si>
  <si>
    <t>OHP-LS-5188</t>
  </si>
  <si>
    <t>OHP-LS-5189</t>
  </si>
  <si>
    <t>OHP-LS-5186</t>
  </si>
  <si>
    <t>OHP-LS-5187</t>
  </si>
  <si>
    <t>OHP-LS-5184</t>
  </si>
  <si>
    <t>OHP-LS-5185</t>
  </si>
  <si>
    <t>OHP-LS-2636</t>
  </si>
  <si>
    <t>OHP-LS-2637</t>
  </si>
  <si>
    <t>OHP-LS-2644</t>
  </si>
  <si>
    <t>OHP-LS-2645</t>
  </si>
  <si>
    <t>OHP-LS-2648</t>
  </si>
  <si>
    <t>OHP-LS-2649</t>
  </si>
  <si>
    <t>OHP-LS-2656</t>
  </si>
  <si>
    <t>OHP-LS-2657</t>
  </si>
  <si>
    <t>OHP-LS-2614</t>
  </si>
  <si>
    <t>OHP-LS-2615</t>
  </si>
  <si>
    <t>OHP-LS-10747</t>
  </si>
  <si>
    <t>OHP-LS-10748</t>
  </si>
  <si>
    <t>OHP-LS-10749</t>
  </si>
  <si>
    <t>OHP-LS-10750</t>
  </si>
  <si>
    <t>OHP-LS-10751</t>
  </si>
  <si>
    <t>OHP-LS-10752</t>
  </si>
  <si>
    <t>OHP-LS-10753</t>
  </si>
  <si>
    <t>OHP-LS-10754</t>
  </si>
  <si>
    <t>OHP-LS-10755</t>
  </si>
  <si>
    <t>OHP-LS-10756</t>
  </si>
  <si>
    <t>OHP-LS-10757</t>
  </si>
  <si>
    <t>OHP-LS-10758</t>
  </si>
  <si>
    <t>OHP-LS-10759</t>
  </si>
  <si>
    <t>OHP-LS-10760</t>
  </si>
  <si>
    <t>OHP-LS-10763</t>
  </si>
  <si>
    <t>OHP-LS-10764</t>
  </si>
  <si>
    <t>OHP-LS-10765</t>
  </si>
  <si>
    <t>OHP-LS-10766</t>
  </si>
  <si>
    <t xml:space="preserve">OHP-LS-10767 </t>
  </si>
  <si>
    <t>OHP-LS-10768</t>
  </si>
  <si>
    <t>OHP-LS-10769</t>
  </si>
  <si>
    <t>OHP-LS-10770</t>
  </si>
  <si>
    <t>OHP-LS-10771</t>
  </si>
  <si>
    <t>OHP-LS-10772</t>
  </si>
  <si>
    <t>OHP-LS-10777</t>
  </si>
  <si>
    <t>OHP-LS-10778</t>
  </si>
  <si>
    <t>OHP-LS-14109</t>
  </si>
  <si>
    <t>OHP-LS-14110</t>
  </si>
  <si>
    <t>OHP-LS-14111</t>
  </si>
  <si>
    <t>OHP-LS-14112</t>
  </si>
  <si>
    <t>OHP-LS-14113</t>
  </si>
  <si>
    <t>OHP-LS-14114</t>
  </si>
  <si>
    <t>OHP-LS-14115</t>
  </si>
  <si>
    <t>OHP-LS-14116</t>
  </si>
  <si>
    <t>OHP-LS-14117</t>
  </si>
  <si>
    <t>OHP-LS-14118</t>
  </si>
  <si>
    <t>OHP-LS-14119</t>
  </si>
  <si>
    <t>OHP-LS-14120</t>
  </si>
  <si>
    <t>OHP-LS-18128</t>
  </si>
  <si>
    <t>OHP-LS-18129</t>
  </si>
  <si>
    <t>OHP-LS-18130</t>
  </si>
  <si>
    <t>OHP-LS-18131</t>
  </si>
  <si>
    <t>OHP-LS-18132</t>
  </si>
  <si>
    <t>OHP-LS-18133</t>
  </si>
  <si>
    <t>OHP-LS-18134</t>
  </si>
  <si>
    <t>OHP-LS-18135</t>
  </si>
  <si>
    <t>OHP-LS-18136</t>
  </si>
  <si>
    <t>OHP-LS-18137</t>
  </si>
  <si>
    <t>OHP-LS-18138</t>
  </si>
  <si>
    <t>OHP-LS-18139</t>
  </si>
  <si>
    <t>OHP-LS-14079</t>
  </si>
  <si>
    <t>OHP-LS-14080</t>
  </si>
  <si>
    <t>OHP-LS-14081</t>
  </si>
  <si>
    <t>OHP-LS-14082</t>
  </si>
  <si>
    <t>OHP-LS-22075</t>
  </si>
  <si>
    <t>OHP-LS-22076</t>
  </si>
  <si>
    <t>OHP-LS-22091</t>
  </si>
  <si>
    <t>OHP-LS-22092</t>
  </si>
  <si>
    <t>OHP-LS-22243</t>
  </si>
  <si>
    <t>OHP-LS-22244</t>
  </si>
  <si>
    <t>OHP-LS-22119</t>
  </si>
  <si>
    <t>OHP-LS-22120</t>
  </si>
  <si>
    <t>OHP-LS-22251</t>
  </si>
  <si>
    <t>OHP-LS-22252</t>
  </si>
  <si>
    <t>OHP-LS-22077</t>
  </si>
  <si>
    <t>OHP-LS-22078</t>
  </si>
  <si>
    <t>OHP-LS-22079</t>
  </si>
  <si>
    <t>OHP-LS-22080</t>
  </si>
  <si>
    <t>OHP-LS-22081</t>
  </si>
  <si>
    <t>OHP-LS-22082</t>
  </si>
  <si>
    <t>OHP-LS-22083</t>
  </si>
  <si>
    <t>OHP-LS-22084</t>
  </si>
  <si>
    <t>OHP-LS-22085</t>
  </si>
  <si>
    <t>OHP-LS-22086</t>
  </si>
  <si>
    <t>OHP-LS-22087</t>
  </si>
  <si>
    <t>OHP-LS-22088</t>
  </si>
  <si>
    <t>OHP-LS-22089</t>
  </si>
  <si>
    <t>OHP-LS-22090</t>
  </si>
  <si>
    <t>OHP-LS-22093</t>
  </si>
  <si>
    <t>OHP-LS-22094</t>
  </si>
  <si>
    <t>OHP-LS-22095</t>
  </si>
  <si>
    <t>OHP-LS-22096</t>
  </si>
  <si>
    <t>OHP-LS-22097</t>
  </si>
  <si>
    <t>OHP-LS-22098</t>
  </si>
  <si>
    <t>OHP-LS-22099</t>
  </si>
  <si>
    <t>OHP-LS-22100</t>
  </si>
  <si>
    <t>OHP-LS-22101</t>
  </si>
  <si>
    <t>OHP-LS-22102</t>
  </si>
  <si>
    <t>OHP-LS-22103</t>
  </si>
  <si>
    <t>OHP-LS-22104</t>
  </si>
  <si>
    <t>OHP-LS-22105</t>
  </si>
  <si>
    <t>OHP-LS-22106</t>
  </si>
  <si>
    <t>OHP-LS-22107</t>
  </si>
  <si>
    <t>OHP-LS-22108</t>
  </si>
  <si>
    <t>OHP-LS-22109</t>
  </si>
  <si>
    <t>OHP-LS-22110</t>
  </si>
  <si>
    <t>OHP-LS-22111</t>
  </si>
  <si>
    <t>OHP-LS-22112</t>
  </si>
  <si>
    <t>OHP-LS-22113</t>
  </si>
  <si>
    <t>OHP-LS-22114</t>
  </si>
  <si>
    <t>OHP-LS-22115</t>
  </si>
  <si>
    <t>OHP-LS-22116</t>
  </si>
  <si>
    <t>OHP-LS-22117</t>
  </si>
  <si>
    <t>OHP-LS-22118</t>
  </si>
  <si>
    <t>OHP-LS-22121</t>
  </si>
  <si>
    <t>OHP-LS-22122</t>
  </si>
  <si>
    <t>OHP-LS-22123</t>
  </si>
  <si>
    <t>OHP-LS-22124</t>
  </si>
  <si>
    <t>OHP-LS-22125</t>
  </si>
  <si>
    <t>OHP-LS-22126</t>
  </si>
  <si>
    <t>OHP-LS-22127</t>
  </si>
  <si>
    <t>OHP-LS-22128</t>
  </si>
  <si>
    <t>OHP-LS-22129</t>
  </si>
  <si>
    <t>OHP-LS-22130</t>
  </si>
  <si>
    <t>OHP-LS-22175</t>
  </si>
  <si>
    <t>OHP-LS-22176</t>
  </si>
  <si>
    <t>OHP-LS-22203</t>
  </si>
  <si>
    <t>OHP-LS-22204</t>
  </si>
  <si>
    <t>OHP-LS-22205</t>
  </si>
  <si>
    <t>OHP-LS-22206</t>
  </si>
  <si>
    <t>OHP-LS-22207</t>
  </si>
  <si>
    <t>OHP-LS-22208</t>
  </si>
  <si>
    <t>OHP-LS-22213</t>
  </si>
  <si>
    <t>OHP-LS-22214</t>
  </si>
  <si>
    <t>OHP-LS-22245</t>
  </si>
  <si>
    <t>OHP-LS-22246</t>
  </si>
  <si>
    <t>OHP-LS-22247</t>
  </si>
  <si>
    <t>OHP-LS-22248</t>
  </si>
  <si>
    <t>OHP-LS-22249</t>
  </si>
  <si>
    <t>OHP-LS-22250</t>
  </si>
  <si>
    <t>OHP-LS-22195</t>
  </si>
  <si>
    <t>OHP-LS-22196</t>
  </si>
  <si>
    <t>OHP-LS-22197</t>
  </si>
  <si>
    <t>OHP-LS-22198</t>
  </si>
  <si>
    <t>OHP-LS-22199</t>
  </si>
  <si>
    <t>OHP-LS-22200</t>
  </si>
  <si>
    <t>OHP-LS-22201</t>
  </si>
  <si>
    <t>OHP-LS-22202</t>
  </si>
  <si>
    <t>OHP-LS-22761</t>
  </si>
  <si>
    <t>OHP-LS-22762</t>
  </si>
  <si>
    <t>OHP-LS-22763</t>
  </si>
  <si>
    <t>OHP-LS-22764</t>
  </si>
  <si>
    <t>OHP-LS-22765</t>
  </si>
  <si>
    <t>OHP-LS-22766</t>
  </si>
  <si>
    <t>OHP-LS-22767</t>
  </si>
  <si>
    <t>OHP-LS-22768</t>
  </si>
  <si>
    <t>OHP-LS-22892</t>
  </si>
  <si>
    <t>OHP-LS-22893</t>
  </si>
  <si>
    <t>OHP-LS-22896</t>
  </si>
  <si>
    <t>OHP-LS-22897</t>
  </si>
  <si>
    <t>OHP-LS-22882</t>
  </si>
  <si>
    <t>OHP-LS-22883</t>
  </si>
  <si>
    <t>OHP-LS-22888</t>
  </si>
  <si>
    <t>OHP-LS-22889</t>
  </si>
  <si>
    <t>OHP-LS-22890</t>
  </si>
  <si>
    <t>OHP-LS-22891</t>
  </si>
  <si>
    <t>OHP-LS-22856</t>
  </si>
  <si>
    <t>OHP-LS-22857</t>
  </si>
  <si>
    <t>OHP-LS-22866</t>
  </si>
  <si>
    <t>OHP-LS-22867</t>
  </si>
  <si>
    <t>OHP-LS-22870</t>
  </si>
  <si>
    <t>OHP-LS-22871</t>
  </si>
  <si>
    <t>OHP-LS-22874</t>
  </si>
  <si>
    <t>OHP-LS-22875</t>
  </si>
  <si>
    <t>OHP-LS-22868</t>
  </si>
  <si>
    <t>OHP-LS-22869</t>
  </si>
  <si>
    <t>OHP-LS-22872</t>
  </si>
  <si>
    <t>OHP-LS-22873</t>
  </si>
  <si>
    <t>OHP-LS-22876</t>
  </si>
  <si>
    <t>OHP-LS-22877</t>
  </si>
  <si>
    <t>OHP-LS-22850</t>
  </si>
  <si>
    <t>OHP-LS-22851</t>
  </si>
  <si>
    <t>OHP-LS-22854</t>
  </si>
  <si>
    <t>OHP-LS-22855</t>
  </si>
  <si>
    <t>OHP-LS-22858</t>
  </si>
  <si>
    <t>OHP-LS-22859</t>
  </si>
  <si>
    <t>OHP-LS-22862</t>
  </si>
  <si>
    <t>OHP-LS-22863</t>
  </si>
  <si>
    <t>OHP-LS-22852</t>
  </si>
  <si>
    <t>OHP-LS-22853</t>
  </si>
  <si>
    <t>OHP-LS-22860</t>
  </si>
  <si>
    <t>OHP-LS-22861</t>
  </si>
  <si>
    <t>OHP-LS-22864</t>
  </si>
  <si>
    <t>OHP-LS-22865</t>
  </si>
  <si>
    <t>OHP-LS-22878</t>
  </si>
  <si>
    <t>OHP-LS-22879</t>
  </si>
  <si>
    <t>OHP-LS-22880</t>
  </si>
  <si>
    <t>OHP-LS-22881</t>
  </si>
  <si>
    <t>OHP-LS-22886</t>
  </si>
  <si>
    <t>OHP-LS-22887</t>
  </si>
  <si>
    <t>OHP-LS-22884</t>
  </si>
  <si>
    <t>OHP-LS-22885</t>
  </si>
  <si>
    <t>OHP-LS-22898</t>
  </si>
  <si>
    <t>OHP-LS-22899</t>
  </si>
  <si>
    <t>OHP-LS-22894</t>
  </si>
  <si>
    <t>OHP-LS-22895</t>
  </si>
  <si>
    <t>OHP-LS-23005</t>
  </si>
  <si>
    <t>OHP-LS-23006</t>
  </si>
  <si>
    <t>OHP-LS-23009</t>
  </si>
  <si>
    <t>OHP-LS-23010</t>
  </si>
  <si>
    <t>OHP-LS-23017</t>
  </si>
  <si>
    <t>OHP-LS-23018</t>
  </si>
  <si>
    <t>OHP-LS-23025</t>
  </si>
  <si>
    <t>OHP-LS-23026</t>
  </si>
  <si>
    <t>OHP-LS-22989</t>
  </si>
  <si>
    <t>OHP-LS-22990</t>
  </si>
  <si>
    <t>OHP-LS-23031</t>
  </si>
  <si>
    <t>OHP-LS-23032</t>
  </si>
  <si>
    <t>OHP-LS-22997</t>
  </si>
  <si>
    <t>OHP-LS-22998</t>
  </si>
  <si>
    <t>OHP-LS-22999</t>
  </si>
  <si>
    <t>OHP-LS-23000</t>
  </si>
  <si>
    <t>OHP-LS-23007</t>
  </si>
  <si>
    <t>OHP-LS-23008</t>
  </si>
  <si>
    <t>OHP-LS-23013</t>
  </si>
  <si>
    <t>OHP-LS-23014</t>
  </si>
  <si>
    <t>OHP-LS-23015</t>
  </si>
  <si>
    <t>OHP-LS-23016</t>
  </si>
  <si>
    <t>OHP-LS-23001</t>
  </si>
  <si>
    <t>OHP-LS-23002</t>
  </si>
  <si>
    <t>OHP-LS-23003</t>
  </si>
  <si>
    <t>OHP-LS-23004</t>
  </si>
  <si>
    <t>OHP-LS-23011</t>
  </si>
  <si>
    <t>OHP-LS-23012</t>
  </si>
  <si>
    <t>OHP-LS-23019</t>
  </si>
  <si>
    <t>OHP-LS-23020</t>
  </si>
  <si>
    <t>OHP-LS-23021</t>
  </si>
  <si>
    <t>OHP-LS-23022</t>
  </si>
  <si>
    <t>OHP-LS-23023</t>
  </si>
  <si>
    <t>OHP-LS-23024</t>
  </si>
  <si>
    <t>OHP-LS-23027</t>
  </si>
  <si>
    <t>OHP-LS-23028</t>
  </si>
  <si>
    <t>OHP-LS-23029</t>
  </si>
  <si>
    <t>OHP-LS-23030</t>
  </si>
  <si>
    <t>OHP-LS-22985</t>
  </si>
  <si>
    <t>OHP-LS-22986</t>
  </si>
  <si>
    <t>OHP-LS-22993</t>
  </si>
  <si>
    <t>OHP-LS-22994</t>
  </si>
  <si>
    <t>OHP-LS-22977</t>
  </si>
  <si>
    <t>OHP-LS-22978</t>
  </si>
  <si>
    <t>OHP-LS-22995</t>
  </si>
  <si>
    <t>OHP-LS-22996</t>
  </si>
  <si>
    <t>OHP-LS-22979</t>
  </si>
  <si>
    <t>OHP-LS-22980</t>
  </si>
  <si>
    <t>OHP-LS-22987</t>
  </si>
  <si>
    <t>OHP-LS-22988</t>
  </si>
  <si>
    <t>OHP-LS-22949</t>
  </si>
  <si>
    <t>OHP-LS-22950</t>
  </si>
  <si>
    <t>OHP-LS-22951</t>
  </si>
  <si>
    <t>OHP-LS-22952</t>
  </si>
  <si>
    <t>OHP-LS-22953</t>
  </si>
  <si>
    <t>OHP-LS-22954</t>
  </si>
  <si>
    <t>OHP-LS-22955</t>
  </si>
  <si>
    <t>OHP-LS-22956</t>
  </si>
  <si>
    <t>OHP-LS-22963</t>
  </si>
  <si>
    <t>OHP-LS-22964</t>
  </si>
  <si>
    <t>OHP-LS-22961</t>
  </si>
  <si>
    <t>OHP-LS-22962</t>
  </si>
  <si>
    <t>OHP-LS-22967</t>
  </si>
  <si>
    <t>OHP-LS-22968</t>
  </si>
  <si>
    <t>OHP-LS-22965</t>
  </si>
  <si>
    <t>OHP-LS-22966</t>
  </si>
  <si>
    <t>OHP-LS-22971</t>
  </si>
  <si>
    <t>OHP-LS-22972</t>
  </si>
  <si>
    <t>OHP-LS-22969</t>
  </si>
  <si>
    <t>OHP-LS-22970</t>
  </si>
  <si>
    <t>OHP-LS-22975</t>
  </si>
  <si>
    <t>OHP-LS-22976</t>
  </si>
  <si>
    <t>OHP-LS-22973</t>
  </si>
  <si>
    <t>OHP-LS-22974</t>
  </si>
  <si>
    <t>OHP-LS-22983</t>
  </si>
  <si>
    <t>OHP-LS-22984</t>
  </si>
  <si>
    <t>OHP-LS-22981</t>
  </si>
  <si>
    <t>OHP-LS-22982</t>
  </si>
  <si>
    <t>OHP-LS-22991</t>
  </si>
  <si>
    <t>OHP-LS-22992</t>
  </si>
  <si>
    <t>OHP-LS-23035</t>
  </si>
  <si>
    <t>OHP-LS-23036</t>
  </si>
  <si>
    <t>OHP-LS-23033</t>
  </si>
  <si>
    <t>OHP-LS-23034</t>
  </si>
  <si>
    <t>OHP-LS-23039</t>
  </si>
  <si>
    <t>OHP-LS-23040</t>
  </si>
  <si>
    <t>OHP-LS-23037</t>
  </si>
  <si>
    <t>OHP-LS-23038</t>
  </si>
  <si>
    <t>OHP-LS-23043</t>
  </si>
  <si>
    <t>OHP-LS-23044</t>
  </si>
  <si>
    <t>OHP-LS-23041</t>
  </si>
  <si>
    <t>OHP-LS-23042</t>
  </si>
  <si>
    <t>OHP-LS-23047</t>
  </si>
  <si>
    <t>OHP-LS-23048</t>
  </si>
  <si>
    <t>OHP-LS-23045</t>
  </si>
  <si>
    <t>OHP-LS-23046</t>
  </si>
  <si>
    <t>OHP-LS-23051</t>
  </si>
  <si>
    <t>OHP-LS-23052</t>
  </si>
  <si>
    <t>OHP-LS-23049</t>
  </si>
  <si>
    <t>OHP-LS-23050</t>
  </si>
  <si>
    <t>OHP-LS-23055</t>
  </si>
  <si>
    <t>OHP-LS-23056</t>
  </si>
  <si>
    <t>OHP-LS-23053</t>
  </si>
  <si>
    <t>OHP-LS-23054</t>
  </si>
  <si>
    <t>OHP-LS-22957</t>
  </si>
  <si>
    <t>OHP-LS-22958</t>
  </si>
  <si>
    <t>OHP-LS-22959</t>
  </si>
  <si>
    <t>OHP-LS-22960</t>
  </si>
  <si>
    <t>OHP-LS-19707</t>
  </si>
  <si>
    <t>OHP-LS-19708</t>
  </si>
  <si>
    <t>OHP-LS-18086</t>
  </si>
  <si>
    <t>OHP-LS-18087</t>
  </si>
  <si>
    <t>OHP-LS-18088</t>
  </si>
  <si>
    <t>OHP-LS-18089</t>
  </si>
  <si>
    <t>OHP-LS-16495</t>
  </si>
  <si>
    <t>OHP-LS-16496</t>
  </si>
  <si>
    <t>OHP-LS-16497</t>
  </si>
  <si>
    <t>OHP-LS-16498</t>
  </si>
  <si>
    <t>OHP-LS-20086</t>
  </si>
  <si>
    <t>OHP-LS-20087</t>
  </si>
  <si>
    <t>OHP-LS-20092</t>
  </si>
  <si>
    <t>OHP-LS-20093</t>
  </si>
  <si>
    <t>OHP-LS-20090</t>
  </si>
  <si>
    <t>OHP-LS-20091</t>
  </si>
  <si>
    <t>OHP-LS-20088</t>
  </si>
  <si>
    <t>OHP-LS-20089</t>
  </si>
  <si>
    <t>OHP-LS-20094</t>
  </si>
  <si>
    <t>OHP-LS-20095</t>
  </si>
  <si>
    <t>OHP-LS-20096</t>
  </si>
  <si>
    <t>OHP-LS-20097</t>
  </si>
  <si>
    <t>OHP-LS-14035</t>
  </si>
  <si>
    <t>OHP-LS-14036</t>
  </si>
  <si>
    <t>OHP-LS-14033</t>
  </si>
  <si>
    <t>OHP-LS-14034</t>
  </si>
  <si>
    <t>OHP-LS-14043</t>
  </si>
  <si>
    <t>OHP-LS-14044</t>
  </si>
  <si>
    <t>OHP-LS-14041</t>
  </si>
  <si>
    <t>OHP-LS-14042</t>
  </si>
  <si>
    <t>OHP-LS-16486</t>
  </si>
  <si>
    <t>OHP-LS-16487</t>
  </si>
  <si>
    <t>OHP-LS-16488</t>
  </si>
  <si>
    <t>OHP-LS-16489</t>
  </si>
  <si>
    <t>OHP-LS-23508</t>
  </si>
  <si>
    <t>OHP-LS-23509</t>
  </si>
  <si>
    <t>OHP-LS-23510</t>
  </si>
  <si>
    <t>OHP-LS-23511</t>
  </si>
  <si>
    <t>OHP-LS-23512</t>
  </si>
  <si>
    <t>OHP-LS-23513</t>
  </si>
  <si>
    <t>OHP-LS-23514</t>
  </si>
  <si>
    <t>OHP-LS-23515</t>
  </si>
  <si>
    <t>OHP-LS-23516</t>
  </si>
  <si>
    <t>OHP-LS-23517</t>
  </si>
  <si>
    <t>OHP-LS-23518</t>
  </si>
  <si>
    <t>OHP-LS-23519</t>
  </si>
  <si>
    <t>OHP-LS-23520</t>
  </si>
  <si>
    <t>OHP-LS-23521</t>
  </si>
  <si>
    <t>OHP-LS-23522</t>
  </si>
  <si>
    <t>OHP-LS-23523</t>
  </si>
  <si>
    <t>OHP-LS-23524</t>
  </si>
  <si>
    <t>OHP-LS-23525</t>
  </si>
  <si>
    <t>OHP-LS-23526</t>
  </si>
  <si>
    <t>OHP-LS-23527</t>
  </si>
  <si>
    <t>OHP-LS-23528</t>
  </si>
  <si>
    <t>OHP-LS-23529</t>
  </si>
  <si>
    <t>OHP-LS-23530</t>
  </si>
  <si>
    <t>OHP-LS-23531</t>
  </si>
  <si>
    <t>OHP-LS-24104</t>
  </si>
  <si>
    <t>OHP-LS-24105</t>
  </si>
  <si>
    <t>OHP-LS-24187</t>
  </si>
  <si>
    <t>OHP-LS-24188</t>
  </si>
  <si>
    <t>OHP-LS-24189</t>
  </si>
  <si>
    <t>OHP-LS-24190</t>
  </si>
  <si>
    <t>OHP-LS-14219</t>
  </si>
  <si>
    <t>OHP-LS-14220</t>
  </si>
  <si>
    <t>OHP-LS-14129</t>
  </si>
  <si>
    <t>OHP-LS-14130</t>
  </si>
  <si>
    <t>OHP-LS-8651</t>
  </si>
  <si>
    <t>OHP-LS-8652</t>
  </si>
  <si>
    <t>OHP-LS-24051</t>
  </si>
  <si>
    <t>OHP-LS-24052</t>
  </si>
  <si>
    <t>OHP-LS-24063</t>
  </si>
  <si>
    <t>OHP-LS-24064</t>
  </si>
  <si>
    <t>OHP-LS-24075</t>
  </si>
  <si>
    <t>OHP-LS-24076</t>
  </si>
  <si>
    <t>OHP-LS-13189</t>
  </si>
  <si>
    <t>OHP-LS-13190</t>
  </si>
  <si>
    <t>OHP-LS-13191</t>
  </si>
  <si>
    <t>OHP-LS-13192</t>
  </si>
  <si>
    <t>OHP-LS-13193</t>
  </si>
  <si>
    <t>OHP-LS-13194</t>
  </si>
  <si>
    <t>OHP-LS-10741</t>
  </si>
  <si>
    <t>OHP-LS-10742</t>
  </si>
  <si>
    <t>OHP-LS-13519</t>
  </si>
  <si>
    <t>OHP-LS-13520</t>
  </si>
  <si>
    <t>OHP-LS-13517</t>
  </si>
  <si>
    <t>OHP-LS-13518</t>
  </si>
  <si>
    <t>OHP-LS-23851</t>
  </si>
  <si>
    <t>OHP-LS-23852</t>
  </si>
  <si>
    <t>OHP-LS-23861</t>
  </si>
  <si>
    <t>OHP-LS-23862</t>
  </si>
  <si>
    <t>OHP-LS-13419</t>
  </si>
  <si>
    <t>OHP-LS-13420</t>
  </si>
  <si>
    <t>OHP-LS-13515</t>
  </si>
  <si>
    <t>OHP-LS-13516</t>
  </si>
  <si>
    <t>OHP-LS-24055</t>
  </si>
  <si>
    <t>OHP-LS-24056</t>
  </si>
  <si>
    <t>OHP-LS-24067</t>
  </si>
  <si>
    <t>OHP-LS-24068</t>
  </si>
  <si>
    <t>OHP-LS-24079</t>
  </si>
  <si>
    <t>OHP-LS-24080</t>
  </si>
  <si>
    <t>OHP-LS-14131</t>
  </si>
  <si>
    <t>OHP-LS-14132</t>
  </si>
  <si>
    <t>OHP-LS-14133</t>
  </si>
  <si>
    <t>OHP-LS-14134</t>
  </si>
  <si>
    <t>OHP-LS-14135</t>
  </si>
  <si>
    <t>OHP-LS-14136</t>
  </si>
  <si>
    <t>OHP-LS-14137</t>
  </si>
  <si>
    <t>OHP-LS-14138</t>
  </si>
  <si>
    <t>OHP-LS-14139</t>
  </si>
  <si>
    <t>OHP-LS-14140</t>
  </si>
  <si>
    <t>OHP-LS-14141</t>
  </si>
  <si>
    <t>OHP-LS-14142</t>
  </si>
  <si>
    <t>OHP-LS-14143</t>
  </si>
  <si>
    <t>OHP-LS-14144</t>
  </si>
  <si>
    <t>OHP-LS-14221</t>
  </si>
  <si>
    <t>OHP-LS-14222</t>
  </si>
  <si>
    <t>OHP-LS-14223</t>
  </si>
  <si>
    <t>OHP-LS-14224</t>
  </si>
  <si>
    <t>OHP-LS-14225</t>
  </si>
  <si>
    <t>OHP-LS-14226</t>
  </si>
  <si>
    <t>OHP-LS-14145</t>
  </si>
  <si>
    <t>OHP-LS-14146</t>
  </si>
  <si>
    <t>OHP-LS-14147</t>
  </si>
  <si>
    <t>OHP-LS-14148</t>
  </si>
  <si>
    <t>OHP-LS-14149</t>
  </si>
  <si>
    <t>OHP-LS-14150</t>
  </si>
  <si>
    <t>OHP-LS-14151</t>
  </si>
  <si>
    <t>OHP-LS-14152</t>
  </si>
  <si>
    <t>OHP-LS-23590</t>
  </si>
  <si>
    <t>OHP-LS-23591</t>
  </si>
  <si>
    <t>OHP-LS-9432</t>
  </si>
  <si>
    <t>OHP-LS-9433</t>
  </si>
  <si>
    <t>OHP-LS-9434</t>
  </si>
  <si>
    <t>OHP-LS-9435</t>
  </si>
  <si>
    <t>OHP-LS-9977</t>
  </si>
  <si>
    <t>OHP-LS-9978</t>
  </si>
  <si>
    <t>OHP-LS-9979</t>
  </si>
  <si>
    <t>OHP-LS-9980</t>
  </si>
  <si>
    <t>OHP-LS-9981</t>
  </si>
  <si>
    <t>OHP-LS-9982</t>
  </si>
  <si>
    <t>OHP-LS-9983</t>
  </si>
  <si>
    <t>OHP-LS-9984</t>
  </si>
  <si>
    <t>OHP-LS-9985</t>
  </si>
  <si>
    <t>OHP-LS-9986</t>
  </si>
  <si>
    <t>OHP-LS-9987</t>
  </si>
  <si>
    <t>OHP-LS-9988</t>
  </si>
  <si>
    <t>OHP-LS-9989</t>
  </si>
  <si>
    <t>OHP-LS-9990</t>
  </si>
  <si>
    <t>OHP-LS-9991</t>
  </si>
  <si>
    <t>OHP-LS-9992</t>
  </si>
  <si>
    <t>OHP-LS-9993</t>
  </si>
  <si>
    <t>OHP-LS-9994</t>
  </si>
  <si>
    <t>OHP-LS-9995</t>
  </si>
  <si>
    <t>OHP-LS-9996</t>
  </si>
  <si>
    <t>OHP-LS-9997</t>
  </si>
  <si>
    <t>OHP-LS-9998</t>
  </si>
  <si>
    <t>OHP-LS-9999</t>
  </si>
  <si>
    <t>OHP-LS-10000</t>
  </si>
  <si>
    <t>OHP-LS-10001</t>
  </si>
  <si>
    <t>OHP-LS-10002</t>
  </si>
  <si>
    <t>OHP-LS-10003</t>
  </si>
  <si>
    <t>OHP-LS-10004</t>
  </si>
  <si>
    <t>OHP-LS-10005</t>
  </si>
  <si>
    <t>OHP-LS-10006</t>
  </si>
  <si>
    <t>OHP-LS-10007</t>
  </si>
  <si>
    <t>OHP-LS-10008</t>
  </si>
  <si>
    <t>OHP-LS-10009</t>
  </si>
  <si>
    <t>OHP-LS-10010</t>
  </si>
  <si>
    <t>OHP-LS-10011</t>
  </si>
  <si>
    <t>OHP-LS-10012</t>
  </si>
  <si>
    <t>OHP-LS-22771</t>
  </si>
  <si>
    <t>OHP-LS-22772</t>
  </si>
  <si>
    <t>OHP-LS-19701</t>
  </si>
  <si>
    <t>OHP-LS-19702</t>
  </si>
  <si>
    <t>OHP-LS-14477</t>
  </si>
  <si>
    <t>OHP-LS-14478</t>
  </si>
  <si>
    <t>OHP-LS-15332</t>
  </si>
  <si>
    <t>OHP-LS-15333</t>
  </si>
  <si>
    <t>OHP-LS-18418</t>
  </si>
  <si>
    <t>OHP-LS-18419</t>
  </si>
  <si>
    <t>OHP-LS-18420</t>
  </si>
  <si>
    <t>OHP-LS-18421</t>
  </si>
  <si>
    <t>OHP-LS-18422</t>
  </si>
  <si>
    <t>OHP-LS-18423</t>
  </si>
  <si>
    <t>OHP-LS-18424</t>
  </si>
  <si>
    <t>OHP-LS-18425</t>
  </si>
  <si>
    <t>OHP-LS-18426</t>
  </si>
  <si>
    <t>OHP-LS-18427</t>
  </si>
  <si>
    <t>OHP-LS-18428</t>
  </si>
  <si>
    <t>OHP-LS-18429</t>
  </si>
  <si>
    <t>OHP-LS-18240</t>
  </si>
  <si>
    <t>OHP-LS-18241</t>
  </si>
  <si>
    <t>OHP-LS-18242</t>
  </si>
  <si>
    <t>OHP-LS-18243</t>
  </si>
  <si>
    <t>OHP-LS-18244</t>
  </si>
  <si>
    <t>OHP-LS-18245</t>
  </si>
  <si>
    <t>OHP-LS-18246</t>
  </si>
  <si>
    <t>OHP-LS-18247</t>
  </si>
  <si>
    <t>OHP-LS-18430</t>
  </si>
  <si>
    <t>OHP-LS-18431</t>
  </si>
  <si>
    <t>OHP-LS-18432</t>
  </si>
  <si>
    <t>OHP-LS-18433</t>
  </si>
  <si>
    <t>OHP-LS-18434</t>
  </si>
  <si>
    <t>OHP-LS-18435</t>
  </si>
  <si>
    <t>OHP-LS-18436</t>
  </si>
  <si>
    <t>OHP-LS-18437</t>
  </si>
  <si>
    <t>OHP-LS-18438</t>
  </si>
  <si>
    <t>OHP-LS-18439</t>
  </si>
  <si>
    <t>OHP-LS-18440</t>
  </si>
  <si>
    <t>OHP-LS-18441</t>
  </si>
  <si>
    <t>OHP-LS-18442</t>
  </si>
  <si>
    <t>OHP-LS-18443</t>
  </si>
  <si>
    <t>OHP-LS-18444</t>
  </si>
  <si>
    <t>OHP-LS-18445</t>
  </si>
  <si>
    <t>OHP-LS-18446</t>
  </si>
  <si>
    <t>OHP-LS-18447</t>
  </si>
  <si>
    <t>OHP-LS-18448</t>
  </si>
  <si>
    <t>OHP-LS-18449</t>
  </si>
  <si>
    <t>OHP-LS-18450</t>
  </si>
  <si>
    <t>OHP-LS-18451</t>
  </si>
  <si>
    <t>OHP-LS-18452</t>
  </si>
  <si>
    <t>OHP-LS-18453</t>
  </si>
  <si>
    <t>OHP-LS-18454</t>
  </si>
  <si>
    <t>OHP-LS-18455</t>
  </si>
  <si>
    <t>OHP-LS-18456</t>
  </si>
  <si>
    <t>OHP-LS-18457</t>
  </si>
  <si>
    <t>OHP-LS-18458</t>
  </si>
  <si>
    <t>OHP-LS-18459</t>
  </si>
  <si>
    <t>OHP-LS-18460</t>
  </si>
  <si>
    <t>OHP-LS-18461</t>
  </si>
  <si>
    <t>OHP-LS-18462</t>
  </si>
  <si>
    <t>OHP-LS-18463</t>
  </si>
  <si>
    <t>OHP-LS-18464</t>
  </si>
  <si>
    <t>OHP-LS-18465</t>
  </si>
  <si>
    <t>OHP-LS-18466</t>
  </si>
  <si>
    <t>OHP-LS-18467</t>
  </si>
  <si>
    <t>OHP-LS-18468</t>
  </si>
  <si>
    <t>OHP-LS-18469</t>
  </si>
  <si>
    <t>OHP-LS-18470</t>
  </si>
  <si>
    <t>OHP-LS-18471</t>
  </si>
  <si>
    <t>OHP-LS-18472</t>
  </si>
  <si>
    <t>OHP-LS-18473</t>
  </si>
  <si>
    <t>OHP-LS-18474</t>
  </si>
  <si>
    <t>OHP-LS-18475</t>
  </si>
  <si>
    <t>OHP-LS-18476</t>
  </si>
  <si>
    <t>OHP-LS-18477</t>
  </si>
  <si>
    <t>OHP-LS-18248</t>
  </si>
  <si>
    <t>OHP-LS-18249</t>
  </si>
  <si>
    <t>OHP-LS-18250</t>
  </si>
  <si>
    <t>OHP-LS-18251</t>
  </si>
  <si>
    <t>OHP-LS-18252</t>
  </si>
  <si>
    <t>OHP-LS-18253</t>
  </si>
  <si>
    <t>OHP-LS-18254</t>
  </si>
  <si>
    <t>OHP-LS-18255</t>
  </si>
  <si>
    <t>OHP-LS-18478</t>
  </si>
  <si>
    <t>OHP-LS-18479</t>
  </si>
  <si>
    <t>OHP-LS-18480</t>
  </si>
  <si>
    <t>OHP-LS-18481</t>
  </si>
  <si>
    <t>OHP-LS-18256</t>
  </si>
  <si>
    <t>OHP-LS-18257</t>
  </si>
  <si>
    <t>OHP-LS-18258</t>
  </si>
  <si>
    <t>OHP-LS-18259</t>
  </si>
  <si>
    <t>OHP-LS-10013</t>
  </si>
  <si>
    <t>OHP-LS-10014</t>
  </si>
  <si>
    <t>OHP-LS-10015</t>
  </si>
  <si>
    <t>OHP-LS-10016</t>
  </si>
  <si>
    <t>OHP-LS-24272</t>
  </si>
  <si>
    <t>OHP-LS-24273</t>
  </si>
  <si>
    <t>OHP-LS-24274</t>
  </si>
  <si>
    <t>OHP-LS-24275</t>
  </si>
  <si>
    <t>OHP-LS-14337</t>
  </si>
  <si>
    <t>OHP-LS-14338</t>
  </si>
  <si>
    <t>OHP-LS-15572</t>
  </si>
  <si>
    <t>OHP-LS-15573</t>
  </si>
  <si>
    <t>OHP-LS-24264</t>
  </si>
  <si>
    <t>OHP-LS-24265</t>
  </si>
  <si>
    <t>OHP-LS-14127</t>
  </si>
  <si>
    <t>OHP-LS-14128</t>
  </si>
  <si>
    <t>OHP-LS-14157</t>
  </si>
  <si>
    <t>OHP-LS-14158</t>
  </si>
  <si>
    <t>OHP-LS-14155</t>
  </si>
  <si>
    <t>OHP-LS-14156</t>
  </si>
  <si>
    <t>OHP-LS-14159</t>
  </si>
  <si>
    <t>OHP-LS-14160</t>
  </si>
  <si>
    <t>OHP-LS-14161</t>
  </si>
  <si>
    <t>OHP-LS-14162</t>
  </si>
  <si>
    <t>OHP-LS-14163</t>
  </si>
  <si>
    <t>OHP-LS-14164</t>
  </si>
  <si>
    <t>OHP-LS-14165</t>
  </si>
  <si>
    <t>OHP-LS-14166</t>
  </si>
  <si>
    <t>OHP-LS-14167</t>
  </si>
  <si>
    <t>OHP-LS-14168</t>
  </si>
  <si>
    <t>OHP-LS-14169</t>
  </si>
  <si>
    <t>OHP-LS-14170</t>
  </si>
  <si>
    <t>OHP-LS-14171</t>
  </si>
  <si>
    <t>OHP-LS-14172</t>
  </si>
  <si>
    <t>OHP-LS-14173</t>
  </si>
  <si>
    <t>OHP-LS-14174</t>
  </si>
  <si>
    <t>OHP-LS-14175</t>
  </si>
  <si>
    <t>OHP-LS-14176</t>
  </si>
  <si>
    <t>OHP-LS-14177</t>
  </si>
  <si>
    <t>OHP-LS-14178</t>
  </si>
  <si>
    <t>OHP-LS-14179</t>
  </si>
  <si>
    <t>OHP-LS-14180</t>
  </si>
  <si>
    <t>OHP-LS-14181</t>
  </si>
  <si>
    <t>OHP-LS-14182</t>
  </si>
  <si>
    <t>OHP-LS-14183</t>
  </si>
  <si>
    <t>OHP-LS-14184</t>
  </si>
  <si>
    <t>OHP-LS-14185</t>
  </si>
  <si>
    <t>OHP-LS-14186</t>
  </si>
  <si>
    <t>OHP-LS-14187</t>
  </si>
  <si>
    <t>OHP-LS-14188</t>
  </si>
  <si>
    <t>OHP-LS-14189</t>
  </si>
  <si>
    <t>OHP-LS-14190</t>
  </si>
  <si>
    <t>OHP-LS-14191</t>
  </si>
  <si>
    <t>OHP-LS-14192</t>
  </si>
  <si>
    <t>OHP-LS-14193</t>
  </si>
  <si>
    <t>OHP-LS-14194</t>
  </si>
  <si>
    <t>OHP-LS-14195</t>
  </si>
  <si>
    <t>OHP-LS-14196</t>
  </si>
  <si>
    <t>OHP-LS-14197</t>
  </si>
  <si>
    <t>OHP-LS-14198</t>
  </si>
  <si>
    <t>OHP-LS-14209</t>
  </si>
  <si>
    <t>OHP-LS-14210</t>
  </si>
  <si>
    <t>OHP-LS-14211</t>
  </si>
  <si>
    <t>OHP-LS-14212</t>
  </si>
  <si>
    <t>OHP-LS-14213</t>
  </si>
  <si>
    <t>OHP-LS-14214</t>
  </si>
  <si>
    <t>OHP-LS-14217</t>
  </si>
  <si>
    <t>OHP-LS-14218</t>
  </si>
  <si>
    <t>OHP-LS-23548</t>
  </si>
  <si>
    <t>OHP-LS-23549</t>
  </si>
  <si>
    <t>OHP-LS-19859</t>
  </si>
  <si>
    <t>OHP-LS-19860</t>
  </si>
  <si>
    <t>OHP-LS-10761</t>
  </si>
  <si>
    <t>OHP-LS-10762</t>
  </si>
  <si>
    <t>OHP-LS-10767</t>
  </si>
  <si>
    <t>OHP-LS-10773</t>
  </si>
  <si>
    <t>OHP-LS-10774</t>
  </si>
  <si>
    <t>OHP-LS-10775</t>
  </si>
  <si>
    <t>OHP-LS-10776</t>
  </si>
  <si>
    <t>OHP-LS-10779</t>
  </si>
  <si>
    <t>OHP-LS-10780</t>
  </si>
  <si>
    <t>OHP-LS-10781</t>
  </si>
  <si>
    <t>OHP-LS-10782</t>
  </si>
  <si>
    <t>OHP-LS-10783</t>
  </si>
  <si>
    <t>OHP-LS-10784</t>
  </si>
  <si>
    <t>OHP-LS-14045</t>
  </si>
  <si>
    <t>OHP-LS-14046</t>
  </si>
  <si>
    <t>OHP-LS-14047</t>
  </si>
  <si>
    <t>OHP-LS-14048</t>
  </si>
  <si>
    <t>OHP-LS-14049</t>
  </si>
  <si>
    <t>OHP-LS-14050</t>
  </si>
  <si>
    <t>OHP-LS-14051</t>
  </si>
  <si>
    <t>OHP-LS-14052</t>
  </si>
  <si>
    <t>OHP-LS-14053</t>
  </si>
  <si>
    <t>OHP-LS-14054</t>
  </si>
  <si>
    <t>OHP-LS-14055</t>
  </si>
  <si>
    <t>OHP-LS-14056</t>
  </si>
  <si>
    <t>OHP-LS-14057</t>
  </si>
  <si>
    <t>OHP-LS-14058</t>
  </si>
  <si>
    <t>OHP-LS-14059</t>
  </si>
  <si>
    <t>OHP-LS-14060</t>
  </si>
  <si>
    <t>OHP-LS-14061</t>
  </si>
  <si>
    <t>OHP-LS-14062</t>
  </si>
  <si>
    <t>OHP-LS-14063</t>
  </si>
  <si>
    <t>OHP-LS-14064</t>
  </si>
  <si>
    <t>OHP-LS-14065</t>
  </si>
  <si>
    <t>OHP-LS-14066</t>
  </si>
  <si>
    <t>OHP-LS-14067</t>
  </si>
  <si>
    <t>OHP-LS-14068</t>
  </si>
  <si>
    <t>OHP-LS-14069</t>
  </si>
  <si>
    <t>OHP-LS-14070</t>
  </si>
  <si>
    <t>OHP-LS-14071</t>
  </si>
  <si>
    <t>OHP-LS-14072</t>
  </si>
  <si>
    <t>OHP-LS-14073</t>
  </si>
  <si>
    <t>OHP-LS-14074</t>
  </si>
  <si>
    <t>OHP-LS-14075</t>
  </si>
  <si>
    <t>OHP-LS-14076</t>
  </si>
  <si>
    <t>OHP-LS-14077</t>
  </si>
  <si>
    <t>OHP-LS-14078</t>
  </si>
  <si>
    <t>OHP-LS-14083</t>
  </si>
  <si>
    <t>OHP-LS-14084</t>
  </si>
  <si>
    <t>OHP-LS-14085</t>
  </si>
  <si>
    <t>OHP-LS-14086</t>
  </si>
  <si>
    <t>OHP-LS-14087</t>
  </si>
  <si>
    <t>OHP-LS-14088</t>
  </si>
  <si>
    <t>OHP-LS-14089</t>
  </si>
  <si>
    <t>OHP-LS-14090</t>
  </si>
  <si>
    <t>OHP-LS-14091</t>
  </si>
  <si>
    <t>OHP-LS-14092</t>
  </si>
  <si>
    <t>OHP-LS-14093</t>
  </si>
  <si>
    <t>OHP-LS-14094</t>
  </si>
  <si>
    <t>OHP-LS-14095</t>
  </si>
  <si>
    <t>OHP-LS-14096</t>
  </si>
  <si>
    <t>OHP-LS-14097</t>
  </si>
  <si>
    <t>OHP-LS-14098</t>
  </si>
  <si>
    <t>OHP-LS-14099</t>
  </si>
  <si>
    <t>OHP-LS-14100</t>
  </si>
  <si>
    <t>OHP-LS-14101</t>
  </si>
  <si>
    <t>OHP-LS-14102</t>
  </si>
  <si>
    <t>OHP-LS-14103</t>
  </si>
  <si>
    <t>OHP-LS-14104</t>
  </si>
  <si>
    <t>OHP-LS-14105</t>
  </si>
  <si>
    <t>OHP-LS-14106</t>
  </si>
  <si>
    <t>OHP-LS-14107</t>
  </si>
  <si>
    <t>OHP-LS-14108</t>
  </si>
  <si>
    <t>OHP-LS-14121</t>
  </si>
  <si>
    <t>OHP-LS-14122</t>
  </si>
  <si>
    <t>OHP-LS-14123</t>
  </si>
  <si>
    <t>OHP-LS-14124</t>
  </si>
  <si>
    <t>OHP-LS-14125</t>
  </si>
  <si>
    <t>OHP-LS-14126</t>
  </si>
  <si>
    <t>OHP-LS-24268</t>
  </si>
  <si>
    <t>OHP-LS-24269</t>
  </si>
  <si>
    <t>OHP-LS-24270</t>
  </si>
  <si>
    <t>OHP-LS-24271</t>
  </si>
  <si>
    <t>OHP-LS-13207</t>
  </si>
  <si>
    <t>OHP-LS-13208</t>
  </si>
  <si>
    <t>OHP-LS-13503</t>
  </si>
  <si>
    <t>OHP-LS-13504</t>
  </si>
  <si>
    <t>OHP-LS-13505</t>
  </si>
  <si>
    <t>OHP-LS-13506</t>
  </si>
  <si>
    <t>OHP-LS-13441</t>
  </si>
  <si>
    <t>OHP-LS-13442</t>
  </si>
  <si>
    <t>OHP-LS-13449</t>
  </si>
  <si>
    <t>OHP-LS-13450</t>
  </si>
  <si>
    <t>OHP-LS-12367</t>
  </si>
  <si>
    <t>OHP-LS-12368</t>
  </si>
  <si>
    <t>OHP-LS-13457</t>
  </si>
  <si>
    <t>OHP-LS-13458</t>
  </si>
  <si>
    <t>OHP-LS-23580</t>
  </si>
  <si>
    <t>OHP-LS-23581</t>
  </si>
  <si>
    <t>OHP-LS-23582</t>
  </si>
  <si>
    <t>OHP-LS-23583</t>
  </si>
  <si>
    <t>OHP-LS-23584</t>
  </si>
  <si>
    <t>OHP-LS-23585</t>
  </si>
  <si>
    <t>OHP-LS-23568</t>
  </si>
  <si>
    <t>OHP-LS-23569</t>
  </si>
  <si>
    <t>OHP-LS-23570</t>
  </si>
  <si>
    <t>OHP-LS-23571</t>
  </si>
  <si>
    <t>OHP-LS-23572</t>
  </si>
  <si>
    <t>OHP-LS-23573</t>
  </si>
  <si>
    <t>OHP-LS-10423</t>
  </si>
  <si>
    <t>OHP-LS-10424</t>
  </si>
  <si>
    <t>OHP-LS-10425</t>
  </si>
  <si>
    <t>OHP-LS-10426</t>
  </si>
  <si>
    <t>OHP-LS-10427</t>
  </si>
  <si>
    <t>OHP-LS-10428</t>
  </si>
  <si>
    <t>OHP-LS-18048</t>
  </si>
  <si>
    <t>OHP-LS-18049</t>
  </si>
  <si>
    <t>OHP-LS-18114</t>
  </si>
  <si>
    <t>OHP-LS-18115</t>
  </si>
  <si>
    <t>OHP-LS-22773</t>
  </si>
  <si>
    <t>OHP-LS-22774</t>
  </si>
  <si>
    <t>OHP-LS-22775</t>
  </si>
  <si>
    <t>OHP-LS-22776</t>
  </si>
  <si>
    <t>OHP-LS-22777</t>
  </si>
  <si>
    <t>OHP-LS-22778</t>
  </si>
  <si>
    <t>OHP-LS-22779</t>
  </si>
  <si>
    <t>OHP-LS-22780</t>
  </si>
  <si>
    <t>OHP-LS-22793</t>
  </si>
  <si>
    <t>OHP-LS-22794</t>
  </si>
  <si>
    <t>OHP-LS-22801</t>
  </si>
  <si>
    <t>OHP-LS-22802</t>
  </si>
  <si>
    <t>OHP-LS-22807</t>
  </si>
  <si>
    <t>OHP-LS-22808</t>
  </si>
  <si>
    <t>OHP-LS-22813</t>
  </si>
  <si>
    <t>OHP-LS-22814</t>
  </si>
  <si>
    <t>OHP-LS-22819</t>
  </si>
  <si>
    <t>OHP-LS-22820</t>
  </si>
  <si>
    <t>OHP-LS-22825</t>
  </si>
  <si>
    <t>OHP-LS-22826</t>
  </si>
  <si>
    <t>OHP-LS-22841</t>
  </si>
  <si>
    <t>OHP-LS-22842</t>
  </si>
  <si>
    <t>OHP-LS-22843</t>
  </si>
  <si>
    <t>OHP-LS-22844</t>
  </si>
  <si>
    <t>OHP-LS-24554</t>
  </si>
  <si>
    <t>OHP-LS-24555</t>
  </si>
  <si>
    <t>OHP-LS-24556</t>
  </si>
  <si>
    <t>OHP-LS-24557</t>
  </si>
  <si>
    <t>OHP-LS-24558</t>
  </si>
  <si>
    <t>OHP-LS-24559</t>
  </si>
  <si>
    <t>OHP-LS-24560</t>
  </si>
  <si>
    <t>OHP-LS-24561</t>
  </si>
  <si>
    <t>OHP-LS-24562</t>
  </si>
  <si>
    <t>OHP-LS-24563</t>
  </si>
  <si>
    <t>OHP-LS-24564</t>
  </si>
  <si>
    <t>OHP-LS-24565</t>
  </si>
  <si>
    <t>OHP-LS-24566</t>
  </si>
  <si>
    <t>OHP-LS-24567</t>
  </si>
  <si>
    <t>OHP-LS-24568</t>
  </si>
  <si>
    <t>OHP-LS-24569</t>
  </si>
  <si>
    <t>OHP-LS-24570</t>
  </si>
  <si>
    <t>OHP-LS-24571</t>
  </si>
  <si>
    <t>OHP-LS-24572</t>
  </si>
  <si>
    <t>OHP-LS-24573</t>
  </si>
  <si>
    <t>OHP-LS-24574</t>
  </si>
  <si>
    <t>OHP-LS-24575</t>
  </si>
  <si>
    <t>OHP-LS-24576</t>
  </si>
  <si>
    <t>OHP-LS-24577</t>
  </si>
  <si>
    <t>OHP-LS-24578</t>
  </si>
  <si>
    <t>OHP-LS-24579</t>
  </si>
  <si>
    <t>OHP-LS-24582</t>
  </si>
  <si>
    <t>OHP-LS-24583</t>
  </si>
  <si>
    <t>OHP-LS-24584</t>
  </si>
  <si>
    <t>OHP-LS-24585</t>
  </si>
  <si>
    <t>OHP-LS-24580</t>
  </si>
  <si>
    <t>OHP-LS-24581</t>
  </si>
  <si>
    <t>OHP-LS-24266</t>
  </si>
  <si>
    <t>OHP-LS-24267</t>
  </si>
  <si>
    <t>OHP-LS-24593</t>
  </si>
  <si>
    <t>OHP-LS-24594</t>
  </si>
  <si>
    <t>OHP-LS-24595</t>
  </si>
  <si>
    <t>OHP-LS-24596</t>
  </si>
  <si>
    <t>OHP-LS-24597</t>
  </si>
  <si>
    <t>OHP-LS-24598</t>
  </si>
  <si>
    <t>OHP-LS-24599</t>
  </si>
  <si>
    <t>OHP-LS-24600</t>
  </si>
  <si>
    <t>OHP-LS-24605</t>
  </si>
  <si>
    <t>OHP-LS-24606</t>
  </si>
  <si>
    <t>OHP-LS-24607</t>
  </si>
  <si>
    <t>OHP-LS-24608</t>
  </si>
  <si>
    <t>OHP-LS-24609</t>
  </si>
  <si>
    <t>OHP-LS-24610</t>
  </si>
  <si>
    <t>OHP-LS-24611</t>
  </si>
  <si>
    <t>OHP-LS-24612</t>
  </si>
  <si>
    <t>OHP-LS-24613</t>
  </si>
  <si>
    <t>OHP-LS-24614</t>
  </si>
  <si>
    <t>OHP-LS-14295</t>
  </si>
  <si>
    <t>OHP-LS-14296</t>
  </si>
  <si>
    <t>OHP-LS-15500</t>
  </si>
  <si>
    <t>OHP-LS-15501</t>
  </si>
  <si>
    <t>OHP-LS-14297</t>
  </si>
  <si>
    <t>OHP-LS-14298</t>
  </si>
  <si>
    <t>OHP-LS-15502</t>
  </si>
  <si>
    <t>OHP-LS-15503</t>
  </si>
  <si>
    <t>OHP-LS-14299</t>
  </si>
  <si>
    <t>OHP-LS-14300</t>
  </si>
  <si>
    <t>OHP-LS-15504</t>
  </si>
  <si>
    <t>OHP-LS-15505</t>
  </si>
  <si>
    <t>OHP-LS-14301</t>
  </si>
  <si>
    <t>OHP-LS-14302</t>
  </si>
  <si>
    <t>OHP-LS-15506</t>
  </si>
  <si>
    <t>OHP-LS-15507</t>
  </si>
  <si>
    <t>OHP-LS-14303</t>
  </si>
  <si>
    <t>OHP-LS-14304</t>
  </si>
  <si>
    <t>OHP-LS-15508</t>
  </si>
  <si>
    <t>OHP-LS-15509</t>
  </si>
  <si>
    <t>OHP-LS-14305</t>
  </si>
  <si>
    <t>OHP-LS-14306</t>
  </si>
  <si>
    <t>OHP-LS-15510</t>
  </si>
  <si>
    <t>OHP-LS-15511</t>
  </si>
  <si>
    <t>OHP-LS-14323</t>
  </si>
  <si>
    <t>OHP-LS-14324</t>
  </si>
  <si>
    <t>OHP-LS-15558</t>
  </si>
  <si>
    <t>OHP-LS-15559</t>
  </si>
  <si>
    <t>OHP-LS-14447</t>
  </si>
  <si>
    <t>OHP-LS-14448</t>
  </si>
  <si>
    <t>OHP-LS-15440</t>
  </si>
  <si>
    <t>OHP-LS-15441</t>
  </si>
  <si>
    <t>OHP-LS-14495</t>
  </si>
  <si>
    <t>OHP-LS-14496</t>
  </si>
  <si>
    <t>OHP-LS-15350</t>
  </si>
  <si>
    <t>OHP-LS-15351</t>
  </si>
  <si>
    <t>OHP-LS-14519</t>
  </si>
  <si>
    <t>OHP-LS-14520</t>
  </si>
  <si>
    <t>OHP-LS-15374</t>
  </si>
  <si>
    <t>OHP-LS-15375</t>
  </si>
  <si>
    <t>OHP-LS-14521</t>
  </si>
  <si>
    <t>OHP-LS-14522</t>
  </si>
  <si>
    <t>OHP-LS-15376</t>
  </si>
  <si>
    <t>OHP-LS-15377</t>
  </si>
  <si>
    <t>OHP-LS-24629</t>
  </si>
  <si>
    <t>OHP-LS-24630</t>
  </si>
  <si>
    <t>OHP-LS-24631</t>
  </si>
  <si>
    <t>OHP-LS-24632</t>
  </si>
  <si>
    <t>OHP-LS-24625</t>
  </si>
  <si>
    <t>OHP-LS-24626</t>
  </si>
  <si>
    <t>OHP-LS-24643</t>
  </si>
  <si>
    <t>OHP-LS-24644</t>
  </si>
  <si>
    <t>OHP-LS-24621</t>
  </si>
  <si>
    <t>OHP-LS-24622</t>
  </si>
  <si>
    <t>OHP-LS-23115</t>
  </si>
  <si>
    <t>OHP-LS-23116</t>
  </si>
  <si>
    <t>OHP-LS-23117</t>
  </si>
  <si>
    <t>OHP-LS-23118</t>
  </si>
  <si>
    <t>OHP-LS-23366</t>
  </si>
  <si>
    <t>OHP-LS-23367</t>
  </si>
  <si>
    <t>OHP-LS-23368</t>
  </si>
  <si>
    <t>OHP-LS-23369</t>
  </si>
  <si>
    <t>OHP-LS-23370</t>
  </si>
  <si>
    <t>OHP-LS-23371</t>
  </si>
  <si>
    <t>OHP-LS-23560</t>
  </si>
  <si>
    <t>OHP-LS-23561</t>
  </si>
  <si>
    <t>OHP-LS-23562</t>
  </si>
  <si>
    <t>OHP-LS-23563</t>
  </si>
  <si>
    <t>OHP-LS-23564</t>
  </si>
  <si>
    <t>OHP-LS-23565</t>
  </si>
  <si>
    <t>OHP-LS-23566</t>
  </si>
  <si>
    <t>OHP-LS-23567</t>
  </si>
  <si>
    <t>OHP-LS-24623</t>
  </si>
  <si>
    <t>OHP-LS-24624</t>
  </si>
  <si>
    <t>OHP-LS-24639</t>
  </si>
  <si>
    <t>OHP-LS-24640</t>
  </si>
  <si>
    <t>OHP-LS-24637</t>
  </si>
  <si>
    <t>OHP-LS-24638</t>
  </si>
  <si>
    <t>OHP-LS-24735</t>
  </si>
  <si>
    <t>OHP-LS-24736</t>
  </si>
  <si>
    <t>OHP-LS-24737</t>
  </si>
  <si>
    <t>OHP-LS-24738</t>
  </si>
  <si>
    <t>OHP-LS-24739</t>
  </si>
  <si>
    <t>OHP-LS-24740</t>
  </si>
  <si>
    <t>OHP-LS-24741</t>
  </si>
  <si>
    <t>OHP-LS-24742</t>
  </si>
  <si>
    <t>OHP-LS-24743</t>
  </si>
  <si>
    <t>OHP-LS-24744</t>
  </si>
  <si>
    <t>OHP-LS-24745</t>
  </si>
  <si>
    <t>OHP-LS-24746</t>
  </si>
  <si>
    <t>OHP-LS-24747</t>
  </si>
  <si>
    <t>OHP-LS-24748</t>
  </si>
  <si>
    <t>OHP-LS-24749</t>
  </si>
  <si>
    <t>OHP-LS-24750</t>
  </si>
  <si>
    <t>OHP-LS-23119</t>
  </si>
  <si>
    <t>OHP-LS-23120</t>
  </si>
  <si>
    <t>OHP-LS-13511</t>
  </si>
  <si>
    <t>OHP-LS-13512</t>
  </si>
  <si>
    <t>OHP-LS-24726</t>
  </si>
  <si>
    <t>OHP-LS-24727</t>
  </si>
  <si>
    <t>OHP-LS-24734</t>
  </si>
  <si>
    <t>OHP-LS-24728</t>
  </si>
  <si>
    <t>OHP-LS-24729</t>
  </si>
  <si>
    <t>OHP-LS-24732</t>
  </si>
  <si>
    <t>OHP-LS-24733</t>
  </si>
  <si>
    <t>OHP-LS-24801</t>
  </si>
  <si>
    <t>OHP-LS-24802</t>
  </si>
  <si>
    <t>OHP-LS-24803</t>
  </si>
  <si>
    <t>OHP-LS-24804</t>
  </si>
  <si>
    <t>OHP-LS-24809</t>
  </si>
  <si>
    <t>OHP-LS-24810</t>
  </si>
  <si>
    <t>OHP-LS-24811</t>
  </si>
  <si>
    <t>OHP-LS-24812</t>
  </si>
  <si>
    <t>OHP-LS-24771</t>
  </si>
  <si>
    <t>OHP-LS-24772</t>
  </si>
  <si>
    <t>OHP-LS-24767</t>
  </si>
  <si>
    <t>OHP-LS-24768</t>
  </si>
  <si>
    <t>OHP-LS-24769</t>
  </si>
  <si>
    <t>OHP-LS-24770</t>
  </si>
  <si>
    <t>OHP-LS-24785</t>
  </si>
  <si>
    <t>OHP-LS-24786</t>
  </si>
  <si>
    <t>OHP-LS-24787</t>
  </si>
  <si>
    <t>OHP-LS-24788</t>
  </si>
  <si>
    <t>OHP-LS-24789</t>
  </si>
  <si>
    <t>OHP-LS-24790</t>
  </si>
  <si>
    <t>OHP-LS-24791</t>
  </si>
  <si>
    <t>OHP-LS-24792</t>
  </si>
  <si>
    <t>OHP-LS-24793</t>
  </si>
  <si>
    <t>OHP-LS-24794</t>
  </si>
  <si>
    <t>OHP-LS-24795</t>
  </si>
  <si>
    <t>OHP-LS-24796</t>
  </si>
  <si>
    <t>OHP-LS-24797</t>
  </si>
  <si>
    <t>OHP-LS-24798</t>
  </si>
  <si>
    <t>OHP-LS-24799</t>
  </si>
  <si>
    <t>OHP-LS-24800</t>
  </si>
  <si>
    <t>OHP-LS-24805</t>
  </si>
  <si>
    <t>OHP-LS-24806</t>
  </si>
  <si>
    <t>OHP-LS-24807</t>
  </si>
  <si>
    <t>OHP-LS-24808</t>
  </si>
  <si>
    <t>OHP-LS-2608</t>
  </si>
  <si>
    <t>OHP-LS-2609</t>
  </si>
  <si>
    <t>OHP-LS-2610</t>
  </si>
  <si>
    <t>OHP-LS-2611</t>
  </si>
  <si>
    <t>OHP-LS-2612</t>
  </si>
  <si>
    <t>OHP-LS-2613</t>
  </si>
  <si>
    <t>OHP-LS-2616</t>
  </si>
  <si>
    <t>OHP-LS-2617</t>
  </si>
  <si>
    <t>OHP-LS-2618</t>
  </si>
  <si>
    <t>OHP-LS-2619</t>
  </si>
  <si>
    <t>OHP-LS-2624</t>
  </si>
  <si>
    <t>OHP-LS-2625</t>
  </si>
  <si>
    <t>OHP-LS-2626</t>
  </si>
  <si>
    <t>OHP-LS-2627</t>
  </si>
  <si>
    <t>OHP-LS-2620</t>
  </si>
  <si>
    <t>OHP-LS-2621</t>
  </si>
  <si>
    <t>OHP-LS-2622</t>
  </si>
  <si>
    <t>OHP-LS-2623</t>
  </si>
  <si>
    <t>OHP-LS-2638</t>
  </si>
  <si>
    <t>OHP-LS-2639</t>
  </si>
  <si>
    <t>OHP-LS-2640</t>
  </si>
  <si>
    <t>OHP-LS-2641</t>
  </si>
  <si>
    <t>OHP-LS-2642</t>
  </si>
  <si>
    <t>OHP-LS-2643</t>
  </si>
  <si>
    <t>OHP-LS-2646</t>
  </si>
  <si>
    <t>OHP-LS-2647</t>
  </si>
  <si>
    <t>OHP-LS-2650</t>
  </si>
  <si>
    <t>OHP-LS-2651</t>
  </si>
  <si>
    <t>OHP-LS-2652</t>
  </si>
  <si>
    <t>OHP-LS-2653</t>
  </si>
  <si>
    <t>OHP-LS-2654</t>
  </si>
  <si>
    <t>OHP-LS-2655</t>
  </si>
  <si>
    <t>OHP-LS-2658</t>
  </si>
  <si>
    <t>OHP-LS-2659</t>
  </si>
  <si>
    <t>OHP-LS-2660</t>
  </si>
  <si>
    <t>OHP-LS-2661</t>
  </si>
  <si>
    <t>OHP-LS-2662</t>
  </si>
  <si>
    <t>OHP-LS-2663</t>
  </si>
  <si>
    <t>OHP-LS-2664</t>
  </si>
  <si>
    <t>OHP-LS-2665</t>
  </si>
  <si>
    <t>OHP-LS-2666</t>
  </si>
  <si>
    <t>OHP-LS-2667</t>
  </si>
  <si>
    <t>OHP-LS-2668</t>
  </si>
  <si>
    <t>OHP-LS-2669</t>
  </si>
  <si>
    <t>OHP-LS-2670</t>
  </si>
  <si>
    <t>OHP-LS-2671</t>
  </si>
  <si>
    <t>OHP-LS-2672</t>
  </si>
  <si>
    <t>OHP-LS-2673</t>
  </si>
  <si>
    <t>OHP-LS-2674</t>
  </si>
  <si>
    <t>OHP-LS-2675</t>
  </si>
  <si>
    <t>OHP-LS-2676</t>
  </si>
  <si>
    <t>OHP-LS-2677</t>
  </si>
  <si>
    <t>OHP-LS-2678</t>
  </si>
  <si>
    <t>OHP-LS-2679</t>
  </si>
  <si>
    <t>OHP-LS-2680</t>
  </si>
  <si>
    <t>OHP-LS-2681</t>
  </si>
  <si>
    <t>OHP-LS-2682</t>
  </si>
  <si>
    <t>OHP-LS-2683</t>
  </si>
  <si>
    <t>OHP-LS-2684</t>
  </si>
  <si>
    <t>OHP-LS-2685</t>
  </si>
  <si>
    <t>OHP-LS-2686</t>
  </si>
  <si>
    <t>OHP-LS-2687</t>
  </si>
  <si>
    <t>OHP-LS-2688</t>
  </si>
  <si>
    <t>OHP-LS-2689</t>
  </si>
  <si>
    <t>OHP-LS-2690</t>
  </si>
  <si>
    <t>OHP-LS-2691</t>
  </si>
  <si>
    <t>OHP-LS-2692</t>
  </si>
  <si>
    <t>OHP-LS-2693</t>
  </si>
  <si>
    <t>OHP-LS-2694</t>
  </si>
  <si>
    <t>OHP-LS-2695</t>
  </si>
  <si>
    <t>OHP-LS-2696</t>
  </si>
  <si>
    <t>OHP-LS-2697</t>
  </si>
  <si>
    <t>OHP-LS-2698</t>
  </si>
  <si>
    <t>OHP-LS-2699</t>
  </si>
  <si>
    <t>OHP-LS-2468</t>
  </si>
  <si>
    <t>OHP-LS-2469</t>
  </si>
  <si>
    <t>OHP-LS-2470</t>
  </si>
  <si>
    <t>OHP-LS-2471</t>
  </si>
  <si>
    <t>OHP-LS-2474</t>
  </si>
  <si>
    <t>OHP-LS-2475</t>
  </si>
  <si>
    <t>OHP-LS-2448</t>
  </si>
  <si>
    <t>OHP-LS-2449</t>
  </si>
  <si>
    <t>OHP-LS-2450</t>
  </si>
  <si>
    <t>OHP-LS-2451</t>
  </si>
  <si>
    <t>OHP-LS-2452</t>
  </si>
  <si>
    <t>OHP-LS-2453</t>
  </si>
  <si>
    <t>OHP-LS-2454</t>
  </si>
  <si>
    <t>OHP-LS-2455</t>
  </si>
  <si>
    <t>OHP-LS-2456</t>
  </si>
  <si>
    <t>OHP-LS-2457</t>
  </si>
  <si>
    <t>OHP-LS-2458</t>
  </si>
  <si>
    <t>OHP-LS-2459</t>
  </si>
  <si>
    <t>OHP-LS-2460</t>
  </si>
  <si>
    <t>OHP-LS-2461</t>
  </si>
  <si>
    <t>OHP-LS-2462</t>
  </si>
  <si>
    <t>OHP-LS-2463</t>
  </si>
  <si>
    <t>OHP-LS-2298</t>
  </si>
  <si>
    <t>OHP-LS-2299</t>
  </si>
  <si>
    <t>OHP-LS-2324</t>
  </si>
  <si>
    <t>OHP-LS-2325</t>
  </si>
  <si>
    <t>OHP-LS-2326</t>
  </si>
  <si>
    <t>OHP-LS-2327</t>
  </si>
  <si>
    <t>OHP-LS-2328</t>
  </si>
  <si>
    <t>OHP-LS-2329</t>
  </si>
  <si>
    <t>OHP-LS-2330</t>
  </si>
  <si>
    <t>OHP-LS-2331</t>
  </si>
  <si>
    <t>OHP-LS-2332</t>
  </si>
  <si>
    <t>OHP-LS-2333</t>
  </si>
  <si>
    <t>OHP-LS-2334</t>
  </si>
  <si>
    <t>OHP-LS-2335</t>
  </si>
  <si>
    <t>OHP-LS-2336</t>
  </si>
  <si>
    <t>OHP-LS-2337</t>
  </si>
  <si>
    <t>OHP-LS-2338</t>
  </si>
  <si>
    <t>OHP-LS-2339</t>
  </si>
  <si>
    <t>OHP-LS-2340</t>
  </si>
  <si>
    <t>OHP-LS-2341</t>
  </si>
  <si>
    <t>OHP-LS-2344</t>
  </si>
  <si>
    <t>OHP-LS-2345</t>
  </si>
  <si>
    <t>OHP-LS-2372</t>
  </si>
  <si>
    <t>OHP-LS-2373</t>
  </si>
  <si>
    <t>OHP-LS-5182</t>
  </si>
  <si>
    <t>OHP-LS-5183</t>
  </si>
  <si>
    <t>OHP-LS-5180</t>
  </si>
  <si>
    <t>OHP-LS-5181</t>
  </si>
  <si>
    <t>OHP-LS-5178</t>
  </si>
  <si>
    <t>OHP-LS-5179</t>
  </si>
  <si>
    <t>OHP-LS-5176</t>
  </si>
  <si>
    <t>OHP-LS-5177</t>
  </si>
  <si>
    <t>OHP-LS-24641</t>
  </si>
  <si>
    <t>OHP-LS-24642</t>
  </si>
  <si>
    <t>OHP-LS-24647</t>
  </si>
  <si>
    <t>OHP-LS-24648</t>
  </si>
  <si>
    <t>OHP-LS-24815</t>
  </si>
  <si>
    <t>OHP-LS-24816</t>
  </si>
  <si>
    <t>OHP-LS-24819</t>
  </si>
  <si>
    <t>OHP-LS-24820</t>
  </si>
  <si>
    <t>OHP-LS-10036</t>
  </si>
  <si>
    <t>OHP-LS-10433</t>
  </si>
  <si>
    <t>OHP-LS-10434</t>
  </si>
  <si>
    <t>OHP-LS-10439</t>
  </si>
  <si>
    <t>OHP-LS-10440</t>
  </si>
  <si>
    <t>OHP-LS-23113</t>
  </si>
  <si>
    <t>OHP-LS-23114</t>
  </si>
  <si>
    <t>OHP-LS-24845</t>
  </si>
  <si>
    <t>OHP-LS-24846</t>
  </si>
  <si>
    <t>OHP-LS-24847</t>
  </si>
  <si>
    <t>OHP-LS-24848</t>
  </si>
  <si>
    <t>OHP-LS-24833</t>
  </si>
  <si>
    <t>OHP-LS-24834</t>
  </si>
  <si>
    <t>OHP-LS-24635</t>
  </si>
  <si>
    <t>OHP-LS-24636</t>
  </si>
  <si>
    <t>OHP-LS-18044</t>
  </si>
  <si>
    <t>OHP-LS-18045</t>
  </si>
  <si>
    <t>OHP-LS-25007</t>
  </si>
  <si>
    <t>OHP-LS-24933</t>
  </si>
  <si>
    <t>OHP-LS-24934</t>
  </si>
  <si>
    <t>OHP-LS-23699</t>
  </si>
  <si>
    <t>OHP-LS-23700</t>
  </si>
  <si>
    <t>OHP-LS-23703</t>
  </si>
  <si>
    <t>OHP-LS-23704</t>
  </si>
  <si>
    <t>OHP-LS-25068</t>
  </si>
  <si>
    <t>OHP-LS-25069</t>
  </si>
  <si>
    <t>OHP-LS-25070</t>
  </si>
  <si>
    <t>OHP-LS-25071</t>
  </si>
  <si>
    <t>OHP-LS-24906</t>
  </si>
  <si>
    <t>OHP-LS-24907</t>
  </si>
  <si>
    <t>OHP-LS-24924</t>
  </si>
  <si>
    <t>OHP-LS-24908</t>
  </si>
  <si>
    <t>OHP-LS-24909</t>
  </si>
  <si>
    <t>OHP-LS-24910</t>
  </si>
  <si>
    <t>OHP-LS-24911</t>
  </si>
  <si>
    <t>OHP-LS-25008</t>
  </si>
  <si>
    <t>OHP-LS-25009</t>
  </si>
  <si>
    <t>OHP-LS-25010</t>
  </si>
  <si>
    <t>OHP-LS-25011</t>
  </si>
  <si>
    <t>OHP-LS-25012</t>
  </si>
  <si>
    <t>OHP-LS-25013</t>
  </si>
  <si>
    <t>OHP-LS-25014</t>
  </si>
  <si>
    <t>OHP-LS-25015</t>
  </si>
  <si>
    <t>OHP-LS-25016</t>
  </si>
  <si>
    <t>OHP-LS-25017</t>
  </si>
  <si>
    <t>OHP-LS-25018</t>
  </si>
  <si>
    <t>OHP-LS-25019</t>
  </si>
  <si>
    <t>OHP-LS-24981</t>
  </si>
  <si>
    <t>OHP-LS-24982</t>
  </si>
  <si>
    <t>OHP-LS-25153</t>
  </si>
  <si>
    <t>OHP-LS-25154</t>
  </si>
  <si>
    <t>OHP-LS-25155</t>
  </si>
  <si>
    <t>OHP-LS-25156</t>
  </si>
  <si>
    <t>OHP-LS-25157</t>
  </si>
  <si>
    <t>OHP-LS-25158</t>
  </si>
  <si>
    <t>OHP-LS-25159</t>
  </si>
  <si>
    <t>OHP-LS-25160</t>
  </si>
  <si>
    <t>OHP-LS-25163</t>
  </si>
  <si>
    <t>OHP-LS-25164</t>
  </si>
  <si>
    <t>OHP-LS-25175</t>
  </si>
  <si>
    <t>OHP-LS-25176</t>
  </si>
  <si>
    <t>OHP-LS-25177</t>
  </si>
  <si>
    <t>OHP-LS-25178</t>
  </si>
  <si>
    <t>OHP-LS-25152</t>
  </si>
  <si>
    <t>OHP-LS-25086</t>
  </si>
  <si>
    <t>OHP-LS-25087</t>
  </si>
  <si>
    <t>OHP-LS-25100</t>
  </si>
  <si>
    <t>OHP-LS-25101</t>
  </si>
  <si>
    <t>OHP-LS-25112</t>
  </si>
  <si>
    <t>OHP-LS-25113</t>
  </si>
  <si>
    <t>OHP-LS-25124</t>
  </si>
  <si>
    <t>OHP-LS-25125</t>
  </si>
  <si>
    <t>OHP-LS-25136</t>
  </si>
  <si>
    <t>OHP-LS-25137</t>
  </si>
  <si>
    <t>OHP-LS-24185</t>
  </si>
  <si>
    <t>OHP-LS-24186</t>
  </si>
  <si>
    <t>OHP-LS-23111</t>
  </si>
  <si>
    <t>OHP-LS-23112</t>
  </si>
  <si>
    <t>OHP-LS-23362</t>
  </si>
  <si>
    <t>OHP-LS-23363</t>
  </si>
  <si>
    <t>OHP-LS-25183</t>
  </si>
  <si>
    <t>OHP-LS-25184</t>
  </si>
  <si>
    <t>SOP PRODUCT DRAWING</t>
  </si>
  <si>
    <t>Product</t>
  </si>
  <si>
    <t>ATN-21258</t>
  </si>
  <si>
    <t>AMT3-099-012</t>
  </si>
  <si>
    <t>ATN-18877</t>
  </si>
  <si>
    <t>ATN-19213</t>
  </si>
  <si>
    <t>ATN-19214</t>
  </si>
  <si>
    <t>AMT3-138-006</t>
  </si>
  <si>
    <t>ATN-24484</t>
  </si>
  <si>
    <t>ATN-19014</t>
  </si>
  <si>
    <t>AMT3-099-011</t>
  </si>
  <si>
    <t>ATN-18524</t>
  </si>
  <si>
    <t>ATN-19048</t>
  </si>
  <si>
    <t>ATN-19046</t>
  </si>
  <si>
    <t>ATN-19256</t>
  </si>
  <si>
    <t>ATN-19833</t>
  </si>
  <si>
    <t>AMT3-139-022</t>
  </si>
  <si>
    <t>ATN-19835</t>
  </si>
  <si>
    <t>ATN-21684</t>
  </si>
  <si>
    <t>AMT10-001-008</t>
  </si>
  <si>
    <t>ATN-21686</t>
  </si>
  <si>
    <t>ATN-21683</t>
  </si>
  <si>
    <t>ATN-21483</t>
  </si>
  <si>
    <t>ATN-21135</t>
  </si>
  <si>
    <t>ATN-21474</t>
  </si>
  <si>
    <t>ATN-21677</t>
  </si>
  <si>
    <t>AMT3-078-010</t>
  </si>
  <si>
    <t>ATN-19778</t>
  </si>
  <si>
    <t>ATN-22270</t>
  </si>
  <si>
    <t>ATN-22326</t>
  </si>
  <si>
    <t>AMT3-151-008</t>
  </si>
  <si>
    <t>ATN-22103</t>
  </si>
  <si>
    <t>ATN-22787</t>
  </si>
  <si>
    <t>AMT3-120-007</t>
  </si>
  <si>
    <t>ATN-22574</t>
  </si>
  <si>
    <t>ATN-22923</t>
  </si>
  <si>
    <t>ATN-22788</t>
  </si>
  <si>
    <t>AMT3-153-007</t>
  </si>
  <si>
    <t>ATN-22575</t>
  </si>
  <si>
    <t>AMT3-154-007</t>
  </si>
  <si>
    <t>ATN-22576</t>
  </si>
  <si>
    <t>AMT3-156-007</t>
  </si>
  <si>
    <t>ATN-22577</t>
  </si>
  <si>
    <t>ATN-22137</t>
  </si>
  <si>
    <t>ATN-22139</t>
  </si>
  <si>
    <t>ATN-22142</t>
  </si>
  <si>
    <t>AMT3-103-011</t>
  </si>
  <si>
    <t>ATN-22021</t>
  </si>
  <si>
    <t>AMT3-074-024</t>
  </si>
  <si>
    <t>ATN-22020</t>
  </si>
  <si>
    <t>ATN-23032</t>
  </si>
  <si>
    <t>ATN-23026</t>
  </si>
  <si>
    <t>ATN-23027</t>
  </si>
  <si>
    <t>ATN-23028</t>
  </si>
  <si>
    <t>ATN-23135</t>
  </si>
  <si>
    <t>ATN-23221</t>
  </si>
  <si>
    <t>AMT3-105-009</t>
  </si>
  <si>
    <t>ATN-22022</t>
  </si>
  <si>
    <t>ATN-21485</t>
  </si>
  <si>
    <t>AMT3-086-008</t>
  </si>
  <si>
    <t>ATN-21132</t>
  </si>
  <si>
    <t>ATN-21456</t>
  </si>
  <si>
    <t>ATN-19016</t>
  </si>
  <si>
    <t>ATN-21769</t>
  </si>
  <si>
    <t>AMT3-145-011</t>
  </si>
  <si>
    <t>ATN-21773</t>
  </si>
  <si>
    <t>ATN-21771</t>
  </si>
  <si>
    <t>AMT3-112-006</t>
  </si>
  <si>
    <t>ATN-21815</t>
  </si>
  <si>
    <t>ATN-21431</t>
  </si>
  <si>
    <t>AMT3-085-009</t>
  </si>
  <si>
    <t>ATN-21131</t>
  </si>
  <si>
    <t>ATN-21432</t>
  </si>
  <si>
    <t>ATN-21259</t>
  </si>
  <si>
    <t>AMT3-087-009</t>
  </si>
  <si>
    <t>ATN-21133</t>
  </si>
  <si>
    <t>ATN-18995</t>
  </si>
  <si>
    <t>AMT3-101-007</t>
  </si>
  <si>
    <t>ATN-22573</t>
  </si>
  <si>
    <t>ATN-19020</t>
  </si>
  <si>
    <t>AMT3-108-009</t>
  </si>
  <si>
    <t>ATN-22102</t>
  </si>
  <si>
    <t>ATN-23217</t>
  </si>
  <si>
    <t>ATN-22865</t>
  </si>
  <si>
    <t>ATN-22866</t>
  </si>
  <si>
    <t>ATN-22864</t>
  </si>
  <si>
    <t>ATN-22926</t>
  </si>
  <si>
    <t>ATN-22863</t>
  </si>
  <si>
    <t>ATN-21430</t>
  </si>
  <si>
    <t>ATN-22700</t>
  </si>
  <si>
    <t>ATN-22921</t>
  </si>
  <si>
    <t>ATN-22920</t>
  </si>
  <si>
    <t>ATN-23225</t>
  </si>
  <si>
    <t>ATN-23254</t>
  </si>
  <si>
    <t>ATN-23255</t>
  </si>
  <si>
    <t>ATN-23218</t>
  </si>
  <si>
    <t>ATN-23199</t>
  </si>
  <si>
    <t>ATN-23632</t>
  </si>
  <si>
    <t>ATN-23202</t>
  </si>
  <si>
    <t>ATN-24117</t>
  </si>
  <si>
    <t>ATN-24118</t>
  </si>
  <si>
    <t>ATN-24112</t>
  </si>
  <si>
    <t>ATN-24120</t>
  </si>
  <si>
    <t>ATN-24090</t>
  </si>
  <si>
    <t>ATN-24119</t>
  </si>
  <si>
    <t>ATN-24114</t>
  </si>
  <si>
    <t>ATN-24116</t>
  </si>
  <si>
    <t>ATN-24440</t>
  </si>
  <si>
    <t>ATN-24113</t>
  </si>
  <si>
    <t>ATN-24115</t>
  </si>
  <si>
    <t>ATN-23669</t>
  </si>
  <si>
    <t>AMT3-161-007</t>
  </si>
  <si>
    <t>ATN-25028</t>
  </si>
  <si>
    <t>ATN-24228</t>
  </si>
  <si>
    <t>ATN-24227</t>
  </si>
  <si>
    <t>ATN-24226</t>
  </si>
  <si>
    <t>ATN-24225</t>
  </si>
  <si>
    <t>ATN-24231</t>
  </si>
  <si>
    <t>AMT3-158-008</t>
  </si>
  <si>
    <t>ATN-25003</t>
  </si>
  <si>
    <t>ATN-24232</t>
  </si>
  <si>
    <t>ATN-24264</t>
  </si>
  <si>
    <t>ATN-24265</t>
  </si>
  <si>
    <t>ATN-24441</t>
  </si>
  <si>
    <t>ATN-24269</t>
  </si>
  <si>
    <t>ATN-24266</t>
  </si>
  <si>
    <t>ATN-24267</t>
  </si>
  <si>
    <t>ATN-24268</t>
  </si>
  <si>
    <t>ATN-24270</t>
  </si>
  <si>
    <t>ATN-24271</t>
  </si>
  <si>
    <t>AMT3-109-009</t>
  </si>
  <si>
    <t>ATN-24990</t>
  </si>
  <si>
    <t>ATN-24272</t>
  </si>
  <si>
    <t>AMT3-130-009</t>
  </si>
  <si>
    <t>ATN-24854</t>
  </si>
  <si>
    <t>AMT3-132-008</t>
  </si>
  <si>
    <t>ATN-24859</t>
  </si>
  <si>
    <t>ATN-23368</t>
  </si>
  <si>
    <t>AMT3-178-025</t>
  </si>
  <si>
    <t>ATN-23363</t>
  </si>
  <si>
    <t>ATN-21768</t>
  </si>
  <si>
    <t>ATN-23236</t>
  </si>
  <si>
    <t>ATN-23359</t>
  </si>
  <si>
    <t>ATN-24678</t>
  </si>
  <si>
    <t>AMT3-188-008</t>
  </si>
  <si>
    <t>ATN-24355</t>
  </si>
  <si>
    <t>ATN-24679</t>
  </si>
  <si>
    <t>AMT3-189-014</t>
  </si>
  <si>
    <t>ATN-24395</t>
  </si>
  <si>
    <t>ATN-25036</t>
  </si>
  <si>
    <t>AMT3-173-005</t>
  </si>
  <si>
    <t>ATN-21816</t>
  </si>
  <si>
    <t>ATN-25112</t>
  </si>
  <si>
    <t>AMT3-205-025</t>
  </si>
  <si>
    <t>ATN-25115</t>
  </si>
  <si>
    <t xml:space="preserve">AMT3-233-006 </t>
  </si>
  <si>
    <t>ATN-25172</t>
  </si>
  <si>
    <t>ATN-23209</t>
  </si>
  <si>
    <t>ATN-23220</t>
  </si>
  <si>
    <t>ATN-19776</t>
  </si>
  <si>
    <t>ATN-20044</t>
  </si>
  <si>
    <t>ATN-20045</t>
  </si>
  <si>
    <t>ATN-20046</t>
  </si>
  <si>
    <t>ATN-22424</t>
  </si>
  <si>
    <t>AMT3-180-009</t>
  </si>
  <si>
    <t>ATN-22426</t>
  </si>
  <si>
    <t>AMT3-118-009</t>
  </si>
  <si>
    <t>ATN-25177</t>
  </si>
  <si>
    <t>ATN-24553</t>
  </si>
  <si>
    <t>ATN-23206</t>
  </si>
  <si>
    <t>ATN-23207</t>
  </si>
  <si>
    <t>ATN-19831</t>
  </si>
  <si>
    <t>ATN-19832</t>
  </si>
  <si>
    <t>ATN-21674</t>
  </si>
  <si>
    <t>ATN-21675</t>
  </si>
  <si>
    <t>ATN-21676</t>
  </si>
  <si>
    <t>AMT3-102-009</t>
  </si>
  <si>
    <t>ATN-24851</t>
  </si>
  <si>
    <t>AMT3-162-010</t>
  </si>
  <si>
    <t>ATN-25272</t>
  </si>
  <si>
    <t>ATN-19042</t>
  </si>
  <si>
    <t>AMT3-229-006</t>
  </si>
  <si>
    <t>ATN-25448</t>
  </si>
  <si>
    <t>AMT3-232-006</t>
  </si>
  <si>
    <t>ATN-25083</t>
  </si>
  <si>
    <t>ATN-23653</t>
  </si>
  <si>
    <t>AMT3-150-008</t>
  </si>
  <si>
    <t>ATN-25030</t>
  </si>
  <si>
    <t>ATN-23654</t>
  </si>
  <si>
    <t>AMT3-135-012</t>
  </si>
  <si>
    <t>ATN-24977</t>
  </si>
  <si>
    <t>ATN-23655</t>
  </si>
  <si>
    <t>ATN-23656</t>
  </si>
  <si>
    <t>AMT3-152-008</t>
  </si>
  <si>
    <t>ATN-25016</t>
  </si>
  <si>
    <t>ATN-23657</t>
  </si>
  <si>
    <t>ATN-23658</t>
  </si>
  <si>
    <t>ATN-23659</t>
  </si>
  <si>
    <t>AMT3-160-007</t>
  </si>
  <si>
    <t>ATN-25052</t>
  </si>
  <si>
    <t>ATN-23660</t>
  </si>
  <si>
    <t>AMT3-099-229</t>
  </si>
  <si>
    <t>ATN-21963</t>
  </si>
  <si>
    <t>ATN-23661</t>
  </si>
  <si>
    <t>ATN-21672</t>
  </si>
  <si>
    <t>ATN-21673</t>
  </si>
  <si>
    <t>ATN-23036</t>
  </si>
  <si>
    <t>AMT3-245-008</t>
  </si>
  <si>
    <t>ATN-25087</t>
  </si>
  <si>
    <t>ATN-25234</t>
  </si>
  <si>
    <t>ATN-23222</t>
  </si>
  <si>
    <t>AMT3-104-008</t>
  </si>
  <si>
    <t>ATN-24847</t>
  </si>
  <si>
    <t>ATN-23208</t>
  </si>
  <si>
    <t>ATN-23210</t>
  </si>
  <si>
    <t>AMT3-114-009</t>
  </si>
  <si>
    <t>ATN-24884</t>
  </si>
  <si>
    <t>ATN-23211</t>
  </si>
  <si>
    <t>AMT3-115-009</t>
  </si>
  <si>
    <t>ATN-24886</t>
  </si>
  <si>
    <t>ATN-23212</t>
  </si>
  <si>
    <t>AMT3-116-009</t>
  </si>
  <si>
    <t>ATN-24888</t>
  </si>
  <si>
    <t>ATN-23213</t>
  </si>
  <si>
    <t>ATN-23214</t>
  </si>
  <si>
    <t>AMT3-163-010</t>
  </si>
  <si>
    <t>ATN-25360</t>
  </si>
  <si>
    <t>ATN-23215</t>
  </si>
  <si>
    <t>AMT3-157-008</t>
  </si>
  <si>
    <t>ATN-24849</t>
  </si>
  <si>
    <t>AMT3-164-013</t>
  </si>
  <si>
    <t>ATN-25005</t>
  </si>
  <si>
    <t>ATN-24487</t>
  </si>
  <si>
    <t>ATN-19943</t>
  </si>
  <si>
    <t>ATN-25370</t>
  </si>
  <si>
    <t>ATN-23224</t>
  </si>
  <si>
    <t>ATN-23205</t>
  </si>
  <si>
    <t>ATN-23223</t>
  </si>
  <si>
    <t>AMT3-159-008</t>
  </si>
  <si>
    <t>ATN-25014</t>
  </si>
  <si>
    <t>ATN-23200</t>
  </si>
  <si>
    <t>ATN-23201</t>
  </si>
  <si>
    <t>AMT3-183-004</t>
  </si>
  <si>
    <t>ATN-25203</t>
  </si>
  <si>
    <t>AMT3-106-008</t>
  </si>
  <si>
    <t>ATN-24853</t>
  </si>
  <si>
    <t>ATN-23203</t>
  </si>
  <si>
    <t>AMT3-149-009</t>
  </si>
  <si>
    <t>ATN-25358</t>
  </si>
  <si>
    <t>ATN-23219</t>
  </si>
  <si>
    <t>AMT3-110-008</t>
  </si>
  <si>
    <t>ATN-24882</t>
  </si>
  <si>
    <t>ATN-23759</t>
  </si>
  <si>
    <t>ATN-23204</t>
  </si>
  <si>
    <t>ATN-25113</t>
  </si>
  <si>
    <t>ATN-21484</t>
  </si>
  <si>
    <t>ATN-19018</t>
  </si>
  <si>
    <t>ATN-21452</t>
  </si>
  <si>
    <t>ATN-25585</t>
  </si>
  <si>
    <t>ATN-21343</t>
  </si>
  <si>
    <t>ATN-24554</t>
  </si>
  <si>
    <t>ATN-24555</t>
  </si>
  <si>
    <t>ATN-24556</t>
  </si>
  <si>
    <t>ATN-24745</t>
  </si>
  <si>
    <t>ATN-24746</t>
  </si>
  <si>
    <t>ATN-24747</t>
  </si>
  <si>
    <t>ATN-22140</t>
  </si>
  <si>
    <t>ATN-21516</t>
  </si>
  <si>
    <t>ATN-22328</t>
  </si>
  <si>
    <t>ATN-22327</t>
  </si>
  <si>
    <t>ATN-22531</t>
  </si>
  <si>
    <t>ATN-25404</t>
  </si>
  <si>
    <t>ATN-25403</t>
  </si>
  <si>
    <t>ATN-25439</t>
  </si>
  <si>
    <t>ATN-18966</t>
  </si>
  <si>
    <t>AMT3-243-005</t>
  </si>
  <si>
    <t>ATN-25168</t>
  </si>
  <si>
    <t>ATN-18870</t>
  </si>
  <si>
    <t>ATN-23033</t>
  </si>
  <si>
    <t>AMT3-228-006</t>
  </si>
  <si>
    <t>ATN-25081</t>
  </si>
  <si>
    <t>ATN-25418</t>
  </si>
  <si>
    <t>AMT3-239-007</t>
  </si>
  <si>
    <t>ATN-25429</t>
  </si>
  <si>
    <t>AMT3-224-008</t>
  </si>
  <si>
    <t>ATN-25431</t>
  </si>
  <si>
    <t>ATN-19044</t>
  </si>
  <si>
    <t>AMT3-234-007</t>
  </si>
  <si>
    <t>ATN-25118</t>
  </si>
  <si>
    <t>ATN-25453</t>
  </si>
  <si>
    <t>AMT3-197-037</t>
  </si>
  <si>
    <t>ATN-24506</t>
  </si>
  <si>
    <t>ATN-25510</t>
  </si>
  <si>
    <t>AMT3-213-016</t>
  </si>
  <si>
    <t>ATN-25512</t>
  </si>
  <si>
    <t>ATN-24345</t>
  </si>
  <si>
    <t>ATN-24374</t>
  </si>
  <si>
    <t>ATN-24509</t>
  </si>
  <si>
    <t>ATN-25746</t>
  </si>
  <si>
    <t>ATN-25744</t>
  </si>
  <si>
    <t>ATN-25534</t>
  </si>
  <si>
    <t>AMT3-215-029</t>
  </si>
  <si>
    <t>ATN-25808</t>
  </si>
  <si>
    <t>ATN-25794</t>
  </si>
  <si>
    <t>ATN-25810</t>
  </si>
  <si>
    <t>ATN-25793</t>
  </si>
  <si>
    <t>ATN-25796</t>
  </si>
  <si>
    <t>ATN-22919</t>
  </si>
  <si>
    <t>ATN-19601</t>
  </si>
  <si>
    <t>ATN-22701</t>
  </si>
  <si>
    <t>ATN-21515</t>
  </si>
  <si>
    <t>ATN-22922</t>
  </si>
  <si>
    <t>ATN-22806</t>
  </si>
  <si>
    <t>ATN-22927</t>
  </si>
  <si>
    <t>ATN-22867</t>
  </si>
  <si>
    <t>ATN-22924</t>
  </si>
  <si>
    <t>ATN-22925</t>
  </si>
  <si>
    <t>ATN-22805</t>
  </si>
  <si>
    <t>ATN-21429</t>
  </si>
  <si>
    <t>ATN-22273</t>
  </si>
  <si>
    <t>ATN-25924</t>
  </si>
  <si>
    <t>AMT3-302-004</t>
  </si>
  <si>
    <t>ATN-25922</t>
  </si>
  <si>
    <t>ATN-25971</t>
  </si>
  <si>
    <t>AMT3-074-028</t>
  </si>
  <si>
    <t>ATN-26004</t>
  </si>
  <si>
    <t>ATN-25972</t>
  </si>
  <si>
    <t>ATN-25973</t>
  </si>
  <si>
    <t>ATN-26051</t>
  </si>
  <si>
    <t>ATN-25996</t>
  </si>
  <si>
    <t>AMT3-206-040</t>
  </si>
  <si>
    <t>ATN-26006</t>
  </si>
  <si>
    <t>ATN-26112</t>
  </si>
  <si>
    <t>ATN-26113</t>
  </si>
  <si>
    <t>ATN-26114</t>
  </si>
  <si>
    <t>ATN-26115</t>
  </si>
  <si>
    <t>ATN-26110</t>
  </si>
  <si>
    <t>ATN-26111</t>
  </si>
  <si>
    <t>ATN-22329</t>
  </si>
  <si>
    <t>ATN-26127</t>
  </si>
  <si>
    <t>PTCA</t>
  </si>
  <si>
    <t>Label check sheet   Barcode Box</t>
  </si>
  <si>
    <t>Label check sheet Accessories</t>
  </si>
  <si>
    <t>Label check sheet   Barcode Bag</t>
  </si>
  <si>
    <t xml:space="preserve"> Label check sheet dilator for bag</t>
  </si>
  <si>
    <t xml:space="preserve"> Label check sheet dilator for box</t>
  </si>
  <si>
    <t xml:space="preserve"> Label check sheet Barcode Dilator for bag</t>
  </si>
  <si>
    <t xml:space="preserve"> Label check sheet Barcode Dilator for box</t>
  </si>
  <si>
    <t xml:space="preserve">         Drawing List no.         Dilator &amp;  Barcode </t>
  </si>
  <si>
    <t>Base Jig 1</t>
  </si>
  <si>
    <t>Base Jig 2</t>
  </si>
  <si>
    <t>Base Jig 3</t>
  </si>
  <si>
    <t>Jig attach product label 1</t>
  </si>
  <si>
    <t>Jig attach product label 2</t>
  </si>
  <si>
    <t>Jig attach product label 3</t>
  </si>
  <si>
    <t>Jig attach other label 1</t>
  </si>
  <si>
    <t>Jig attach other label 2</t>
  </si>
  <si>
    <t>Jig attach other label 3</t>
  </si>
  <si>
    <t>Size</t>
  </si>
  <si>
    <t>Base Jig 4</t>
  </si>
  <si>
    <t>Base Jig 5</t>
  </si>
  <si>
    <t>Base Jig 6</t>
  </si>
  <si>
    <t>ATN-19444</t>
  </si>
  <si>
    <t>ATN-19443</t>
  </si>
  <si>
    <t>ATN-19441</t>
  </si>
  <si>
    <t>ATN-19396</t>
  </si>
  <si>
    <t>ATN-19397</t>
  </si>
  <si>
    <t>ATN-19405</t>
  </si>
  <si>
    <t>ATN-19668</t>
  </si>
  <si>
    <t>ATN-19669</t>
  </si>
  <si>
    <t>ATN-19664</t>
  </si>
  <si>
    <t>ATN-19665</t>
  </si>
  <si>
    <t>ATN-19666</t>
  </si>
  <si>
    <t>ATN-19667</t>
  </si>
  <si>
    <t>ATN-19654</t>
  </si>
  <si>
    <t>ATN-19652</t>
  </si>
  <si>
    <t>ATN-19650</t>
  </si>
  <si>
    <t>ATN-19651</t>
  </si>
  <si>
    <t>ATN-19855</t>
  </si>
  <si>
    <t>ATN-20036</t>
  </si>
  <si>
    <t>ATN-20038</t>
  </si>
  <si>
    <t>ATN-20039</t>
  </si>
  <si>
    <t>ATN-20040</t>
  </si>
  <si>
    <t>ATN-22257</t>
  </si>
  <si>
    <t>ATN-20772</t>
  </si>
  <si>
    <t>ATN-20768</t>
  </si>
  <si>
    <t>ATN-20019</t>
  </si>
  <si>
    <t>ATN-20170</t>
  </si>
  <si>
    <t>ATN-20171</t>
  </si>
  <si>
    <t>ATN-20172</t>
  </si>
  <si>
    <t>ATN-20769</t>
  </si>
  <si>
    <t>ATN-20766</t>
  </si>
  <si>
    <t>ATN-20767</t>
  </si>
  <si>
    <t>ATN-20555</t>
  </si>
  <si>
    <t>ATN-20556</t>
  </si>
  <si>
    <t>ATN-20773</t>
  </si>
  <si>
    <t>ATN-19450</t>
  </si>
  <si>
    <t>ATN-19448</t>
  </si>
  <si>
    <t>ATN-19451</t>
  </si>
  <si>
    <t>ATN-22093</t>
  </si>
  <si>
    <t>ATN-20519</t>
  </si>
  <si>
    <t>ATN-20010</t>
  </si>
  <si>
    <t>ATN-20164</t>
  </si>
  <si>
    <t>ATN-20501</t>
  </si>
  <si>
    <t>ATN-20009</t>
  </si>
  <si>
    <t>ATN-20028</t>
  </si>
  <si>
    <t>ATN-20502</t>
  </si>
  <si>
    <t>ATN-20505</t>
  </si>
  <si>
    <t>ATN-20510</t>
  </si>
  <si>
    <t>ATN-20520</t>
  </si>
  <si>
    <t>ATN-20027</t>
  </si>
  <si>
    <t>ATN-20032</t>
  </si>
  <si>
    <t>ATN-20499</t>
  </si>
  <si>
    <t>ATN-20224</t>
  </si>
  <si>
    <t>ATN-19399</t>
  </si>
  <si>
    <t>ATN-20033</t>
  </si>
  <si>
    <t>ATN-19400</t>
  </si>
  <si>
    <t>ATN-20554</t>
  </si>
  <si>
    <t>ATN-20770</t>
  </si>
  <si>
    <t>ATN-20771</t>
  </si>
  <si>
    <t>ATN-19392</t>
  </si>
  <si>
    <t>ATN-22255</t>
  </si>
  <si>
    <t>ATN-22256</t>
  </si>
  <si>
    <t>ATN-22260</t>
  </si>
  <si>
    <t>ATN-19449</t>
  </si>
  <si>
    <t>ATN-20037</t>
  </si>
  <si>
    <t>ATN-21984</t>
  </si>
  <si>
    <t>ATN-20536</t>
  </si>
  <si>
    <t>ATN-19432</t>
  </si>
  <si>
    <t>ATN-21780</t>
  </si>
  <si>
    <t>ATN-20535</t>
  </si>
  <si>
    <t>ATN-20541</t>
  </si>
  <si>
    <t>ATN-20546</t>
  </si>
  <si>
    <t>ATN-20549</t>
  </si>
  <si>
    <t>ATN-19418</t>
  </si>
  <si>
    <t>ATN-19417</t>
  </si>
  <si>
    <t>ATN-22089</t>
  </si>
  <si>
    <t>ATN-20166</t>
  </si>
  <si>
    <t>ATN-20540</t>
  </si>
  <si>
    <t>ATN-20543</t>
  </si>
  <si>
    <t>ATN-20545</t>
  </si>
  <si>
    <t>ATN-20547</t>
  </si>
  <si>
    <t>ATN-20548</t>
  </si>
  <si>
    <t>ATN-20550</t>
  </si>
  <si>
    <t>ATN-20551</t>
  </si>
  <si>
    <t>ATN-22083</t>
  </si>
  <si>
    <t>ATN-22085</t>
  </si>
  <si>
    <t>ATN-20026</t>
  </si>
  <si>
    <t>ATN-20223</t>
  </si>
  <si>
    <t>ATN-19447</t>
  </si>
  <si>
    <t>ATN-20552</t>
  </si>
  <si>
    <t>ATN-20017</t>
  </si>
  <si>
    <t>ATN-20168</t>
  </si>
  <si>
    <t>ATN-20018</t>
  </si>
  <si>
    <t>ATN-20030</t>
  </si>
  <si>
    <t>ATN-20031</t>
  </si>
  <si>
    <t>ATN-20029</t>
  </si>
  <si>
    <t>ATN-20222</t>
  </si>
  <si>
    <t>ATN-20173</t>
  </si>
  <si>
    <t>ATN-20486</t>
  </si>
  <si>
    <t>ATN-20227</t>
  </si>
  <si>
    <t>ATN-20542</t>
  </si>
  <si>
    <t>ATN-20544</t>
  </si>
  <si>
    <t>ATN-20538</t>
  </si>
  <si>
    <t>ATN-22082</t>
  </si>
  <si>
    <t>ATN-22086</t>
  </si>
  <si>
    <t>ATN-19415</t>
  </si>
  <si>
    <t>ATN-19419</t>
  </si>
  <si>
    <t>ATN-20225</t>
  </si>
  <si>
    <t>ATN-20165</t>
  </si>
  <si>
    <t>ATN-20504</t>
  </si>
  <si>
    <t>ATN-19653</t>
  </si>
  <si>
    <t>ATN-19446</t>
  </si>
  <si>
    <t>ATN-20553</t>
  </si>
  <si>
    <t>ATN-21988</t>
  </si>
  <si>
    <t>ATN-21989</t>
  </si>
  <si>
    <t>ATN-21986</t>
  </si>
  <si>
    <t>ATN-21985</t>
  </si>
  <si>
    <t>ATN-21987</t>
  </si>
  <si>
    <t>ATN-20008</t>
  </si>
  <si>
    <t>ATN-20528</t>
  </si>
  <si>
    <t>ATN-20532</t>
  </si>
  <si>
    <t>ATN-23041</t>
  </si>
  <si>
    <t>ATN-23040</t>
  </si>
  <si>
    <t>ATN-23043</t>
  </si>
  <si>
    <t>ATN-23042</t>
  </si>
  <si>
    <t>ATN-19670</t>
  </si>
  <si>
    <t>ATN-19437</t>
  </si>
  <si>
    <t>ATN-19671</t>
  </si>
  <si>
    <t>ATN-19672</t>
  </si>
  <si>
    <t>ATN-20025</t>
  </si>
  <si>
    <t>ATN-20228</t>
  </si>
  <si>
    <t>ATN-20491</t>
  </si>
  <si>
    <t>ATN-20490</t>
  </si>
  <si>
    <t>ATN-20024</t>
  </si>
  <si>
    <t>ATN-20483</t>
  </si>
  <si>
    <t>ATN-20484</t>
  </si>
  <si>
    <t>ATN-19404</t>
  </si>
  <si>
    <t>ATN-20215</t>
  </si>
  <si>
    <t>ATN-20512</t>
  </si>
  <si>
    <t>ATN-20530</t>
  </si>
  <si>
    <t>ATN-20527</t>
  </si>
  <si>
    <t>ATN-20529</t>
  </si>
  <si>
    <t>ATN-20531</t>
  </si>
  <si>
    <t>ATN-20533</t>
  </si>
  <si>
    <t>ATN-20537</t>
  </si>
  <si>
    <t>ATN-20539</t>
  </si>
  <si>
    <t>ATN-19676</t>
  </si>
  <si>
    <t>ATN-19678</t>
  </si>
  <si>
    <t>ATN-19674</t>
  </si>
  <si>
    <t>ATN-19677</t>
  </si>
  <si>
    <t>ATN-19673</t>
  </si>
  <si>
    <t>ATN-19675</t>
  </si>
  <si>
    <t>ATN-19655</t>
  </si>
  <si>
    <t>ATN-19656</t>
  </si>
  <si>
    <t>ATN-20488</t>
  </si>
  <si>
    <t>ATN-19434</t>
  </si>
  <si>
    <t>ATN-22088</t>
  </si>
  <si>
    <t>ATN-22090</t>
  </si>
  <si>
    <t>ATN-22091</t>
  </si>
  <si>
    <t>ATN-22092</t>
  </si>
  <si>
    <t>ATN-22084</t>
  </si>
  <si>
    <t>ATN-22087</t>
  </si>
  <si>
    <t>ATN-19416</t>
  </si>
  <si>
    <t>ATN-19420</t>
  </si>
  <si>
    <t>ATN-19657</t>
  </si>
  <si>
    <t>ATN-19658</t>
  </si>
  <si>
    <t>ATN-19403</t>
  </si>
  <si>
    <t>ATN-23360</t>
  </si>
  <si>
    <t>ATN-23361</t>
  </si>
  <si>
    <t>ATN-21774</t>
  </si>
  <si>
    <t>ATN-21777</t>
  </si>
  <si>
    <t>ATN-21775</t>
  </si>
  <si>
    <t>ATN-21776</t>
  </si>
  <si>
    <t>ATN-21779</t>
  </si>
  <si>
    <t>ATN-21778</t>
  </si>
  <si>
    <t>ATN-21781</t>
  </si>
  <si>
    <t>ATN-21782</t>
  </si>
  <si>
    <t>ATN-21783</t>
  </si>
  <si>
    <t>ATN-24346</t>
  </si>
  <si>
    <t>ATN-24347</t>
  </si>
  <si>
    <t>ATN-24348</t>
  </si>
  <si>
    <t>ATN-24349</t>
  </si>
  <si>
    <t>ATN-24350</t>
  </si>
  <si>
    <t>ATN-24351</t>
  </si>
  <si>
    <t>ATN-24400</t>
  </si>
  <si>
    <t>ATN-24401</t>
  </si>
  <si>
    <t>ATN-24396</t>
  </si>
  <si>
    <t>ATN-24397</t>
  </si>
  <si>
    <t>ATN-24398</t>
  </si>
  <si>
    <t>ATN-24399</t>
  </si>
  <si>
    <t>ATN-25037</t>
  </si>
  <si>
    <t>ATN-25106</t>
  </si>
  <si>
    <t>ATN-25108</t>
  </si>
  <si>
    <t>ATN-25073</t>
  </si>
  <si>
    <t>ATN-25072</t>
  </si>
  <si>
    <t>ATN-19853</t>
  </si>
  <si>
    <t>ATN-19854</t>
  </si>
  <si>
    <t>ATN-22420</t>
  </si>
  <si>
    <t>ATN-21786</t>
  </si>
  <si>
    <t>ATN-21784</t>
  </si>
  <si>
    <t>ATN-19433</t>
  </si>
  <si>
    <t>ATN-25441</t>
  </si>
  <si>
    <t>ATN-25204</t>
  </si>
  <si>
    <t>ATN-25107</t>
  </si>
  <si>
    <t>ATN-25109</t>
  </si>
  <si>
    <t>ATN-25424</t>
  </si>
  <si>
    <t>ATN-25232</t>
  </si>
  <si>
    <t>ATN-20216</t>
  </si>
  <si>
    <t>ATN-20021</t>
  </si>
  <si>
    <t>ATN-20473</t>
  </si>
  <si>
    <t>ATN-20471</t>
  </si>
  <si>
    <t>ATN-20472</t>
  </si>
  <si>
    <t>ATN-20023</t>
  </si>
  <si>
    <t>ATN-20478</t>
  </si>
  <si>
    <t>ATN-20479</t>
  </si>
  <si>
    <t>ATN-20477</t>
  </si>
  <si>
    <t>ATN-20022</t>
  </si>
  <si>
    <t>ATN-20476</t>
  </si>
  <si>
    <t>ATN-20474</t>
  </si>
  <si>
    <t>ATN-20475</t>
  </si>
  <si>
    <t>ATN-19423</t>
  </si>
  <si>
    <t>ATN-20503</t>
  </si>
  <si>
    <t>ATN-20507</t>
  </si>
  <si>
    <t>ATN-20506</t>
  </si>
  <si>
    <t>ATN-20509</t>
  </si>
  <si>
    <t>ATN-20020</t>
  </si>
  <si>
    <t>ATN-20219</t>
  </si>
  <si>
    <t>ATN-20220</t>
  </si>
  <si>
    <t>ATN-20218</t>
  </si>
  <si>
    <t>ATN-19422</t>
  </si>
  <si>
    <t>ATN-20470</t>
  </si>
  <si>
    <t>ATN-21307</t>
  </si>
  <si>
    <t>ATN-25103</t>
  </si>
  <si>
    <t>ATN-25105</t>
  </si>
  <si>
    <t>ATN-19402</t>
  </si>
  <si>
    <t>ATN-22258</t>
  </si>
  <si>
    <t>ATN-22259</t>
  </si>
  <si>
    <t>ATN-20534</t>
  </si>
  <si>
    <t>ATN-22261</t>
  </si>
  <si>
    <t>ATN-22262</t>
  </si>
  <si>
    <t>ATN-22094</t>
  </si>
  <si>
    <t>ATN-22095</t>
  </si>
  <si>
    <t>ATN-25400</t>
  </si>
  <si>
    <t>ATN-25437</t>
  </si>
  <si>
    <t>ATN-21792</t>
  </si>
  <si>
    <t>ATN-25427</t>
  </si>
  <si>
    <t>ATN-25170</t>
  </si>
  <si>
    <t>ATN-25206</t>
  </si>
  <si>
    <t>ATN-25076</t>
  </si>
  <si>
    <t>ATN-25420</t>
  </si>
  <si>
    <t>ATN-25071</t>
  </si>
  <si>
    <t>ATN-25423</t>
  </si>
  <si>
    <t>ATN-25419</t>
  </si>
  <si>
    <t>ATN-25422</t>
  </si>
  <si>
    <t>ATN-25421</t>
  </si>
  <si>
    <t>ATN-26096</t>
  </si>
  <si>
    <t>ATN-26097</t>
  </si>
  <si>
    <t>ATN-25476</t>
  </si>
  <si>
    <t>ATN-25477</t>
  </si>
  <si>
    <t>ATN-25474</t>
  </si>
  <si>
    <t>ATN-25507</t>
  </si>
  <si>
    <t>ATN-25472</t>
  </si>
  <si>
    <t>ATN-24515</t>
  </si>
  <si>
    <t>ATN-24516</t>
  </si>
  <si>
    <t>ATN-24517</t>
  </si>
  <si>
    <t>ATN-24518</t>
  </si>
  <si>
    <t>ATN-25473</t>
  </si>
  <si>
    <t>ATN-25688</t>
  </si>
  <si>
    <t>ATN-25689</t>
  </si>
  <si>
    <t>ATN-25690</t>
  </si>
  <si>
    <t>ATN-25691</t>
  </si>
  <si>
    <t>ATN-25692</t>
  </si>
  <si>
    <t>ATN-25693</t>
  </si>
  <si>
    <t>ATN-25694</t>
  </si>
  <si>
    <t>ATN-25695</t>
  </si>
  <si>
    <t>ATN-25801</t>
  </si>
  <si>
    <t>ATN-25802</t>
  </si>
  <si>
    <t>ATN-25805</t>
  </si>
  <si>
    <t>ATN-25806</t>
  </si>
  <si>
    <t>ATN-25803</t>
  </si>
  <si>
    <t>ATN-25804</t>
  </si>
  <si>
    <t>ATN-25799</t>
  </si>
  <si>
    <t>ATN-25800</t>
  </si>
  <si>
    <t>ATN-20169</t>
  </si>
  <si>
    <t>ATN-20492</t>
  </si>
  <si>
    <t>ATN-25505</t>
  </si>
  <si>
    <t>ATN-25508</t>
  </si>
  <si>
    <t>ATN-25925</t>
  </si>
  <si>
    <t>ATN-22263</t>
  </si>
  <si>
    <t>ATN-25920</t>
  </si>
  <si>
    <t>ATN-25974</t>
  </si>
  <si>
    <t>ATN-25997</t>
  </si>
  <si>
    <t>ATN-25998</t>
  </si>
  <si>
    <t>ATN-25999</t>
  </si>
  <si>
    <t>ATN-26000</t>
  </si>
  <si>
    <t>ATN-26001</t>
  </si>
  <si>
    <t>ATN-26002</t>
  </si>
  <si>
    <t>ATN-26103</t>
  </si>
  <si>
    <t>ATN-25104</t>
  </si>
  <si>
    <t/>
  </si>
  <si>
    <t>0936077-M-A</t>
  </si>
  <si>
    <t>0936078-M-A</t>
  </si>
  <si>
    <t>0936088-J-A</t>
  </si>
  <si>
    <t>0956007-E-A</t>
  </si>
  <si>
    <t>0956008-E-A</t>
  </si>
  <si>
    <t>0956009-E-A</t>
  </si>
  <si>
    <t>0956010-E-A</t>
  </si>
  <si>
    <t>0956011-G-A</t>
  </si>
  <si>
    <t>0956012-G-A</t>
  </si>
  <si>
    <t>09B1002-G-A</t>
  </si>
  <si>
    <t>09B1003-G-A</t>
  </si>
  <si>
    <t>1036001-D-A</t>
  </si>
  <si>
    <t>1036001-F-A</t>
  </si>
  <si>
    <t>1036002-D-A</t>
  </si>
  <si>
    <t>1036002-F-A</t>
  </si>
  <si>
    <t>1036003-D-A</t>
  </si>
  <si>
    <t>1036003-F-A</t>
  </si>
  <si>
    <t>1036004-D-A</t>
  </si>
  <si>
    <t>1036004-F-A</t>
  </si>
  <si>
    <t>1036005-D-A</t>
  </si>
  <si>
    <t>1036005-F-A</t>
  </si>
  <si>
    <t>1036006-D-A</t>
  </si>
  <si>
    <t>1036006-F-A</t>
  </si>
  <si>
    <t>1036007-C-A</t>
  </si>
  <si>
    <t>1036007-E-A</t>
  </si>
  <si>
    <t>1036008-C-A</t>
  </si>
  <si>
    <t>1036008-E-A</t>
  </si>
  <si>
    <t>1036009-C-A</t>
  </si>
  <si>
    <t>1036009-E-A</t>
  </si>
  <si>
    <t>1036010-C-A</t>
  </si>
  <si>
    <t>1036010-E-A</t>
  </si>
  <si>
    <t>1036011-E-A</t>
  </si>
  <si>
    <t>1036011-G-A</t>
  </si>
  <si>
    <t>1036012-D-A</t>
  </si>
  <si>
    <t>1036012-F-A</t>
  </si>
  <si>
    <t>1036013-E-A</t>
  </si>
  <si>
    <t>1036013-G-A</t>
  </si>
  <si>
    <t>1036014-E-A</t>
  </si>
  <si>
    <t>1036014-G-A</t>
  </si>
  <si>
    <t>1036015-D-A</t>
  </si>
  <si>
    <t>1036015-F-A</t>
  </si>
  <si>
    <t>1036016-D-A</t>
  </si>
  <si>
    <t>1036016-F-A</t>
  </si>
  <si>
    <t>1036017-D-A</t>
  </si>
  <si>
    <t>1036017-F-A</t>
  </si>
  <si>
    <t>1036018-D-A</t>
  </si>
  <si>
    <t>1036018-F-A</t>
  </si>
  <si>
    <t>1036019-D-A</t>
  </si>
  <si>
    <t>1036019-F-A</t>
  </si>
  <si>
    <t>1036020-D-A</t>
  </si>
  <si>
    <t>1036020-F-A</t>
  </si>
  <si>
    <t>1036021-D-A</t>
  </si>
  <si>
    <t>1036021-F-A</t>
  </si>
  <si>
    <t>1036022-C-A</t>
  </si>
  <si>
    <t>1036022-F-A</t>
  </si>
  <si>
    <t>1036023-C-A</t>
  </si>
  <si>
    <t>1036023-E-A</t>
  </si>
  <si>
    <t>1036024-C-A</t>
  </si>
  <si>
    <t>1036024-E-A</t>
  </si>
  <si>
    <t>1036025-E-A</t>
  </si>
  <si>
    <t>1036026-E-A</t>
  </si>
  <si>
    <t>1036027-G-A</t>
  </si>
  <si>
    <t>1036028-G-A</t>
  </si>
  <si>
    <t>1036029-G-A</t>
  </si>
  <si>
    <t>1036030-G-A</t>
  </si>
  <si>
    <t>1036031-H-A</t>
  </si>
  <si>
    <t>1036032-H-A</t>
  </si>
  <si>
    <t>1036033-H-A</t>
  </si>
  <si>
    <t>1036034-H-A</t>
  </si>
  <si>
    <t>1036035-F-A</t>
  </si>
  <si>
    <t>1036036-F-A</t>
  </si>
  <si>
    <t>1036037-F-A</t>
  </si>
  <si>
    <t>1036038-F-A</t>
  </si>
  <si>
    <t>1036039-E-A</t>
  </si>
  <si>
    <t>1036040-E-A</t>
  </si>
  <si>
    <t>1036041-E-A</t>
  </si>
  <si>
    <t>1036042-E-A</t>
  </si>
  <si>
    <t>1036043-F-A</t>
  </si>
  <si>
    <t>1036044-F-A</t>
  </si>
  <si>
    <t>1036045-F-A</t>
  </si>
  <si>
    <t>1036046-F-A</t>
  </si>
  <si>
    <t>1036047-F-A</t>
  </si>
  <si>
    <t>1036048-F-A</t>
  </si>
  <si>
    <t>1036049-F-A</t>
  </si>
  <si>
    <t>1036052-D-A</t>
  </si>
  <si>
    <t>1036052-F-A</t>
  </si>
  <si>
    <t>1036053-D-A</t>
  </si>
  <si>
    <t>1036053-F-A</t>
  </si>
  <si>
    <t>1036054-F-A</t>
  </si>
  <si>
    <t>1036055-F-A</t>
  </si>
  <si>
    <t>1036058-F-A</t>
  </si>
  <si>
    <t>1036058-G-A</t>
  </si>
  <si>
    <t>1036059-F-A</t>
  </si>
  <si>
    <t>1036059-G-A</t>
  </si>
  <si>
    <t>1036060-E-A</t>
  </si>
  <si>
    <t>1036060-H-A</t>
  </si>
  <si>
    <t>1036061-E-A</t>
  </si>
  <si>
    <t>1036061-H-A</t>
  </si>
  <si>
    <t>1036062-F-A</t>
  </si>
  <si>
    <t>1036062-G-A</t>
  </si>
  <si>
    <t>1036063-F-A</t>
  </si>
  <si>
    <t>1036063-G-A</t>
  </si>
  <si>
    <t>1036064-F-A</t>
  </si>
  <si>
    <t>1036064-G-A</t>
  </si>
  <si>
    <t>1036065-F-A</t>
  </si>
  <si>
    <t>1036065-G-A</t>
  </si>
  <si>
    <t>1036066-F-A</t>
  </si>
  <si>
    <t>1036066-G-A</t>
  </si>
  <si>
    <t>1036067-F-A</t>
  </si>
  <si>
    <t>1036067-G-A</t>
  </si>
  <si>
    <t>1036068-F-A</t>
  </si>
  <si>
    <t>1036068-G-A</t>
  </si>
  <si>
    <t>1036069-F-A</t>
  </si>
  <si>
    <t>1036069-G-A</t>
  </si>
  <si>
    <t>10B1001-A-A</t>
  </si>
  <si>
    <t>10B1001-B-A</t>
  </si>
  <si>
    <t>10B1002-A-A</t>
  </si>
  <si>
    <t>10B1002-B-A</t>
  </si>
  <si>
    <t>10B1003-A-A</t>
  </si>
  <si>
    <t>10B1003-B-A</t>
  </si>
  <si>
    <t>10B1004-A-A</t>
  </si>
  <si>
    <t>10B1004-B-A</t>
  </si>
  <si>
    <t>10B1005-A-A</t>
  </si>
  <si>
    <t>10B1005-B-A</t>
  </si>
  <si>
    <t>1131009-J-A</t>
  </si>
  <si>
    <t>1136004-F-A</t>
  </si>
  <si>
    <t>1136005-F-A</t>
  </si>
  <si>
    <t>1136006-E-A</t>
  </si>
  <si>
    <t>1136006-F-A</t>
  </si>
  <si>
    <t>1136007-E-A</t>
  </si>
  <si>
    <t>1136007-F-A</t>
  </si>
  <si>
    <t>1136008-F-A</t>
  </si>
  <si>
    <t>1136009-F-A</t>
  </si>
  <si>
    <t>1136010-F-A</t>
  </si>
  <si>
    <t>1136011-G-A</t>
  </si>
  <si>
    <t>1136012-G-A</t>
  </si>
  <si>
    <t>1136013-G-A</t>
  </si>
  <si>
    <t>1136014-G-A</t>
  </si>
  <si>
    <t>1136015-F-A</t>
  </si>
  <si>
    <t>1136016-F-A</t>
  </si>
  <si>
    <t>1136017-F-A</t>
  </si>
  <si>
    <t>1136018-E-A</t>
  </si>
  <si>
    <t>1136018-F-A</t>
  </si>
  <si>
    <t>1136019-E-A</t>
  </si>
  <si>
    <t>1136019-F-A</t>
  </si>
  <si>
    <t>1136020-F-A</t>
  </si>
  <si>
    <t>1136021-E-A</t>
  </si>
  <si>
    <t>1136021-F-A</t>
  </si>
  <si>
    <t>1136022-F-A</t>
  </si>
  <si>
    <t>1136023-F-A</t>
  </si>
  <si>
    <t>1136024-F-A</t>
  </si>
  <si>
    <t>1136025-F-A</t>
  </si>
  <si>
    <t>1136026-F-A</t>
  </si>
  <si>
    <t>1136027-G-A</t>
  </si>
  <si>
    <t>1136028-G-A</t>
  </si>
  <si>
    <t>1136029-G-A</t>
  </si>
  <si>
    <t>1136030-G-A</t>
  </si>
  <si>
    <t>1136031-G-A</t>
  </si>
  <si>
    <t>1136032-G-A</t>
  </si>
  <si>
    <t>1136033-G-A</t>
  </si>
  <si>
    <t>1136034-G-A</t>
  </si>
  <si>
    <t>1136035-H-A</t>
  </si>
  <si>
    <t>1136036-H-A</t>
  </si>
  <si>
    <t>1136037-H-A</t>
  </si>
  <si>
    <t>1136039-H-A</t>
  </si>
  <si>
    <t>1136040-H-A</t>
  </si>
  <si>
    <t>1136041-F-A</t>
  </si>
  <si>
    <t>1136042-E-A</t>
  </si>
  <si>
    <t>1136042-F-A</t>
  </si>
  <si>
    <t>1136043-F-A</t>
  </si>
  <si>
    <t>1136044-E-A</t>
  </si>
  <si>
    <t>1136044-F-A</t>
  </si>
  <si>
    <t>1136045-E-A</t>
  </si>
  <si>
    <t>1136046-E-A</t>
  </si>
  <si>
    <t>1136047-E-A</t>
  </si>
  <si>
    <t>1136048-F-A</t>
  </si>
  <si>
    <t>1136049-F-A</t>
  </si>
  <si>
    <t>1136050-E-A</t>
  </si>
  <si>
    <t>1136050-F-A</t>
  </si>
  <si>
    <t>1136051-E-A</t>
  </si>
  <si>
    <t>1136051-F-A</t>
  </si>
  <si>
    <t>1136052-F-A</t>
  </si>
  <si>
    <t>1136053-F-A</t>
  </si>
  <si>
    <t>1136054-E-A</t>
  </si>
  <si>
    <t>1136054-F-A</t>
  </si>
  <si>
    <t>1136055-E-A</t>
  </si>
  <si>
    <t>1136055-F-A</t>
  </si>
  <si>
    <t>1136056-E-A</t>
  </si>
  <si>
    <t>1136058-F-A</t>
  </si>
  <si>
    <t>1136059-F-A</t>
  </si>
  <si>
    <t>1136060-E-A</t>
  </si>
  <si>
    <t>1136060-F-A</t>
  </si>
  <si>
    <t>1136061-E-A</t>
  </si>
  <si>
    <t>1136061-F-A</t>
  </si>
  <si>
    <t>1136062-J-A</t>
  </si>
  <si>
    <t>1136063-J-A</t>
  </si>
  <si>
    <t>1136064-E-A</t>
  </si>
  <si>
    <t>1136064-F-A</t>
  </si>
  <si>
    <t>1136065-E-A</t>
  </si>
  <si>
    <t>1136065-F-A</t>
  </si>
  <si>
    <t>1136066-E-A</t>
  </si>
  <si>
    <t>1136066-F-A</t>
  </si>
  <si>
    <t>1136067-E-A</t>
  </si>
  <si>
    <t>1136067-F-A</t>
  </si>
  <si>
    <t>1136068-F-A</t>
  </si>
  <si>
    <t>1136069-E-A</t>
  </si>
  <si>
    <t>1136069-F-A</t>
  </si>
  <si>
    <t>1136070-E-A</t>
  </si>
  <si>
    <t>1136070-F-A</t>
  </si>
  <si>
    <t>1136071-E-A</t>
  </si>
  <si>
    <t>1136071-F-A</t>
  </si>
  <si>
    <t>1136072-F-A</t>
  </si>
  <si>
    <t>1136073-E-A</t>
  </si>
  <si>
    <t>1136073-F-A</t>
  </si>
  <si>
    <t>1136074-E-A</t>
  </si>
  <si>
    <t>1136074-F-A</t>
  </si>
  <si>
    <t>1136075-E-A</t>
  </si>
  <si>
    <t>1136075-F-A</t>
  </si>
  <si>
    <t>1136076-F-A</t>
  </si>
  <si>
    <t>1136077-E-A</t>
  </si>
  <si>
    <t>1136078-D-A</t>
  </si>
  <si>
    <t>1136079-E-A</t>
  </si>
  <si>
    <t>1136079-F-A</t>
  </si>
  <si>
    <t>1136080-F-A</t>
  </si>
  <si>
    <t>1136081-E-A</t>
  </si>
  <si>
    <t>1136081-F-A</t>
  </si>
  <si>
    <t>1136082-E-A</t>
  </si>
  <si>
    <t>1136082-F-A</t>
  </si>
  <si>
    <t>1136083-E-A</t>
  </si>
  <si>
    <t>1136083-F-A</t>
  </si>
  <si>
    <t>1136084-E-A</t>
  </si>
  <si>
    <t>1136084-F-A</t>
  </si>
  <si>
    <t>1136085-E-A</t>
  </si>
  <si>
    <t>1136085-F-A</t>
  </si>
  <si>
    <t>1136086-E-A</t>
  </si>
  <si>
    <t>1136086-F-A</t>
  </si>
  <si>
    <t>1136087-G-A</t>
  </si>
  <si>
    <t>1136088-G-A</t>
  </si>
  <si>
    <t>1136089-G-A</t>
  </si>
  <si>
    <t>1136090-G-A</t>
  </si>
  <si>
    <t>1136091-H-A</t>
  </si>
  <si>
    <t>1136092-H-A</t>
  </si>
  <si>
    <t>1136093-H-A</t>
  </si>
  <si>
    <t>1136094-H-A</t>
  </si>
  <si>
    <t>1136095-E-A</t>
  </si>
  <si>
    <t>1136095-F-A</t>
  </si>
  <si>
    <t>1136096-E-A</t>
  </si>
  <si>
    <t>1136096-F-A</t>
  </si>
  <si>
    <t>1136097-E-A</t>
  </si>
  <si>
    <t>1136097-F-A</t>
  </si>
  <si>
    <t>1136098-E-A</t>
  </si>
  <si>
    <t>1136098-F-A</t>
  </si>
  <si>
    <t>1136099-D-A</t>
  </si>
  <si>
    <t>1136100-C-A</t>
  </si>
  <si>
    <t>1136101-C-A</t>
  </si>
  <si>
    <t>1136102-E-A</t>
  </si>
  <si>
    <t>1136103-E-A</t>
  </si>
  <si>
    <t>1136419-D-A</t>
  </si>
  <si>
    <t>1136420-D-A</t>
  </si>
  <si>
    <t>1136421-D-A</t>
  </si>
  <si>
    <t>1136422-D-A</t>
  </si>
  <si>
    <t>1136423-F-A</t>
  </si>
  <si>
    <t>1136424-F-A</t>
  </si>
  <si>
    <t>1136425-F-A</t>
  </si>
  <si>
    <t>1136426-F-A</t>
  </si>
  <si>
    <t>1136435-H-A</t>
  </si>
  <si>
    <t>1136436-H-A</t>
  </si>
  <si>
    <t>1136437-H-A</t>
  </si>
  <si>
    <t>1136438-H-A</t>
  </si>
  <si>
    <t>1236001-A-A</t>
  </si>
  <si>
    <t>1236001-B-A</t>
  </si>
  <si>
    <t>1236001-C-A</t>
  </si>
  <si>
    <t>1236002-A-A</t>
  </si>
  <si>
    <t>1236002-B-A</t>
  </si>
  <si>
    <t>1236002-C-A</t>
  </si>
  <si>
    <t>1236003-A-A</t>
  </si>
  <si>
    <t>1236003-B-A</t>
  </si>
  <si>
    <t>1236003-C-A</t>
  </si>
  <si>
    <t>1236004-A-A</t>
  </si>
  <si>
    <t>1236004-B-A</t>
  </si>
  <si>
    <t>1236004-C-A</t>
  </si>
  <si>
    <t>1236005-A-A</t>
  </si>
  <si>
    <t>1236005-B-A</t>
  </si>
  <si>
    <t>1236005-C-A</t>
  </si>
  <si>
    <t>1236006-A-A</t>
  </si>
  <si>
    <t>1236006-B-A</t>
  </si>
  <si>
    <t>1236006-C-A</t>
  </si>
  <si>
    <t>1236007-A-A</t>
  </si>
  <si>
    <t>1236007-B-A</t>
  </si>
  <si>
    <t>1236007-C-A</t>
  </si>
  <si>
    <t>1236008-A-A</t>
  </si>
  <si>
    <t>1236008-B-A</t>
  </si>
  <si>
    <t>1236008-C-A</t>
  </si>
  <si>
    <t>1236009-A-A</t>
  </si>
  <si>
    <t>1236009-B-A</t>
  </si>
  <si>
    <t>1236009-C-A</t>
  </si>
  <si>
    <t>1236010-A-A</t>
  </si>
  <si>
    <t>1236010-B-A</t>
  </si>
  <si>
    <t>1236010-C-A</t>
  </si>
  <si>
    <t>1236011-A-A</t>
  </si>
  <si>
    <t>1236011-B-A</t>
  </si>
  <si>
    <t>1236011-C-A</t>
  </si>
  <si>
    <t>1236012-E-A</t>
  </si>
  <si>
    <t>1236013-E-A</t>
  </si>
  <si>
    <t>1236014-B-A</t>
  </si>
  <si>
    <t>1236015-B-A</t>
  </si>
  <si>
    <t>1236022-C-A</t>
  </si>
  <si>
    <t>1236023-C-A</t>
  </si>
  <si>
    <t>1236024-C-A</t>
  </si>
  <si>
    <t>1236025-C-A</t>
  </si>
  <si>
    <t>1236026-C-A</t>
  </si>
  <si>
    <t>1236027-C-A</t>
  </si>
  <si>
    <t>1236034-A-A</t>
  </si>
  <si>
    <t>1236035-0-A</t>
  </si>
  <si>
    <t>1256001-F-A</t>
  </si>
  <si>
    <t>1256002-F-A</t>
  </si>
  <si>
    <t>1256003-F-A</t>
  </si>
  <si>
    <t>1256004-F-A</t>
  </si>
  <si>
    <t>1256005-D-A</t>
  </si>
  <si>
    <t>1256006-D-A</t>
  </si>
  <si>
    <t>1256007-D-A</t>
  </si>
  <si>
    <t>1256008-D-A</t>
  </si>
  <si>
    <t>1256009-D-A</t>
  </si>
  <si>
    <t>1256010-D-A</t>
  </si>
  <si>
    <t>1331003-C-A</t>
  </si>
  <si>
    <t>1336001-C-A</t>
  </si>
  <si>
    <t>1336002-C-A</t>
  </si>
  <si>
    <t>1336003-C-A</t>
  </si>
  <si>
    <t>1336004-C-A</t>
  </si>
  <si>
    <t>1336005-F-A</t>
  </si>
  <si>
    <t>1336006-F-A</t>
  </si>
  <si>
    <t>1336007-F-A</t>
  </si>
  <si>
    <t>1336008-F-A</t>
  </si>
  <si>
    <t>1336009-B-A</t>
  </si>
  <si>
    <t>1336010-B-A</t>
  </si>
  <si>
    <t>1336011-B-A</t>
  </si>
  <si>
    <t>1336012-B-A</t>
  </si>
  <si>
    <t>1336014-B-A</t>
  </si>
  <si>
    <t>1336015-B-A</t>
  </si>
  <si>
    <t>1336016-B-A</t>
  </si>
  <si>
    <t>1336017-B-A</t>
  </si>
  <si>
    <t>1336018-E-A</t>
  </si>
  <si>
    <t>1336019-E-A</t>
  </si>
  <si>
    <t>1336020-E-A</t>
  </si>
  <si>
    <t>1336021-E-A</t>
  </si>
  <si>
    <t>1336022-A-A</t>
  </si>
  <si>
    <t>1336023-A-A</t>
  </si>
  <si>
    <t>1336024-A-A</t>
  </si>
  <si>
    <t>1336025-A-A</t>
  </si>
  <si>
    <t>1336026-B-A</t>
  </si>
  <si>
    <t>1336027-B-A</t>
  </si>
  <si>
    <t>1336028-B-A</t>
  </si>
  <si>
    <t>1336029-B-A</t>
  </si>
  <si>
    <t>1351051-C-A</t>
  </si>
  <si>
    <t>1351052-B-A</t>
  </si>
  <si>
    <t>1356017-C-A</t>
  </si>
  <si>
    <t>1356018-C-A</t>
  </si>
  <si>
    <t>1356019-C-A</t>
  </si>
  <si>
    <t>1356019-D-A</t>
  </si>
  <si>
    <t>1356020-C-A</t>
  </si>
  <si>
    <t>1356020-D-A</t>
  </si>
  <si>
    <t>1436001-0-A</t>
  </si>
  <si>
    <t>1436002-0-A</t>
  </si>
  <si>
    <t>1436003-0-A</t>
  </si>
  <si>
    <t>1436004-0-A</t>
  </si>
  <si>
    <t>1436005-0-A</t>
  </si>
  <si>
    <t>1436006-0-A</t>
  </si>
  <si>
    <t>1436007-0-A</t>
  </si>
  <si>
    <t>1436008-0-A</t>
  </si>
  <si>
    <t>1436009-0-A</t>
  </si>
  <si>
    <t>1436010-A-A</t>
  </si>
  <si>
    <t>1436011-A-A</t>
  </si>
  <si>
    <t>1436012-A-A</t>
  </si>
  <si>
    <t>1436013-A-A</t>
  </si>
  <si>
    <t>1436014-0-A</t>
  </si>
  <si>
    <t>1436015-0-A</t>
  </si>
  <si>
    <t>1436016-0-A</t>
  </si>
  <si>
    <t>1436017-0-A</t>
  </si>
  <si>
    <t>1436018-0-A</t>
  </si>
  <si>
    <t>1436019-0-A</t>
  </si>
  <si>
    <t>1436020-0-A</t>
  </si>
  <si>
    <t>1436021-0-A</t>
  </si>
  <si>
    <t>1436022-0-A</t>
  </si>
  <si>
    <t>1436023-0-A</t>
  </si>
  <si>
    <t>1436024-0-A</t>
  </si>
  <si>
    <t>1436025-0-A</t>
  </si>
  <si>
    <t>1436026-0-A</t>
  </si>
  <si>
    <t>1436027-0-A</t>
  </si>
  <si>
    <t>1436028-0-A</t>
  </si>
  <si>
    <t>1436029-0-A</t>
  </si>
  <si>
    <t>1436030-0-A</t>
  </si>
  <si>
    <t>1436031-0-A</t>
  </si>
  <si>
    <t>1436032-0-A</t>
  </si>
  <si>
    <t>1436033-0-A</t>
  </si>
  <si>
    <t>1436034-A-A</t>
  </si>
  <si>
    <t>1436035-A-A</t>
  </si>
  <si>
    <t>1436036-A-A</t>
  </si>
  <si>
    <t>1436037-A-A</t>
  </si>
  <si>
    <t>1436038-A-A</t>
  </si>
  <si>
    <t>1436039-A-A</t>
  </si>
  <si>
    <t>1436040-0-A</t>
  </si>
  <si>
    <t>1436041-0-A</t>
  </si>
  <si>
    <t>1436042-0-A</t>
  </si>
  <si>
    <t>1436043-0-A</t>
  </si>
  <si>
    <t>1436044-A-A</t>
  </si>
  <si>
    <t>1436045-A-A</t>
  </si>
  <si>
    <t>1436046-A-A</t>
  </si>
  <si>
    <t>1436047-0-A</t>
  </si>
  <si>
    <t>1436048-0-A</t>
  </si>
  <si>
    <t>1436049-0-A</t>
  </si>
  <si>
    <t>1436050-0-A</t>
  </si>
  <si>
    <t>1436051-0-A</t>
  </si>
  <si>
    <t>1436052-0-A</t>
  </si>
  <si>
    <t>1436053-0-A</t>
  </si>
  <si>
    <t>1436054-0-A</t>
  </si>
  <si>
    <t>1436055-0-A</t>
  </si>
  <si>
    <t>1436056-0-A</t>
  </si>
  <si>
    <t>1436057-0-A</t>
  </si>
  <si>
    <t>1436058-0-A</t>
  </si>
  <si>
    <t>1436059-0-A</t>
  </si>
  <si>
    <t>1436060-D-A</t>
  </si>
  <si>
    <t>1436074-0-A</t>
  </si>
  <si>
    <t>1436075-A-A</t>
  </si>
  <si>
    <t>1436102-0-A</t>
  </si>
  <si>
    <t>1436127-0-A</t>
  </si>
  <si>
    <t>1436196-A-A</t>
  </si>
  <si>
    <t>1436196-B-A</t>
  </si>
  <si>
    <t>1436197-A-A</t>
  </si>
  <si>
    <t>1436197-B-A</t>
  </si>
  <si>
    <t>1436198-A-A</t>
  </si>
  <si>
    <t>1436198-B-A</t>
  </si>
  <si>
    <t>1436199-A-A</t>
  </si>
  <si>
    <t>1436199-B-A</t>
  </si>
  <si>
    <t>1436200-0-A</t>
  </si>
  <si>
    <t>1436200-A-A</t>
  </si>
  <si>
    <t>1436208-0-A</t>
  </si>
  <si>
    <t>1451013-D-A</t>
  </si>
  <si>
    <t>1451017-F-A</t>
  </si>
  <si>
    <t>1451019-D-A</t>
  </si>
  <si>
    <t>1451021-D-A</t>
  </si>
  <si>
    <t>1451023-D-A</t>
  </si>
  <si>
    <t>1456001-D-A</t>
  </si>
  <si>
    <t>1456002-D-A</t>
  </si>
  <si>
    <t>1456003-C-A</t>
  </si>
  <si>
    <t>1456004-C-A</t>
  </si>
  <si>
    <t>1456005-B-A</t>
  </si>
  <si>
    <t>1456006-B-A</t>
  </si>
  <si>
    <t>1456007-B-A</t>
  </si>
  <si>
    <t>1456008-B-A</t>
  </si>
  <si>
    <t>1456009-B-A</t>
  </si>
  <si>
    <t>1456010-B-A</t>
  </si>
  <si>
    <t>1456043-A-A</t>
  </si>
  <si>
    <t>1456044-A-A</t>
  </si>
  <si>
    <t>1456047-0-A</t>
  </si>
  <si>
    <t>1456047-A-A</t>
  </si>
  <si>
    <t>1456048-0-A</t>
  </si>
  <si>
    <t>1456048-A-A</t>
  </si>
  <si>
    <t>1456049-0-A</t>
  </si>
  <si>
    <t>1456049-A-A</t>
  </si>
  <si>
    <t>656008-R-A</t>
  </si>
  <si>
    <t>1456050-0-A</t>
  </si>
  <si>
    <t>1456050-A-A</t>
  </si>
  <si>
    <t>1531001-C-A</t>
  </si>
  <si>
    <t>1536007-0-A</t>
  </si>
  <si>
    <t>1536008-0-A</t>
  </si>
  <si>
    <t>1536009-0-A</t>
  </si>
  <si>
    <t>1536010-0-A</t>
  </si>
  <si>
    <t>1556001-D-A</t>
  </si>
  <si>
    <t>1556011-C-A</t>
  </si>
  <si>
    <t>1556012-C-A</t>
  </si>
  <si>
    <t>1556013-C-A</t>
  </si>
  <si>
    <t>1556014-C-A</t>
  </si>
  <si>
    <t>1631001-A-A</t>
  </si>
  <si>
    <t>1631002-A-A</t>
  </si>
  <si>
    <t>1631003-A-A</t>
  </si>
  <si>
    <t>1631004-A-A</t>
  </si>
  <si>
    <t>1631008-B-A</t>
  </si>
  <si>
    <t>1631009-B-A</t>
  </si>
  <si>
    <t>1631010-B-A</t>
  </si>
  <si>
    <t>1631011-B-A</t>
  </si>
  <si>
    <t>1631012-B-A</t>
  </si>
  <si>
    <t>1631013-B-A</t>
  </si>
  <si>
    <t>1631014-B-A</t>
  </si>
  <si>
    <t>1631015-B-A</t>
  </si>
  <si>
    <t>1631016-B-A</t>
  </si>
  <si>
    <t>1631017-B-A</t>
  </si>
  <si>
    <t>1631018-B-A</t>
  </si>
  <si>
    <t>1631019-B-A</t>
  </si>
  <si>
    <t>1631020-B-A</t>
  </si>
  <si>
    <t>1631021-D-A</t>
  </si>
  <si>
    <t>1631022-B-A</t>
  </si>
  <si>
    <t>1631023-D-A</t>
  </si>
  <si>
    <t>1631024-B-A</t>
  </si>
  <si>
    <t>1631025-D-A</t>
  </si>
  <si>
    <t>1631026-B-A</t>
  </si>
  <si>
    <t>1631027-B-A</t>
  </si>
  <si>
    <t>1631028-B-A</t>
  </si>
  <si>
    <t>1631029-B-A</t>
  </si>
  <si>
    <t>1631030-B-A</t>
  </si>
  <si>
    <t>1631031-B-A</t>
  </si>
  <si>
    <t>1631032-B-A</t>
  </si>
  <si>
    <t>1631033-B-A</t>
  </si>
  <si>
    <t>1631034-B-A</t>
  </si>
  <si>
    <t>1631035-B-A</t>
  </si>
  <si>
    <t>1631036-B-A</t>
  </si>
  <si>
    <t>1631037-B-A</t>
  </si>
  <si>
    <t>1631038-B-A</t>
  </si>
  <si>
    <t>1631039-B-A</t>
  </si>
  <si>
    <t>1631074-0-A</t>
  </si>
  <si>
    <t>1631075-0-A</t>
  </si>
  <si>
    <t>1631076-0-A</t>
  </si>
  <si>
    <t>1631077-0-A</t>
  </si>
  <si>
    <t>1731117-0-A</t>
  </si>
  <si>
    <t>1731158-A-A</t>
  </si>
  <si>
    <t>2B1001-T-A</t>
  </si>
  <si>
    <t>2B1002-T-A</t>
  </si>
  <si>
    <t>2B1003-T-A</t>
  </si>
  <si>
    <t>656001-P-A</t>
  </si>
  <si>
    <t>656001-Q-A</t>
  </si>
  <si>
    <t>656002-P-A</t>
  </si>
  <si>
    <t>656002-Q-A</t>
  </si>
  <si>
    <t>656003-P-A</t>
  </si>
  <si>
    <t>656003-Q-A</t>
  </si>
  <si>
    <t>656004-P-A</t>
  </si>
  <si>
    <t>656004-Q-A</t>
  </si>
  <si>
    <t>656005-P-A</t>
  </si>
  <si>
    <t>656005-Q-A</t>
  </si>
  <si>
    <t>656006-Q-A</t>
  </si>
  <si>
    <t>656006-R-A</t>
  </si>
  <si>
    <t>656007-P-A</t>
  </si>
  <si>
    <t>656007-Q-A</t>
  </si>
  <si>
    <t>656008-P-A</t>
  </si>
  <si>
    <t>656008-Q-A</t>
  </si>
  <si>
    <t>1556004-C-AK</t>
  </si>
  <si>
    <t>1136062-J-AK</t>
  </si>
  <si>
    <t>1136008-F-AK</t>
  </si>
  <si>
    <t>1136063-J-AK</t>
  </si>
  <si>
    <t>1136009-F-AK</t>
  </si>
  <si>
    <t>1136100-C-AK</t>
  </si>
  <si>
    <t>1136010-F-AK</t>
  </si>
  <si>
    <t>1136101-C-AK</t>
  </si>
  <si>
    <t>1256005-D-AK</t>
  </si>
  <si>
    <t>1256006-D-AK</t>
  </si>
  <si>
    <t>0956009-E-AK</t>
  </si>
  <si>
    <t>0956010-E-AK</t>
  </si>
  <si>
    <t>1351051-C-AK</t>
  </si>
  <si>
    <t>1351052-B-AK</t>
  </si>
  <si>
    <t>1136052-F-AK</t>
  </si>
  <si>
    <t>1136048-F-AK</t>
  </si>
  <si>
    <t>1136023-F-AK</t>
  </si>
  <si>
    <t>1136011-G-AK</t>
  </si>
  <si>
    <t>1136015-F-AK</t>
  </si>
  <si>
    <t>1236014-B-AK</t>
  </si>
  <si>
    <t>1536009-0-AK</t>
  </si>
  <si>
    <t>1136045-E-AK</t>
  </si>
  <si>
    <t>1136053-F-AK</t>
  </si>
  <si>
    <t>1136049-F-AK</t>
  </si>
  <si>
    <t>1136024-F-AK</t>
  </si>
  <si>
    <t>1136012-G-AK</t>
  </si>
  <si>
    <t>1136046-E-AK</t>
  </si>
  <si>
    <t>1136095-F-AK</t>
  </si>
  <si>
    <t>1136097-F-AK</t>
  </si>
  <si>
    <t>1556001-D-AK</t>
  </si>
  <si>
    <t>1556011-C-AK</t>
  </si>
  <si>
    <t>1556013-C-AK</t>
  </si>
  <si>
    <t>1556008-D-AK</t>
  </si>
  <si>
    <t>1556012-C-AK</t>
  </si>
  <si>
    <t>1556006-C-AK</t>
  </si>
  <si>
    <t>1556014-C-AK</t>
  </si>
  <si>
    <t>1236022-C-AK</t>
  </si>
  <si>
    <t>1136017-F-AK</t>
  </si>
  <si>
    <t>1136020-F-AK</t>
  </si>
  <si>
    <t>1036058-G-AK</t>
  </si>
  <si>
    <t>1536007-0-AK</t>
  </si>
  <si>
    <t>1136004-F-AK</t>
  </si>
  <si>
    <t>1136064-F-AK</t>
  </si>
  <si>
    <t>1136027-G-AK</t>
  </si>
  <si>
    <t>1136031-G-AK</t>
  </si>
  <si>
    <t>1136035-H-AK</t>
  </si>
  <si>
    <t>1136039-H-AK</t>
  </si>
  <si>
    <t>1136068-F-AK</t>
  </si>
  <si>
    <t>1136072-F-AK</t>
  </si>
  <si>
    <t>1136076-F-AK</t>
  </si>
  <si>
    <t>1136077-E-AK</t>
  </si>
  <si>
    <t>1136041-F-AK</t>
  </si>
  <si>
    <t>1136058-F-AK</t>
  </si>
  <si>
    <t>1336009-B-AK</t>
  </si>
  <si>
    <t>1336001-C-AK</t>
  </si>
  <si>
    <t>1336014-B-AK</t>
  </si>
  <si>
    <t>1236023-C-AK</t>
  </si>
  <si>
    <t>1136054-F-AK</t>
  </si>
  <si>
    <t>1136050-F-AK</t>
  </si>
  <si>
    <t>1136019-F-AK</t>
  </si>
  <si>
    <t>1136022-F-AK</t>
  </si>
  <si>
    <t>1136025-F-AK</t>
  </si>
  <si>
    <t>1136013-G-AK</t>
  </si>
  <si>
    <t>1136016-F-AK</t>
  </si>
  <si>
    <t>1036059-G-AK</t>
  </si>
  <si>
    <t>1536008-0-AK</t>
  </si>
  <si>
    <t>1236015-B-AK</t>
  </si>
  <si>
    <t>1536010-0-AK</t>
  </si>
  <si>
    <t>1136006-F-AK</t>
  </si>
  <si>
    <t>1136066-F-AK</t>
  </si>
  <si>
    <t>1136029-G-AK</t>
  </si>
  <si>
    <t>1136033-G-AK</t>
  </si>
  <si>
    <t>1136037-H-AK</t>
  </si>
  <si>
    <t>1136070-F-AK</t>
  </si>
  <si>
    <t>1136074-F-AK</t>
  </si>
  <si>
    <t>1136042-F-AK</t>
  </si>
  <si>
    <t>1136060-F-AK</t>
  </si>
  <si>
    <t>1136047-E-AK</t>
  </si>
  <si>
    <t>1336010-B-AK</t>
  </si>
  <si>
    <t>1336002-C-AK</t>
  </si>
  <si>
    <t>1336015-B-AK</t>
  </si>
  <si>
    <t>1236026-C-AK</t>
  </si>
  <si>
    <t>1136018-F-AK</t>
  </si>
  <si>
    <t>1136021-F-AK</t>
  </si>
  <si>
    <t>1136005-F-AK</t>
  </si>
  <si>
    <t>1136065-F-AK</t>
  </si>
  <si>
    <t>1136028-G-AK</t>
  </si>
  <si>
    <t>1136043-F-AK</t>
  </si>
  <si>
    <t>1136059-F-AK</t>
  </si>
  <si>
    <t>1236027-C-AK</t>
  </si>
  <si>
    <t>1136055-F-AK</t>
  </si>
  <si>
    <t>1136026-F-AK</t>
  </si>
  <si>
    <t>1136014-G-AK</t>
  </si>
  <si>
    <t>1136007-F-AK</t>
  </si>
  <si>
    <t>1136067-F-AK</t>
  </si>
  <si>
    <t>1136044-F-AK</t>
  </si>
  <si>
    <t>1136061-F-AK</t>
  </si>
  <si>
    <t>1136099-D-AK</t>
  </si>
  <si>
    <t>1136078-D-AK</t>
  </si>
  <si>
    <t>1136079-F-AK</t>
  </si>
  <si>
    <t>1136087-G-AK</t>
  </si>
  <si>
    <t>1136089-G-AK</t>
  </si>
  <si>
    <t>1136091-H-AK</t>
  </si>
  <si>
    <t>1136093-H-AK</t>
  </si>
  <si>
    <t>1136081-F-AK</t>
  </si>
  <si>
    <t>1136083-F-AK</t>
  </si>
  <si>
    <t>1136085-F-AK</t>
  </si>
  <si>
    <t>1136096-F-AK</t>
  </si>
  <si>
    <t>1136080-F-AK</t>
  </si>
  <si>
    <t>1136088-G-AK</t>
  </si>
  <si>
    <t>1136090-G-AK</t>
  </si>
  <si>
    <t>1136092-H-AK</t>
  </si>
  <si>
    <t>1136082-F-AK</t>
  </si>
  <si>
    <t>1136084-F-AK</t>
  </si>
  <si>
    <t>1136098-F-AK</t>
  </si>
  <si>
    <t>1256001-F-AK</t>
  </si>
  <si>
    <t>1256003-F-AK</t>
  </si>
  <si>
    <t>1256007-D-AK</t>
  </si>
  <si>
    <t>1256009-D-AK</t>
  </si>
  <si>
    <t>1256002-F-AK</t>
  </si>
  <si>
    <t>1256004-F-AK</t>
  </si>
  <si>
    <t>1256008-D-AK</t>
  </si>
  <si>
    <t>1256010-D-AK</t>
  </si>
  <si>
    <t>1631014-B-AK</t>
  </si>
  <si>
    <t>1631016-B-AK</t>
  </si>
  <si>
    <t>1631018-B-AK</t>
  </si>
  <si>
    <t>1631015-B-AK</t>
  </si>
  <si>
    <t>1631017-B-AK</t>
  </si>
  <si>
    <t>1631019-B-AK</t>
  </si>
  <si>
    <t>1631026-B-AK</t>
  </si>
  <si>
    <t>1631028-B-AK</t>
  </si>
  <si>
    <t>1631030-B-AK</t>
  </si>
  <si>
    <t>1631027-B-AK</t>
  </si>
  <si>
    <t>1631029-B-AK</t>
  </si>
  <si>
    <t>1631031-B-AK</t>
  </si>
  <si>
    <t>1631032-B-AK</t>
  </si>
  <si>
    <t>1631034-B-AK</t>
  </si>
  <si>
    <t>1631036-B-AK</t>
  </si>
  <si>
    <t>1631033-B-AK</t>
  </si>
  <si>
    <t>1631035-B-AK</t>
  </si>
  <si>
    <t>1631037-B-AK</t>
  </si>
  <si>
    <t>1631038-B-AK</t>
  </si>
  <si>
    <t>1631039-B-AK</t>
  </si>
  <si>
    <t>0956011-G-AK</t>
  </si>
  <si>
    <t>1356019-D-AK</t>
  </si>
  <si>
    <t>0956007-E-AK</t>
  </si>
  <si>
    <t>1356017-C-AK</t>
  </si>
  <si>
    <t>0956012-G-AK</t>
  </si>
  <si>
    <t>1356020-D-AK</t>
  </si>
  <si>
    <t>0956008-E-AK</t>
  </si>
  <si>
    <t>1356018-C-AK</t>
  </si>
  <si>
    <t>1451019-D-AK</t>
  </si>
  <si>
    <t>1451021-D-AK</t>
  </si>
  <si>
    <t>1331003-C-AK</t>
  </si>
  <si>
    <t>1136004-G-A</t>
  </si>
  <si>
    <t>1136005-G-A</t>
  </si>
  <si>
    <t>1136006-G-A</t>
  </si>
  <si>
    <t>1136007-G-A</t>
  </si>
  <si>
    <t>1136008-G-A</t>
  </si>
  <si>
    <t>1136009-G-A</t>
  </si>
  <si>
    <t>1136010-G-A</t>
  </si>
  <si>
    <t>1136011-H-A</t>
  </si>
  <si>
    <t>1136012-H-A</t>
  </si>
  <si>
    <t>1136013-H-A</t>
  </si>
  <si>
    <t>1136014-H-A</t>
  </si>
  <si>
    <t>1136015-G-A</t>
  </si>
  <si>
    <t>1136016-G-A</t>
  </si>
  <si>
    <t>1136017-G-A</t>
  </si>
  <si>
    <t>1136018-G-A</t>
  </si>
  <si>
    <t>1136019-G-A</t>
  </si>
  <si>
    <t>1136020-G-A</t>
  </si>
  <si>
    <t>1136021-G-A</t>
  </si>
  <si>
    <t>1136022-G-A</t>
  </si>
  <si>
    <t>1136023-G-A</t>
  </si>
  <si>
    <t>1136024-G-A</t>
  </si>
  <si>
    <t>1136025-G-A</t>
  </si>
  <si>
    <t>1136026-G-A</t>
  </si>
  <si>
    <t>1136027-H-A</t>
  </si>
  <si>
    <t>1136028-H-A</t>
  </si>
  <si>
    <t>1136029-H-A</t>
  </si>
  <si>
    <t>1136030-H-A</t>
  </si>
  <si>
    <t>1136031-H-A</t>
  </si>
  <si>
    <t>1136032-H-A</t>
  </si>
  <si>
    <t>1136033-H-A</t>
  </si>
  <si>
    <t>1136034-H-A</t>
  </si>
  <si>
    <t>1136035-J-A</t>
  </si>
  <si>
    <t>1136036-J-A</t>
  </si>
  <si>
    <t>1136037-J-A</t>
  </si>
  <si>
    <t>1136038-J-A</t>
  </si>
  <si>
    <t>1136039-J-A</t>
  </si>
  <si>
    <t>1136040-J-A</t>
  </si>
  <si>
    <t>1136041-G-A</t>
  </si>
  <si>
    <t>1136042-G-A</t>
  </si>
  <si>
    <t>1136043-G-A</t>
  </si>
  <si>
    <t>1136044-G-A</t>
  </si>
  <si>
    <t>1136048-G-A</t>
  </si>
  <si>
    <t>1136049-G-A</t>
  </si>
  <si>
    <t>1136050-G-A</t>
  </si>
  <si>
    <t>1136051-G-A</t>
  </si>
  <si>
    <t>1136052-G-A</t>
  </si>
  <si>
    <t>1136053-G-A</t>
  </si>
  <si>
    <t>1136054-G-A</t>
  </si>
  <si>
    <t>1136055-G-A</t>
  </si>
  <si>
    <t>1136058-G-A</t>
  </si>
  <si>
    <t>1136059-G-A</t>
  </si>
  <si>
    <t>1136060-G-A</t>
  </si>
  <si>
    <t>1136061-G-A</t>
  </si>
  <si>
    <t>1136064-G-A</t>
  </si>
  <si>
    <t>1136065-G-A</t>
  </si>
  <si>
    <t>1136066-G-A</t>
  </si>
  <si>
    <t>1136067-G-A</t>
  </si>
  <si>
    <t>1136068-G-A</t>
  </si>
  <si>
    <t>1136069-G-A</t>
  </si>
  <si>
    <t>1136070-G-A</t>
  </si>
  <si>
    <t>1136071-G-A</t>
  </si>
  <si>
    <t>1136072-G-A</t>
  </si>
  <si>
    <t>1136073-G-A</t>
  </si>
  <si>
    <t>1136074-G-A</t>
  </si>
  <si>
    <t>1136075-G-A</t>
  </si>
  <si>
    <t>1136076-G-A</t>
  </si>
  <si>
    <t>1136078-E-A</t>
  </si>
  <si>
    <t>1136079-G-A</t>
  </si>
  <si>
    <t>1136080-G-A</t>
  </si>
  <si>
    <t>1136081-G-A</t>
  </si>
  <si>
    <t>1136082-G-A</t>
  </si>
  <si>
    <t>1136083-G-A</t>
  </si>
  <si>
    <t>1136084-G-A</t>
  </si>
  <si>
    <t>1136085-G-A</t>
  </si>
  <si>
    <t>1136086-G-A</t>
  </si>
  <si>
    <t>1136087-H-A</t>
  </si>
  <si>
    <t>1136088-H-A</t>
  </si>
  <si>
    <t>1136089-H-A</t>
  </si>
  <si>
    <t>1136090-H-A</t>
  </si>
  <si>
    <t>1136091-J-A</t>
  </si>
  <si>
    <t>1136092-J-A</t>
  </si>
  <si>
    <t>1136093-J-A</t>
  </si>
  <si>
    <t>1136094-J-A</t>
  </si>
  <si>
    <t>1136095-G-A</t>
  </si>
  <si>
    <t>1136096-G-A</t>
  </si>
  <si>
    <t>1136097-G-A</t>
  </si>
  <si>
    <t>1136098-G-A</t>
  </si>
  <si>
    <t>1136099-E-A</t>
  </si>
  <si>
    <t>1136004-G-AK</t>
  </si>
  <si>
    <t>1136005-G-AK</t>
  </si>
  <si>
    <t>1136006-G-AK</t>
  </si>
  <si>
    <t>1136007-G-AK</t>
  </si>
  <si>
    <t>1136008-G-AK</t>
  </si>
  <si>
    <t>1136009-G-AK</t>
  </si>
  <si>
    <t>1136010-G-AK</t>
  </si>
  <si>
    <t>1136011-H-AK</t>
  </si>
  <si>
    <t>1136012-H-AK</t>
  </si>
  <si>
    <t>1136013-H-AK</t>
  </si>
  <si>
    <t>1136014-H-AK</t>
  </si>
  <si>
    <t>1136015-G-AK</t>
  </si>
  <si>
    <t>1136016-G-AK</t>
  </si>
  <si>
    <t>1136017-G-AK</t>
  </si>
  <si>
    <t>1136018-G-AK</t>
  </si>
  <si>
    <t>1136019-G-AK</t>
  </si>
  <si>
    <t>1136020-G-AK</t>
  </si>
  <si>
    <t>1136021-G-AK</t>
  </si>
  <si>
    <t>1136022-G-AK</t>
  </si>
  <si>
    <t>1136023-G-AK</t>
  </si>
  <si>
    <t>1136024-G-AK</t>
  </si>
  <si>
    <t>1136025-G-AK</t>
  </si>
  <si>
    <t>1136026-G-AK</t>
  </si>
  <si>
    <t>1136027-H-AK</t>
  </si>
  <si>
    <t>1136028-H-AK</t>
  </si>
  <si>
    <t>1136029-H-AK</t>
  </si>
  <si>
    <t>1136031-H-AK</t>
  </si>
  <si>
    <t>1136033-H-AK</t>
  </si>
  <si>
    <t>1136035-J-AK</t>
  </si>
  <si>
    <t>1136037-J-AK</t>
  </si>
  <si>
    <t>1136039-J-AK</t>
  </si>
  <si>
    <t>1136041-G-AK</t>
  </si>
  <si>
    <t>1136042-G-AK</t>
  </si>
  <si>
    <t>1136043-G-AK</t>
  </si>
  <si>
    <t>1136044-G-AK</t>
  </si>
  <si>
    <t>1136048-G-AK</t>
  </si>
  <si>
    <t>1136049-G-AK</t>
  </si>
  <si>
    <t>1136050-G-AK</t>
  </si>
  <si>
    <t>1136052-G-AK</t>
  </si>
  <si>
    <t>1136053-G-AK</t>
  </si>
  <si>
    <t>1136054-G-AK</t>
  </si>
  <si>
    <t>1136055-G-AK</t>
  </si>
  <si>
    <t>1136058-G-AK</t>
  </si>
  <si>
    <t>1136059-G-AK</t>
  </si>
  <si>
    <t>1136060-G-AK</t>
  </si>
  <si>
    <t>1136061-G-AK</t>
  </si>
  <si>
    <t>1136064-G-AK</t>
  </si>
  <si>
    <t>1136065-G-AK</t>
  </si>
  <si>
    <t>1136066-G-AK</t>
  </si>
  <si>
    <t>1136068-G-AK</t>
  </si>
  <si>
    <t>1136070-G-AK</t>
  </si>
  <si>
    <t>1136072-G-AK</t>
  </si>
  <si>
    <t>1136074-G-AK</t>
  </si>
  <si>
    <t>1136076-G-AK</t>
  </si>
  <si>
    <t>1136078-E-AK</t>
  </si>
  <si>
    <t>1136079-G-AK</t>
  </si>
  <si>
    <t>1136080-G-AK</t>
  </si>
  <si>
    <t>1136081-G-AK</t>
  </si>
  <si>
    <t>1136082-G-AK</t>
  </si>
  <si>
    <t>1136083-G-AK</t>
  </si>
  <si>
    <t>1136084-G-AK</t>
  </si>
  <si>
    <t>1136085-G-AK</t>
  </si>
  <si>
    <t>1136087-H-AK</t>
  </si>
  <si>
    <t>1136088-H-AK</t>
  </si>
  <si>
    <t>1136089-H-AK</t>
  </si>
  <si>
    <t>1136090-H-AK</t>
  </si>
  <si>
    <t>1136091-J-AK</t>
  </si>
  <si>
    <t>1136092-J-AK</t>
  </si>
  <si>
    <t>1136093-J-AK</t>
  </si>
  <si>
    <t>1136095-G-AK</t>
  </si>
  <si>
    <t>1136096-G-AK</t>
  </si>
  <si>
    <t>1136097-G-AK</t>
  </si>
  <si>
    <t>1136098-G-AK</t>
  </si>
  <si>
    <t>1136099-E-AK</t>
  </si>
  <si>
    <t>1136067-G-AK</t>
  </si>
  <si>
    <t>0956007-F-A</t>
  </si>
  <si>
    <t>0956008-F-A</t>
  </si>
  <si>
    <t>0956009-F-A</t>
  </si>
  <si>
    <t>0956010-F-A</t>
  </si>
  <si>
    <t>0956011-H-A</t>
  </si>
  <si>
    <t>0956012-H-A</t>
  </si>
  <si>
    <t>1356017-D-A</t>
  </si>
  <si>
    <t>1356018-D-A</t>
  </si>
  <si>
    <t>1356019-E-A</t>
  </si>
  <si>
    <t>1356020-E-A</t>
  </si>
  <si>
    <t>0956007-F-AK</t>
  </si>
  <si>
    <t>0956008-F-AK</t>
  </si>
  <si>
    <t>0956009-F-AK</t>
  </si>
  <si>
    <t>0956010-F-AK</t>
  </si>
  <si>
    <t>0956011-H-AK</t>
  </si>
  <si>
    <t>0956012-H-AK</t>
  </si>
  <si>
    <t>1356017-D-AK</t>
  </si>
  <si>
    <t>1356018-D-AK</t>
  </si>
  <si>
    <t>1356019-E-AK</t>
  </si>
  <si>
    <t>1356020-E-AK</t>
  </si>
  <si>
    <t>1236006-D-A</t>
  </si>
  <si>
    <t>1831086-0-AK</t>
  </si>
  <si>
    <t>1831098-0-AK</t>
  </si>
  <si>
    <t>1351046-C-A</t>
  </si>
  <si>
    <t>1351049-C-A</t>
  </si>
  <si>
    <t>1351051-D-A</t>
  </si>
  <si>
    <t>1351052-C-A</t>
  </si>
  <si>
    <t>1451013-E-A</t>
  </si>
  <si>
    <t>1451017-G-A</t>
  </si>
  <si>
    <t>1451019-E-A</t>
  </si>
  <si>
    <t xml:space="preserve">1451021-E-A </t>
  </si>
  <si>
    <t>1451023-E-A</t>
  </si>
  <si>
    <t>1451034-D-A</t>
  </si>
  <si>
    <t>1031050-F-A</t>
  </si>
  <si>
    <t>1031053-F-A</t>
  </si>
  <si>
    <t>1331003-D-A</t>
  </si>
  <si>
    <t>1531001-D-A</t>
  </si>
  <si>
    <t>1731114-B-A</t>
  </si>
  <si>
    <t>1731159-A-A</t>
  </si>
  <si>
    <t>1831070-A-A</t>
  </si>
  <si>
    <t>1831071-A-A</t>
  </si>
  <si>
    <t>1436060-E-A</t>
  </si>
  <si>
    <t>1436061-E-A</t>
  </si>
  <si>
    <t>1436075-B-A</t>
  </si>
  <si>
    <t>1436096-B-A</t>
  </si>
  <si>
    <t>1436097-B-A</t>
  </si>
  <si>
    <t>1436098-B-A</t>
  </si>
  <si>
    <t>1436099-B-A</t>
  </si>
  <si>
    <t>1436202-A-A</t>
  </si>
  <si>
    <t>1436203-A-A</t>
  </si>
  <si>
    <t>1436204-A-A</t>
  </si>
  <si>
    <t>1436205-A-A</t>
  </si>
  <si>
    <t>1436229-A-A</t>
  </si>
  <si>
    <t>1436230-A-A</t>
  </si>
  <si>
    <t>1436231-A-A</t>
  </si>
  <si>
    <t>1436232-A-A</t>
  </si>
  <si>
    <t>1436243-A-A</t>
  </si>
  <si>
    <t>1436244-A-A</t>
  </si>
  <si>
    <t>1436245-A-A</t>
  </si>
  <si>
    <t>1436246-A-A</t>
  </si>
  <si>
    <t>1436255-A-A</t>
  </si>
  <si>
    <t>1436256-A-A</t>
  </si>
  <si>
    <t>1436257-A-A</t>
  </si>
  <si>
    <t>1436258-A-A</t>
  </si>
  <si>
    <t>1436268-A-A</t>
  </si>
  <si>
    <t>1436269-A-A</t>
  </si>
  <si>
    <t>1436278-A-A</t>
  </si>
  <si>
    <t>1436279-A-A</t>
  </si>
  <si>
    <t>1456021-B-A</t>
  </si>
  <si>
    <t>1456022-B-A</t>
  </si>
  <si>
    <t>1831086-A-AK</t>
  </si>
  <si>
    <t>1436060-E-AK</t>
  </si>
  <si>
    <t>1351052-C-AK</t>
  </si>
  <si>
    <t>1731127-A-AK</t>
  </si>
  <si>
    <t>1731136-A-AK</t>
  </si>
  <si>
    <t>1731119-A-AK</t>
  </si>
  <si>
    <t>1436061-E-AK</t>
  </si>
  <si>
    <t>1436075-B-AK</t>
  </si>
  <si>
    <t>1436096-B-AK</t>
  </si>
  <si>
    <t>1436097-B-AK</t>
  </si>
  <si>
    <t>1436098-B-AK</t>
  </si>
  <si>
    <t>1436099-B-AK</t>
  </si>
  <si>
    <t>1436202-A-AK</t>
  </si>
  <si>
    <t>1436203-A-AK</t>
  </si>
  <si>
    <t>1436204-A-AK</t>
  </si>
  <si>
    <t>1436205-A-AK</t>
  </si>
  <si>
    <t>1436229-A-AK</t>
  </si>
  <si>
    <t>1436230-A-AK</t>
  </si>
  <si>
    <t>1436231-A-AK</t>
  </si>
  <si>
    <t>1436232-A-AK</t>
  </si>
  <si>
    <t>1436243-A-AK</t>
  </si>
  <si>
    <t>1436244-A-AK</t>
  </si>
  <si>
    <t>1436245-A-AK</t>
  </si>
  <si>
    <t>1436246-A-AK</t>
  </si>
  <si>
    <t>1436255-A-AK</t>
  </si>
  <si>
    <t>1436256-A-AK</t>
  </si>
  <si>
    <t>1436257-A-AK</t>
  </si>
  <si>
    <t>1436258-A-AK</t>
  </si>
  <si>
    <t>1436268-A-AK</t>
  </si>
  <si>
    <t>1436269-A-AK</t>
  </si>
  <si>
    <t>1436278-A-AK</t>
  </si>
  <si>
    <t>1436279-A-AK</t>
  </si>
  <si>
    <t>1731123-A-AK</t>
  </si>
  <si>
    <t>1351051-D-AK</t>
  </si>
  <si>
    <t>1331003-D-AK</t>
  </si>
  <si>
    <t>0956012-K-A</t>
  </si>
  <si>
    <t>0956007-H-A</t>
  </si>
  <si>
    <t>0956008-H-A</t>
  </si>
  <si>
    <t>0956009-H-A</t>
  </si>
  <si>
    <t>0956010-H-A</t>
  </si>
  <si>
    <t>0956011-K-A</t>
  </si>
  <si>
    <t>1456043-F-A</t>
  </si>
  <si>
    <t>1456044-F-A</t>
  </si>
  <si>
    <t>1456045-F-A</t>
  </si>
  <si>
    <t>1456046-F-A</t>
  </si>
  <si>
    <t>1456047-F-A</t>
  </si>
  <si>
    <t>1456048-F-A</t>
  </si>
  <si>
    <t>1456049-F-A</t>
  </si>
  <si>
    <t>1456050-F-A</t>
  </si>
  <si>
    <t>1831317-0-AK</t>
  </si>
  <si>
    <t>1831318-0-AK</t>
  </si>
  <si>
    <t>1831319-0-AK</t>
  </si>
  <si>
    <t>1831320-0-AK</t>
  </si>
  <si>
    <t>1931005-0-AK</t>
  </si>
  <si>
    <t>1931006-0-AK</t>
  </si>
  <si>
    <t>1931007-0-AK</t>
  </si>
  <si>
    <t>1931008-0-AK</t>
  </si>
  <si>
    <t>1931009-0-AK</t>
  </si>
  <si>
    <t>1931010-0-AK</t>
  </si>
  <si>
    <t>1531009-D-AK</t>
  </si>
  <si>
    <t>0956010-H-AK</t>
  </si>
  <si>
    <t>1731091-A-AK</t>
  </si>
  <si>
    <t>1331004-D-AK</t>
  </si>
  <si>
    <t>1731087-A-AK</t>
  </si>
  <si>
    <t>1531011-D-AK</t>
  </si>
  <si>
    <t>1731093-A-AK</t>
  </si>
  <si>
    <t>1236024-C-AK</t>
  </si>
  <si>
    <t>656007-R-A</t>
  </si>
  <si>
    <t>656003-R-A</t>
  </si>
  <si>
    <t>1036011-G-AK</t>
  </si>
  <si>
    <t>1036005-F-AK</t>
  </si>
  <si>
    <t>1036049-F-AK</t>
  </si>
  <si>
    <t>1036015-F-AK</t>
  </si>
  <si>
    <t>1036027-G-AK</t>
  </si>
  <si>
    <t>1036031-H-AK</t>
  </si>
  <si>
    <t>1036043-F-AK</t>
  </si>
  <si>
    <t>1036001-F-AK</t>
  </si>
  <si>
    <t>1036003-F-AK</t>
  </si>
  <si>
    <t>1036033-H-AK</t>
  </si>
  <si>
    <t>0936077-M-AK</t>
  </si>
  <si>
    <t>1136435-H-AK</t>
  </si>
  <si>
    <t>1336018-E-AK</t>
  </si>
  <si>
    <t>0936078-M-AK</t>
  </si>
  <si>
    <t>1036060-H-AK</t>
  </si>
  <si>
    <t>1236012-E-AK</t>
  </si>
  <si>
    <t>1036034-H-AK</t>
  </si>
  <si>
    <t>1336005-F-AK</t>
  </si>
  <si>
    <t>656002-R-A</t>
  </si>
  <si>
    <t>ASAHI PTCA Guide Wire  SION 180cm</t>
  </si>
  <si>
    <t>ASAHI PTCA Guide Wire  SION 300cm</t>
  </si>
  <si>
    <t>ASAHI  Guide Wire Extension 165cm</t>
  </si>
  <si>
    <t>Soutenir NV 5mm</t>
  </si>
  <si>
    <t>Soutenir NV 7mm</t>
  </si>
  <si>
    <t xml:space="preserve">ASAHI PTCA GUIDE WIRE CONFIANZA 180cm </t>
  </si>
  <si>
    <t xml:space="preserve">ASAHI PTCA GUIDE WIRE CONFIANZA 300cm </t>
  </si>
  <si>
    <t xml:space="preserve">ASAHI PTCA GUIDE WIRE CONFIANZA PRO 180cm </t>
  </si>
  <si>
    <t xml:space="preserve">ASAHI PTCA GUIDE WIRE CONFIANZA PRO 300cm </t>
  </si>
  <si>
    <t xml:space="preserve">ASAHI PTCA GUIDE WIRE CONFIANZA PRO 12 180cm </t>
  </si>
  <si>
    <t>ASAHI PTCA GUIDE WIRE CONFIANZA PRO 12 300 cm</t>
  </si>
  <si>
    <t>ASAHI PTCA GUIDE WIRE FIELDER 180cm</t>
  </si>
  <si>
    <t xml:space="preserve">ASAHI PTCA GUIDE WIRE FIELDER 300cm </t>
  </si>
  <si>
    <t xml:space="preserve">ASAHI PTCA GUIDE WIRE FIELDER 180cm J </t>
  </si>
  <si>
    <t xml:space="preserve">ASAHI PTCA GUIDE WIRE FIELDER 300cm J </t>
  </si>
  <si>
    <t xml:space="preserve">ASAHI PTCA GUIDE WIRE FIELDER FC 180cm </t>
  </si>
  <si>
    <t xml:space="preserve">ASAHI PTCA GUIDE WIRE FIELDER FC 300cm </t>
  </si>
  <si>
    <t>ASAHI PTCA GUIDE WIRE FIELDER FC 180cmJ</t>
  </si>
  <si>
    <t>ASAHI PTCA GUIDE WIRE FIELDER FC 300cmJ</t>
  </si>
  <si>
    <t xml:space="preserve">ASAHI PTCA GUIDE WIRE FIELDER XT 190cm </t>
  </si>
  <si>
    <t xml:space="preserve">ASAHI PTCA GUIDE WIRE FIELDER XT 300cm </t>
  </si>
  <si>
    <t xml:space="preserve">ASAHI PTCA GUIDE WIRE GRAND SLAM 180cm </t>
  </si>
  <si>
    <t xml:space="preserve">ASAHI  PTCA GUIDE WIRE GRAND SLAM 300cm </t>
  </si>
  <si>
    <t xml:space="preserve">ASAHI PTCA GUIDE WIRE GRAND SLAM 180cm J </t>
  </si>
  <si>
    <t xml:space="preserve">ASAHI PTCA GUIDE WIRE GRAND SLAM 300cm J </t>
  </si>
  <si>
    <t xml:space="preserve">ASAHI PTCA GUIDE WIRE MEDIUM 180cm </t>
  </si>
  <si>
    <t xml:space="preserve">ASAHI PTCA GUIDE WIRE MEDIUM 300cm </t>
  </si>
  <si>
    <t xml:space="preserve">ASAHI PTCA GUIDE WIRE LIGHT 180cm </t>
  </si>
  <si>
    <t xml:space="preserve">ASAHI PTCA GUIDE WIRE LIGHT 300cm </t>
  </si>
  <si>
    <t xml:space="preserve">ASAHI PTCA GUIDE WIRE LIGHT 180cmJ </t>
  </si>
  <si>
    <t xml:space="preserve">ASAHI PTCA GUIDE WIRE LIGHT 300cmJ </t>
  </si>
  <si>
    <t xml:space="preserve">ASAHI PTCA GUIDE WIRE MIRACLEbros3 180cm </t>
  </si>
  <si>
    <t xml:space="preserve">ASAHI PTCA GUIDE WIRE MIRACLEbros3  300cm </t>
  </si>
  <si>
    <t xml:space="preserve">ASAHI PTCA GUIDE WIRE MIRACLEbros4.5 180cm </t>
  </si>
  <si>
    <t xml:space="preserve">ASAHI PTCA GUIDE WIRE MIRACLEbros4.5 300cm </t>
  </si>
  <si>
    <t xml:space="preserve">ASAHI  PTCA GUIDE WIRE MIRACLEbros6 180cm </t>
  </si>
  <si>
    <t xml:space="preserve">ASAHI PTCA GUIDE WIRE  MIRACLEbros6 300cm </t>
  </si>
  <si>
    <t xml:space="preserve">ASAHI PTCA GUIDE WIRE MIRACLEbros12 180cm </t>
  </si>
  <si>
    <t xml:space="preserve">ASAHI PTCA GUIDE WIRE MIRACLEbros12 300cm </t>
  </si>
  <si>
    <t xml:space="preserve">ASAHI PTCA GUIDE WIRE PROWATER 180cm </t>
  </si>
  <si>
    <t>ASAHI PTCA GUIDE WIRE PROWATER 300cm</t>
  </si>
  <si>
    <t xml:space="preserve">ASAHI PTCA GUIDE WIRE PROWATER 180cm J </t>
  </si>
  <si>
    <t xml:space="preserve">ASAHI PTCA GUIDE WIRE PROWATER 300cm J </t>
  </si>
  <si>
    <t xml:space="preserve">ASAHI PTCA GUIDE WIRE PROWATERflex 180cm </t>
  </si>
  <si>
    <t xml:space="preserve">ASAHI PTCA GUIDE WIRE PROWATERflex 300cm </t>
  </si>
  <si>
    <t>ASAHI PTCA GUIDE WIRE PROWATERflex 180cm J</t>
  </si>
  <si>
    <t xml:space="preserve">ASAHI PTCA GUIDE WIRE  PROWATERflex  300cm J </t>
  </si>
  <si>
    <t xml:space="preserve">ASAHI PTCA GUIDE WIRE SOFT 180cm </t>
  </si>
  <si>
    <t xml:space="preserve">ASAHI PTCA GUIDE WIRE SOFT 300cm </t>
  </si>
  <si>
    <t xml:space="preserve">ASAHI PTCA GUIDE WIRE SOFT 180cm J </t>
  </si>
  <si>
    <t xml:space="preserve">ASAHI PTCA GUIDE WIRE SOFT 300cm J </t>
  </si>
  <si>
    <t xml:space="preserve">ASAHI PTCA GUIDE WIRE STANDARD 180cm </t>
  </si>
  <si>
    <t xml:space="preserve">ASAHI PTCA GUIDE WIRE STANDARD 300cm </t>
  </si>
  <si>
    <t>ASAHI GUIDE WIRE EXTENSION 150cm</t>
  </si>
  <si>
    <t>ASAHI PTCA GUIDE WIRE FIELDER XT-R 190cm</t>
  </si>
  <si>
    <t>ASAHI PTCA GUIDE WIRE FIELDER XT-R 300cm</t>
  </si>
  <si>
    <t>ASAHI PTCA GUIDE WIRE FIELDER FC</t>
  </si>
  <si>
    <t>ASAHI PTCA GUIDE WIRE FIELDER FC 300CM</t>
  </si>
  <si>
    <t>ASAHI PTCA GUIDE WIRE FIELDER FC J</t>
  </si>
  <si>
    <t>ASAHI PTCA Guide Wire Fielder FC  180cm J</t>
  </si>
  <si>
    <t>ASAHI PTCA GUIDE WIRE FIELDER FC 300CM J</t>
  </si>
  <si>
    <t>ASAHI PTCA GUIDE WIRE FIELDER  XT</t>
  </si>
  <si>
    <t>ASAHI PTCA GUIDE WIRE FIELDER  XT 190cm</t>
  </si>
  <si>
    <t>ASAHI PTCA GUIDE WIRE FIELDER  XT 300cm</t>
  </si>
  <si>
    <t>ASAHI PTCA Guide Wire ASAHI SION 180 cm</t>
  </si>
  <si>
    <t>Soutenir CV 3mm</t>
  </si>
  <si>
    <t>Soutenir CV 5mm</t>
  </si>
  <si>
    <t>ASAHI PTCA GUIDE WIRE ASAHI Gaia  Second Straight</t>
  </si>
  <si>
    <t>ASAHI PTCA Guide Wire  Intermediate</t>
  </si>
  <si>
    <t>ASAHI PTCA Guide Wire  Intermediate J</t>
  </si>
  <si>
    <t>ASAHI PTCA Guide Wire  Intermediate 300cm</t>
  </si>
  <si>
    <t>ASAHI PTCA Guide Wire  Intermediate 300cmJ</t>
  </si>
  <si>
    <t xml:space="preserve">ASAHI PTCA GUIDE WIRE FIELDER  </t>
  </si>
  <si>
    <t>ASAHI PTCA GUIDE WIRE FIELDER  300cm</t>
  </si>
  <si>
    <t>ASAHI PTCA GUIDE WIRE FIELDER   J</t>
  </si>
  <si>
    <t xml:space="preserve">ASAHI PTCA GUIDE WIRE FIELDER  FC </t>
  </si>
  <si>
    <t>ASAHI PTCA GUIDE WIRE FIELDER  FC J</t>
  </si>
  <si>
    <t>ASAHI PTCA GUIDE WIRE FIELDER  FC 300cm</t>
  </si>
  <si>
    <t>ASAHI PTCA GUIDE WIRE FIELDER  FC 300cm J</t>
  </si>
  <si>
    <t>ASAHI PTCA GUIDE WIRE ROUTE</t>
  </si>
  <si>
    <t>ASAHI PTCA GUIDE WIRE ROUTE J</t>
  </si>
  <si>
    <t>ASAHI PTCA GUIDE WIRE ROUTE 300cm</t>
  </si>
  <si>
    <t>ASAHI PTCA GUIDE WIRE PROWATERflex</t>
  </si>
  <si>
    <t>ASAHI PTCA GUIDE WIRE PROWATERflex J</t>
  </si>
  <si>
    <t>ASAHI PTCA GUIDE WIRE RINATO</t>
  </si>
  <si>
    <t>ASAHI PTCA GUIDE WIRE RINATOJ</t>
  </si>
  <si>
    <t>ASAHI PTCA GUIDE WIRE RINATO 300cm</t>
  </si>
  <si>
    <t>ASAHI PTCA GUIDE WIRE RINATO 300cm J</t>
  </si>
  <si>
    <t>ASAHI PTCA GUIDE WIRE MIRACLE 3</t>
  </si>
  <si>
    <t>ASAHI PTCA GUIDE WIRE MIRACLE 3 J</t>
  </si>
  <si>
    <t>ASAHI PTCA GUIDE WIRE MIRACLE 3 300cm</t>
  </si>
  <si>
    <t>ASAHI PTCA GUIDE WIRE MIRACLE 3 300cm J</t>
  </si>
  <si>
    <t>ASAHI PTCA GUIDE WIRE MIRACLE 4.5</t>
  </si>
  <si>
    <t>ASAHI PTCA GUIDE WIRE MIRACLE 4.5 J</t>
  </si>
  <si>
    <t>ASAHI PTCA GUIDE WIRE MIRACLE 4.5 300cm</t>
  </si>
  <si>
    <t>ASAHI PTCA GUIDE WIRE MIRACLE 4.5 300cm J</t>
  </si>
  <si>
    <t>ASAHI PTCA GUIDE WIRE MIRACLE 6</t>
  </si>
  <si>
    <t>ASAHI PTCA GUIDE WIRE MIRACLE 6 J</t>
  </si>
  <si>
    <t>ASAHI PTCA GUIDE WIRE MIRACLE 6 300cm</t>
  </si>
  <si>
    <t>ASAHI PTCA GUIDE WIRE MIRACLE 12</t>
  </si>
  <si>
    <t xml:space="preserve">ASAHI PTCA Guide Wire Miracle 12 J </t>
  </si>
  <si>
    <t>ASAHI PTCA GUIDE WIRE ULTIMATEbros 3</t>
  </si>
  <si>
    <t>ASAHI PTCA GUIDE WIRE ULTIMATEbros 3 300cm</t>
  </si>
  <si>
    <t>ASAHI PTCA GUIDE WIRE ULTIMATEbros 3 J</t>
  </si>
  <si>
    <t>ASAHI PTCA GUIDE WIRE ULTIMATEbros 3 300cmJ</t>
  </si>
  <si>
    <t xml:space="preserve">ASAHI PTCA Guide Wire  Marker Wire </t>
  </si>
  <si>
    <t>ASAHI PTCA Guide Wire  Marker Wire  J</t>
  </si>
  <si>
    <t>ASAHI PTCA Guide Wire  Marker Wire  300cm</t>
  </si>
  <si>
    <t>ASAHI PTCA GUIDE WIRE LIGHT</t>
  </si>
  <si>
    <t xml:space="preserve">ASAHI PTCA GUIDE WIRE LIGHT J </t>
  </si>
  <si>
    <t>ASAHI PTCA GUIDE WIRE LIGHT 300cm</t>
  </si>
  <si>
    <t>ASAHI PTCA GUIDE WIRE LIGHT 300cm J</t>
  </si>
  <si>
    <t>ASAHI PTCA GUIDE WIRE SOFT</t>
  </si>
  <si>
    <t>ASAHI PTCA GUIDE WIRE SOFT J</t>
  </si>
  <si>
    <t>ASAHI PTCA GUIDE WIRE SOFT 300cm</t>
  </si>
  <si>
    <t>ASAHI PTCA GUIDE WIRE SOFT 300cm J</t>
  </si>
  <si>
    <t>ASAHI PTCA GUIDE WIRE ASAHI RG3</t>
  </si>
  <si>
    <t xml:space="preserve">ASAHI PTCA Guide Wire Grand Slam </t>
  </si>
  <si>
    <t>ASAHI PTCA Guide Wire Grand Slam  J</t>
  </si>
  <si>
    <t xml:space="preserve">ASAHI PTCA Guide Wire Grand Slam 300cm </t>
  </si>
  <si>
    <t>ASAHI PTCA Guide Wire Grand Slam 300cm  J</t>
  </si>
  <si>
    <t>ASAHI PTCA Guide Wire  ASAHI SION</t>
  </si>
  <si>
    <t>ASAHI PTCA Guide Wire  ASAHI SION 300cm</t>
  </si>
  <si>
    <t>ASAHI PTCA Guide Wire  Standard</t>
  </si>
  <si>
    <t>ASAHI PTCA Guide Wire  Standard J</t>
  </si>
  <si>
    <t>ASAHI PTCA Guide Wire  Standard 300cm</t>
  </si>
  <si>
    <t>ASAHI PTCA Guide Wire  Standard 300cm J</t>
  </si>
  <si>
    <t>ASAHI PTCA Guide WIRE CONQUEST</t>
  </si>
  <si>
    <t>ASAHI PTCA Guide WIRE CONQUEST J</t>
  </si>
  <si>
    <t xml:space="preserve">ASAHI PTCA Guide Wire Conquest 300cm </t>
  </si>
  <si>
    <t>ASAHI PTCA Guide Wire Conquest 300cm J</t>
  </si>
  <si>
    <t>ASAHI PTCA Guide WIRE CONQUEST PRO</t>
  </si>
  <si>
    <t>ASAHI PTCA Guide WIRE CONQUEST PRO J</t>
  </si>
  <si>
    <t>ASAHI PTCA Guide WIRE CONQUEST PRO 300cm</t>
  </si>
  <si>
    <t>ASAHI PTCA Guide WIRE CONQUEST PRO 300cm J</t>
  </si>
  <si>
    <t>ASAHI PTCA Guide WIRE CONQUEST PRO  12</t>
  </si>
  <si>
    <t>ASAHI PTCA Guide WIRE CONQUEST PRO  8-20</t>
  </si>
  <si>
    <t>ASAHI PTCA Guide WIRE MEDIUM</t>
  </si>
  <si>
    <t>ASAHI PTCA Guide WIRE CONFIANZA</t>
  </si>
  <si>
    <t xml:space="preserve">ASAHI PTCA GUIDE WIRE CONFIANZA PRO </t>
  </si>
  <si>
    <t>ASAHI PTCA GUIDE WIRE CONFIANZA PRO 12</t>
  </si>
  <si>
    <t>ASAHI PTCA GUIDE WIRE CONFIANZA PRO 12 300cm</t>
  </si>
  <si>
    <t>ASAHI PTCA GUIDE WIRE MIRACLEbros 3</t>
  </si>
  <si>
    <t>ASAHI PTCA GUIDE WIRE MIRACLEbros 3 300cm</t>
  </si>
  <si>
    <t>ASAHI PTCA GUIDE WIRE MIRACLEbros 4.5</t>
  </si>
  <si>
    <t>ASAHI PTCA GUIDE WIRE MIRACLEbros 4.5 300cm</t>
  </si>
  <si>
    <t xml:space="preserve">ASAHI PTCA GUIDE WIRE MIRACLEbros 6 </t>
  </si>
  <si>
    <t>ASAHI PTCA GUIDE WIRE MIRACLEbros 6 300cm</t>
  </si>
  <si>
    <t>ASAHI PTCA GUIDE WIRE MIRACLEbros 12</t>
  </si>
  <si>
    <t>ASAHI PTCA GUIDE WIRE MIRACLEbros 12 300CM</t>
  </si>
  <si>
    <t>ASAHI PTCA GUIDE WIRE PROWATER</t>
  </si>
  <si>
    <t>ASAHI PTCA GUIDE WIRE PROWATER J</t>
  </si>
  <si>
    <t>ASAHI PTCA GUIDE WIRE PROWATER  300cm J</t>
  </si>
  <si>
    <t>ASAHI EXTENSION WIRE EXTENSION</t>
  </si>
  <si>
    <t>ASAHI PTCA GUIDE WIRE SION J</t>
  </si>
  <si>
    <t>ASAHI PTCA GUIDE WIRE SION  300cm J</t>
  </si>
  <si>
    <t>ASAHI PTCA GUIDE WIRE SION  180cm J</t>
  </si>
  <si>
    <t xml:space="preserve">ASAHI PTCA Guide Wire ASAHI SION blue </t>
  </si>
  <si>
    <t xml:space="preserve">ASAHI PTCA GUIDE WIRE ASAHI SION blue J </t>
  </si>
  <si>
    <t xml:space="preserve">ASAHI PTCA GUIDE WIRE ASAHI SION blue 300cm </t>
  </si>
  <si>
    <t>ASAHI PTCA GUIDE WIRE ASAHI SION blue 300cm J</t>
  </si>
  <si>
    <t xml:space="preserve">ASAHI PTCA GUIDE WIRE SION blue 180cm </t>
  </si>
  <si>
    <t>ASAHI PTCA GUIDE WIRE SION blue 180cm J</t>
  </si>
  <si>
    <t>ASAHI PTCA GUIDE WIRE SION blue 300cm</t>
  </si>
  <si>
    <t>ASAHI PTCA GUIDE WIRE SION blue 300cm J</t>
  </si>
  <si>
    <t>ASAHI PTCA GUIDE WIRE ASAHI GAIA FIRST Pre-shape 190cm</t>
  </si>
  <si>
    <t>ASAHI PTCA GUIDE WIRE ASAHI GAIA FIRST Pre-shape 300cm</t>
  </si>
  <si>
    <t>ASAHI PTCA GUIDE WIRE ASAHI GAIA FIRST STRAIGHT 190cm</t>
  </si>
  <si>
    <t>ASAHI PTCA GUIDE WIRE ASAHI GAIA FIRST STRAIGHT 300cm</t>
  </si>
  <si>
    <t>ASAHI PTCA GUIDE WIRE CONQUEST PRO</t>
  </si>
  <si>
    <t>ASAHI PTCA GUIDE WIRE CONQUEST PRO 180 CM</t>
  </si>
  <si>
    <t>ASAHI PTCA GUIDE WIRE CONQUEST PRO 180cm</t>
  </si>
  <si>
    <t>ASAHI PTCA Guide WIRE CONQUEST PRO 180cm J</t>
  </si>
  <si>
    <t>ASAHI PTCA Guide WIRE CONQUEST PRO 12</t>
  </si>
  <si>
    <t>ASAHI PTCA Guide WIRE CONQUEST PRO 12 180cm</t>
  </si>
  <si>
    <t>ASAHI PTCA Guide WIRE CONQUEST PRO 12 300CM</t>
  </si>
  <si>
    <t>ASAHI PTCA Guide WIRE CONQUEST PRO 8-20</t>
  </si>
  <si>
    <t>ASAHI PTCA Guide WIRE CONQUEST PRO 8-20 180cm</t>
  </si>
  <si>
    <t>ASAHI PTCA Guide Wire  Fielder  J</t>
  </si>
  <si>
    <t>ASAHI PTCA Guide Wire  Fielder 180cm  J</t>
  </si>
  <si>
    <t>ASAHI PTCA GUIDE WIRE FIELDER XT-A 190cm</t>
  </si>
  <si>
    <t>ASAHI PTCA GUIDE WIRE FIELDER XT-A 300cm</t>
  </si>
  <si>
    <t>ASAHI PTCA GUIDE WIRE ASAHI SION BLACK STRAIGHT</t>
  </si>
  <si>
    <t>ASAHI PTCA GUIDE WIRE ASAHI SION BLACK STRAIGHT 300cm</t>
  </si>
  <si>
    <t xml:space="preserve">ASAHI PTCA GUIDE WIRE ASAHI SION BLACK PRE-SHAPE </t>
  </si>
  <si>
    <t xml:space="preserve">ASAHI PTCA GUIDE WIRE ASAHI SION BLACK PRE-SHAPE 300cm </t>
  </si>
  <si>
    <t>ASAHI PTCA GUIDE WIRE ASAHI  SION BLACK J</t>
  </si>
  <si>
    <t xml:space="preserve">ASAHI PTCA GUIDE WIRE ASAHI SION BLACK 300cm J </t>
  </si>
  <si>
    <t>ASAHI PTCA Guide Wire ASAHI RG3</t>
  </si>
  <si>
    <t>ASAHI PTCA Guide Wire ASAHI Miracle Neo3 pre-shape 190cm</t>
  </si>
  <si>
    <t>ASAHI PTCA Guide Wire ASAHI Gaia Second pre-shape 190cm</t>
  </si>
  <si>
    <t>ASAHI PTCA Guide Wire ASAHI Gaia Second pre-shape 300cm</t>
  </si>
  <si>
    <t>ASAHI PTCA Guide Wire ASAHI Gaia Second STRAIGHT 190cm</t>
  </si>
  <si>
    <t>ASAHI PTCA Guide Wire ASAHI Gaia Second STRAIGHT 300cm</t>
  </si>
  <si>
    <t>ASAHI PTCA Guide Wire ASAHI GAIA First pre-shape 300cm</t>
  </si>
  <si>
    <t>ASAHI PTCA Guide Wire ASAHI Gaia First Staight 300cm</t>
  </si>
  <si>
    <t>ASAHI PTCA Guide Wire ASAHI Gaia Third pre-shape 190 cm</t>
  </si>
  <si>
    <t>ASAHI PTCA Guide Wire asahi Gaia Third pre-shape 300cm</t>
  </si>
  <si>
    <t>ASAHI PTCA GUIDE WIRE ASAHI Gaia Third pre-shape 190cm</t>
  </si>
  <si>
    <t>ASAHI PTCA GUIDE WIRE ASAHI Gaia Third Straight 190cm</t>
  </si>
  <si>
    <t>ASAHI PTCA Guide Wire ASAHI Miracle Neo3 pre-shape 300cm</t>
  </si>
  <si>
    <t>ASAHI PTCA Guide Wire ASAHI Miracle Neo3 Staight 190cm</t>
  </si>
  <si>
    <t>ASAHI PTCA Guide Wire ASAHI Miracle Neo3 Straight 300cm</t>
  </si>
  <si>
    <t>ASAHI PTCA GUIDE WIRE ASAHI Miracle Neo3 Straight 190cm</t>
  </si>
  <si>
    <t>ASAHI Peripheral Guide Wire Cruise 235cm</t>
  </si>
  <si>
    <t xml:space="preserve">ASAHI PTCA Guide Wire Intermediate 300cm </t>
  </si>
  <si>
    <t>ASAHI PTCA Guide Wire Rinato</t>
  </si>
  <si>
    <t>ASAHI PTCA Guide Wire Rinato J</t>
  </si>
  <si>
    <t>ASAHI PTCA Guide Wire Miracle 3 J</t>
  </si>
  <si>
    <t xml:space="preserve">ASAHI PTCA Guide Wire Miracle 4.5 </t>
  </si>
  <si>
    <t>ASAHI PTCA Guide Wire Miracle 4.5 J</t>
  </si>
  <si>
    <t>ASAHI PTCA Guide Wire Miracle 4.5  300cm</t>
  </si>
  <si>
    <t>ASAHI PTCA Guide Wire Miracle 6 J</t>
  </si>
  <si>
    <t>ASAHI PTCA Guide Wire Miracle 6  300cm</t>
  </si>
  <si>
    <t>ASAHI PTCA Guide Wire Miracle 6  300cm J</t>
  </si>
  <si>
    <t>ASAHI PTCA GUIDE WIRE ULTIMATEbros 3 300cm J</t>
  </si>
  <si>
    <t>ASAHI PTCA Guide Wire Conquest Pro 12</t>
  </si>
  <si>
    <t>ASAHI PTCA Guide Wire  Conquest Pro 8-20</t>
  </si>
  <si>
    <t>ASAHI PTCA Guide Wire ASAHI SION blue</t>
  </si>
  <si>
    <t>ASAHI PTCA Guide Wire ASAHI SION blue J</t>
  </si>
  <si>
    <t>ASAHI PTCA GUIDE WIRE ASAHI RG3 330cm</t>
  </si>
  <si>
    <t>ASAHI Peripheral Guide Wire Gladius14 pre-shape 200cm</t>
  </si>
  <si>
    <t>ASAHI Peripheral Guide Wire Halberd 14 pre-shape 200cm</t>
  </si>
  <si>
    <t>ASAHI Peripheral Guide Wire Halberd 18 pre-shape 200cm</t>
  </si>
  <si>
    <t>ASAHI Peripheral Guide Wire Gaia PV 18 pre-shape 200cm</t>
  </si>
  <si>
    <t>ASAHI Peripheral Guide Wire Gladius 14 pre-shape 235cm</t>
  </si>
  <si>
    <t>Streaming 18 80cm</t>
  </si>
  <si>
    <t>Streaming 18 135cm</t>
  </si>
  <si>
    <t>ASAHI Peripheral Guide Wire Treasure XS3 180cm</t>
  </si>
  <si>
    <t>ASAHI Peripheral Guide Wire Treasure XS3 300cm</t>
  </si>
  <si>
    <t>ASAHI Peripheral Guide Wire Astato XS9 180cm</t>
  </si>
  <si>
    <t>ASAHI Peripheral Guide Wire Astato XS9 300cm</t>
  </si>
  <si>
    <t>ASAHI EXTENSION Wire EXTENSION 150cm</t>
  </si>
  <si>
    <t>ASAHI PTCA Guide Wire ASAHI SION black  300cm J</t>
  </si>
  <si>
    <t>ASAHI PTCA Guide Wire Intermediate</t>
  </si>
  <si>
    <t>ASAHI PTCA Guide Wire Intermediate J</t>
  </si>
  <si>
    <t>ASAHI PTCA Guide Wire Intermediate 300cm</t>
  </si>
  <si>
    <t>ASAHI PTCA Guide Wire Intermediate 300cm J</t>
  </si>
  <si>
    <t>ASAHI PTCA Guide Wire Fielder</t>
  </si>
  <si>
    <t>ASAHI PTCA Guide Wire Fielder J</t>
  </si>
  <si>
    <t>ASAHI PTCA Guide Wire Fielder FC</t>
  </si>
  <si>
    <t>ASAHI PTCA Guide Wire Fielder FC J</t>
  </si>
  <si>
    <t>ASAHI PTCA Guide Wire Fielder FC 300cmJ</t>
  </si>
  <si>
    <t>ASAHI PTCA Guide Wire Fielder XT</t>
  </si>
  <si>
    <t>ASAHI PTCA Guide Wire Route</t>
  </si>
  <si>
    <t>ASAHI PTCA Guide Wire Route J</t>
  </si>
  <si>
    <t>ASAHI PTCA Guide Wire PROWATERflex</t>
  </si>
  <si>
    <t>ASAHI PTCA Guide Wire PROWATERflex J</t>
  </si>
  <si>
    <t>ASAHI PTCA Guide Wire Miracle 3</t>
  </si>
  <si>
    <t>ASAHI PTCA Guide Wire Miracle 4.5</t>
  </si>
  <si>
    <t>ASAHI PTCA Guide Wire Miracle 4.5 300cm</t>
  </si>
  <si>
    <t>ASAHI PTCA Guide Wire Miracle 4.5 300cm J</t>
  </si>
  <si>
    <t>ASAHI PTCA Guide Wire Miracle 6</t>
  </si>
  <si>
    <t>ASAHI PTCA Guide Wire Miracle 12</t>
  </si>
  <si>
    <t>ASAHI PTCA Guide Wire Miracle 12 J</t>
  </si>
  <si>
    <t>ASAHI PTCA Guide Wire ULTIMATEbros 3</t>
  </si>
  <si>
    <t>ASAHI PTCA Guide Wire ULTIMATEbros 3 J</t>
  </si>
  <si>
    <t xml:space="preserve">ASAHI PTCA Guide Wire  Light </t>
  </si>
  <si>
    <t>ASAHI PTCA Guide Wire Light J</t>
  </si>
  <si>
    <t>ASAHI PTCA Guide Wire Light 300cm</t>
  </si>
  <si>
    <t xml:space="preserve">ASAHI PTCA GUIDE WIRE LIGHT 300cm J </t>
  </si>
  <si>
    <t>ASAHI PTCA Guide Wire Soft</t>
  </si>
  <si>
    <t>ASAHI PTCA Guide Wire Soft J</t>
  </si>
  <si>
    <t>ASAHI PTCA Guide Wire Grand Slam</t>
  </si>
  <si>
    <t>ASAHI PTCA Guide Wire Grand Slam J</t>
  </si>
  <si>
    <t>ASAHI PTCA Guide Wire Standard</t>
  </si>
  <si>
    <t>ASAHI PTCA Guide Wire Standard J</t>
  </si>
  <si>
    <t>ASAHI PTCA Guide Wire Standard 300cm</t>
  </si>
  <si>
    <t>ASAHI PTCA Guide Wire Standard 300cm J</t>
  </si>
  <si>
    <t>ASAHI PTCA Guide Wire Conquest</t>
  </si>
  <si>
    <t>ASAHI PTCA Guide Wire Conquest J</t>
  </si>
  <si>
    <t>ASAHI PTCA Guide Wire Conquest 300cm</t>
  </si>
  <si>
    <t>ASAHI PTCA Guide Wire Conquest Pro J</t>
  </si>
  <si>
    <t>ASAHI PTCA Guide Wire MEDIUM</t>
  </si>
  <si>
    <t>ASAHI PTCA Guide Wire MEDIUM 300cm</t>
  </si>
  <si>
    <t>ASAHI PTCA Guide Wire CONFIANZA</t>
  </si>
  <si>
    <t>ASAHI PTCA Guide Wire CONFIANZA PRO</t>
  </si>
  <si>
    <t>ASAHI PTCA Guide Wire CONFIANZA PRO 12</t>
  </si>
  <si>
    <t>ASAHI PTCA Guide Wire  MIRACLEbros 3</t>
  </si>
  <si>
    <t>ASAHI PTCA Guide Wire MIRACLEbros 4.5</t>
  </si>
  <si>
    <t>ASAHI PTCA Guide Wire MIRACLEbros 4.5 300cm</t>
  </si>
  <si>
    <t>ASAHI PTCA Guide Wire MIRACLEbros 6</t>
  </si>
  <si>
    <t>ASAHI PTCA Guide Wire MIRACLEbros 12</t>
  </si>
  <si>
    <t>ASAHI PTCA Guide W ire PROWATER</t>
  </si>
  <si>
    <t>ASAHI PTCA Giude Wire PROWATER 300cm</t>
  </si>
  <si>
    <t>ASAHI PTCA Guide Wire PROWATER J</t>
  </si>
  <si>
    <t>ASAHI Extension Wire Extension</t>
  </si>
  <si>
    <t>ASAHI Peripheral Guide Wire Tresure 12 180cm</t>
  </si>
  <si>
    <t>ASAHI Peripheral Guide Wire Tresure 12 300cm</t>
  </si>
  <si>
    <t>ASAHI Peripheral Guide Wire Treasure Floppy 300 cm</t>
  </si>
  <si>
    <t>ASAHI PTCA Guide Wire Conquest Pro 12 300cm</t>
  </si>
  <si>
    <t>ASAHI Peripheral Guide Wire Agosal XS 0.8 300cm</t>
  </si>
  <si>
    <t>ASAHI Peripheral Guide Wire Astato XS 9-40</t>
  </si>
  <si>
    <t>ASAHI Peripheral Guide Wire Gladius 14 pre-shape 200cm</t>
  </si>
  <si>
    <t>ASAHI Peripheral Guide Wire Halberd14 pre-shape 200cm</t>
  </si>
  <si>
    <t>ASAHI Peripheral Guidr Wire Halberd18 pre-shape 200cm</t>
  </si>
  <si>
    <t>ASAHI Peripheral Guide Wire Gaia PV18 pre-shape 200cm</t>
  </si>
  <si>
    <t>ASAHI Peripheral Guide Wire Gladius14 pre-shape 235cm</t>
  </si>
  <si>
    <t>ASAHI PTCA Guide Wire Conquest Pro 40</t>
  </si>
  <si>
    <t>ASAHI PTCA Guide Wire SION 180cm J</t>
  </si>
  <si>
    <t>ASAHI PTCA Guide Wire SION 300cm J</t>
  </si>
  <si>
    <t>ASAHI PTCA Guide Wire Intermediate 180cm</t>
  </si>
  <si>
    <t>ASAHI PTCA Guide Wire Intermediate 180cm J</t>
  </si>
  <si>
    <t>ASAHI PTCA Guide Wire Miracle 4.5 180cm</t>
  </si>
  <si>
    <t>ASAHI PTCA Guide Wire Miracle 4.5 180cm J</t>
  </si>
  <si>
    <t>ASAHI PTCA Guide Wire Light 180cm</t>
  </si>
  <si>
    <t>ASAHI PTCA Guide Wire Light 180cm J</t>
  </si>
  <si>
    <t>ASAHI PTCA Guide Wire Light 300cm J</t>
  </si>
  <si>
    <t>ASAHI PTCA Guide Wire Standard 180cm</t>
  </si>
  <si>
    <t>ASAHI PTCA Guide Wire Standard 180cm J</t>
  </si>
  <si>
    <t>ASAHI PTCA Guide Wire MEDIUM 180cm</t>
  </si>
  <si>
    <t>ASAHI PTCA Guide Wire MIRACLEbross 4.5 180cm</t>
  </si>
  <si>
    <t>ASAHI PTCA Guide Wire MIRACLEbross 4.5 300cm</t>
  </si>
  <si>
    <t>ASAHI CHIKAI V 165cm</t>
  </si>
  <si>
    <t>ASAHI CHIKAI V 180cm</t>
  </si>
  <si>
    <t xml:space="preserve">Streaming 18 80cm </t>
  </si>
  <si>
    <t xml:space="preserve">Streaming 18 135cm </t>
  </si>
  <si>
    <t>ASAHI PTCA Guide Wire MIRACLEbros6 180cm</t>
  </si>
  <si>
    <t>ASAHI PTCA Guide Wire ASAHI Miracle Neo3 Straight 190cm</t>
  </si>
  <si>
    <t>ASAHI PTCA Guide Wire MIRACLEbros3 180cm</t>
  </si>
  <si>
    <t>ASAHI PTCA Guide Wire MIRACLEbros12 180cm</t>
  </si>
  <si>
    <t>ASAHI PTCA Guide Wire ASAHI SION black pre-shape</t>
  </si>
  <si>
    <t>ASAHI PTCA GUIDE WIRE FIELDER FC 180cm</t>
  </si>
  <si>
    <t>ASAHI PTCA GUIDE WIRE CONFIANZA PRO 12 180cm</t>
  </si>
  <si>
    <t>ASAHI PTCA GUIDE WIRE FIELDER XT 190cm</t>
  </si>
  <si>
    <t>ASAHI PTCA GUIDE WIRE MIRACLEbros3 180cm</t>
  </si>
  <si>
    <t>ASAHI PTCA GUIDE WIRE MIRACLEbros6 180cm</t>
  </si>
  <si>
    <t>ASAHI PTCA GUIDE WIRE SOFT 180cm</t>
  </si>
  <si>
    <t>ASAHI PTCA GUIDE WIRE CONFIANZA 180cm</t>
  </si>
  <si>
    <t>ASAHI PTCA GUIDE WIRE CONFIANZA PRO 180cm</t>
  </si>
  <si>
    <t xml:space="preserve">ASAHI PTCA GUIDE WIRE SION 180cm </t>
  </si>
  <si>
    <t>ASAHI PTCA GUIDE WIRE ASAHI Gaia First Pre-shape 190cm</t>
  </si>
  <si>
    <t>ASAHI PTCA GUIDE WIRE SION 300cm</t>
  </si>
  <si>
    <t>ASAHI PTCA GUIDE WIRE MIRACLEbros12 300cm</t>
  </si>
  <si>
    <t>ASAHI PTCA GUIDE WIRE ASAHI Gaia Second Pre-shape 190cm</t>
  </si>
  <si>
    <t>1434055-0</t>
  </si>
  <si>
    <t>ATN-5218</t>
  </si>
  <si>
    <t>1434063-0</t>
  </si>
  <si>
    <t>1054003-A</t>
  </si>
  <si>
    <t>ATN-16383</t>
  </si>
  <si>
    <t>1054002-A</t>
  </si>
  <si>
    <t>1054004-A</t>
  </si>
  <si>
    <t>09B4001-B</t>
  </si>
  <si>
    <t>ATN-10845</t>
  </si>
  <si>
    <t xml:space="preserve"> 534002-E</t>
  </si>
  <si>
    <t>1434044-0</t>
  </si>
  <si>
    <t>534002-E</t>
  </si>
  <si>
    <t>534009-E</t>
  </si>
  <si>
    <t>1434050-0</t>
  </si>
  <si>
    <t>534022-F</t>
  </si>
  <si>
    <t>1434052-0</t>
  </si>
  <si>
    <t>0734021-B</t>
  </si>
  <si>
    <t>1434053-0</t>
  </si>
  <si>
    <t>0834002-A</t>
  </si>
  <si>
    <t>1434054-0</t>
  </si>
  <si>
    <t>534004-E</t>
  </si>
  <si>
    <t>1434046-0</t>
  </si>
  <si>
    <t>1434048-0</t>
  </si>
  <si>
    <t>534005-E</t>
  </si>
  <si>
    <t>1434047-0</t>
  </si>
  <si>
    <t>1434045-0</t>
  </si>
  <si>
    <t>1434049-0</t>
  </si>
  <si>
    <t>1434051-0</t>
  </si>
  <si>
    <t>1434043-0</t>
  </si>
  <si>
    <t>1134001-0</t>
  </si>
  <si>
    <t>1434057-0</t>
  </si>
  <si>
    <t>1034004-C</t>
  </si>
  <si>
    <t>ATN-12928</t>
  </si>
  <si>
    <t>1434056-0</t>
  </si>
  <si>
    <t>1034006-A</t>
  </si>
  <si>
    <t>---</t>
  </si>
  <si>
    <t>1034006-B</t>
  </si>
  <si>
    <t xml:space="preserve"> ---</t>
  </si>
  <si>
    <t>1034007-A</t>
  </si>
  <si>
    <t>1034008-A</t>
  </si>
  <si>
    <t>ATN-11833</t>
  </si>
  <si>
    <t>10B4001-0</t>
  </si>
  <si>
    <t>ATN-10209</t>
  </si>
  <si>
    <t>1134028-A</t>
  </si>
  <si>
    <t>ATN-13995</t>
  </si>
  <si>
    <t xml:space="preserve"> 1134028-A</t>
  </si>
  <si>
    <t>1134031-A</t>
  </si>
  <si>
    <t>ATN-13998</t>
  </si>
  <si>
    <t>1134032-A</t>
  </si>
  <si>
    <t>ATN-13999</t>
  </si>
  <si>
    <t>1134033-A</t>
  </si>
  <si>
    <t>ATN-14000</t>
  </si>
  <si>
    <t>1134023-A</t>
  </si>
  <si>
    <t>ATN-13991</t>
  </si>
  <si>
    <t>1134021-A</t>
  </si>
  <si>
    <t>ATN-13989</t>
  </si>
  <si>
    <t>1134024-A</t>
  </si>
  <si>
    <t>ATN-13992</t>
  </si>
  <si>
    <t>1134027-B</t>
  </si>
  <si>
    <t>ATN-13994</t>
  </si>
  <si>
    <t>1134020-A</t>
  </si>
  <si>
    <t>ATN-13988</t>
  </si>
  <si>
    <t>1134026-A</t>
  </si>
  <si>
    <t>ATN-13993</t>
  </si>
  <si>
    <t>1134025-A</t>
  </si>
  <si>
    <t>ATN-13958</t>
  </si>
  <si>
    <t>1134029-A</t>
  </si>
  <si>
    <t>ATN-13996</t>
  </si>
  <si>
    <t>1134030-A</t>
  </si>
  <si>
    <t>ATN-13997</t>
  </si>
  <si>
    <t>1134022-A</t>
  </si>
  <si>
    <t>ATN-13990</t>
  </si>
  <si>
    <t>1234015-A</t>
  </si>
  <si>
    <t>ATN-14019</t>
  </si>
  <si>
    <t>1134034-A</t>
  </si>
  <si>
    <t>ATN-14843</t>
  </si>
  <si>
    <t>1134022-0</t>
  </si>
  <si>
    <t>1134021-0</t>
  </si>
  <si>
    <t>1134035-A</t>
  </si>
  <si>
    <t>ATN-14001</t>
  </si>
  <si>
    <t>1434059-0</t>
  </si>
  <si>
    <t>1434058-0</t>
  </si>
  <si>
    <t>1434060-0</t>
  </si>
  <si>
    <t>1234004-A</t>
  </si>
  <si>
    <t>ATN-12862</t>
  </si>
  <si>
    <t>1234010-0</t>
  </si>
  <si>
    <t>ATN-12989</t>
  </si>
  <si>
    <t>0854005-F</t>
  </si>
  <si>
    <t>ATN-14261</t>
  </si>
  <si>
    <t>0854003-F</t>
  </si>
  <si>
    <t>ATN-14259</t>
  </si>
  <si>
    <t>0854004-F</t>
  </si>
  <si>
    <t>ATN-14260</t>
  </si>
  <si>
    <t>1334034-0</t>
  </si>
  <si>
    <t>ATN-14182</t>
  </si>
  <si>
    <t>1334001-0</t>
  </si>
  <si>
    <t>ATN-13725</t>
  </si>
  <si>
    <t>1134133-A</t>
  </si>
  <si>
    <t>ATN-13147</t>
  </si>
  <si>
    <t>1334003-0</t>
  </si>
  <si>
    <t>ATN-13813</t>
  </si>
  <si>
    <t>1354008-A</t>
  </si>
  <si>
    <t>ATN-14219</t>
  </si>
  <si>
    <t>1354022-A</t>
  </si>
  <si>
    <t>ATN-14323</t>
  </si>
  <si>
    <t>1354023-A</t>
  </si>
  <si>
    <t>ATN-14324</t>
  </si>
  <si>
    <t>1434013-0</t>
  </si>
  <si>
    <t>ATN-15040</t>
  </si>
  <si>
    <t>1434022-0</t>
  </si>
  <si>
    <t>ATN-15049</t>
  </si>
  <si>
    <t>1434025-0</t>
  </si>
  <si>
    <t>ATN-15052</t>
  </si>
  <si>
    <t>1434026-0</t>
  </si>
  <si>
    <t>ATN-15053</t>
  </si>
  <si>
    <t>1434027-0</t>
  </si>
  <si>
    <t>ATN-15054</t>
  </si>
  <si>
    <t>1434017-0</t>
  </si>
  <si>
    <t>ATN-15044</t>
  </si>
  <si>
    <t>1434015-0</t>
  </si>
  <si>
    <t>ATN-15042</t>
  </si>
  <si>
    <t>1434018-0</t>
  </si>
  <si>
    <t>ATN-15045</t>
  </si>
  <si>
    <t>1434021-A</t>
  </si>
  <si>
    <t>ATN-15048</t>
  </si>
  <si>
    <t>1434014-0</t>
  </si>
  <si>
    <t>ATN-15041</t>
  </si>
  <si>
    <t>1434020-0</t>
  </si>
  <si>
    <t>ATN-15047</t>
  </si>
  <si>
    <t>1434019-0</t>
  </si>
  <si>
    <t>ATN-15046</t>
  </si>
  <si>
    <t>1434023-0</t>
  </si>
  <si>
    <t>ATN-15050</t>
  </si>
  <si>
    <t>1434024-0</t>
  </si>
  <si>
    <t>ATN-15051</t>
  </si>
  <si>
    <t>1434016-0</t>
  </si>
  <si>
    <t>ATN-15043</t>
  </si>
  <si>
    <t>1434035-A</t>
  </si>
  <si>
    <t>ATN-15062</t>
  </si>
  <si>
    <t>1434030-0</t>
  </si>
  <si>
    <t>ATN-15057</t>
  </si>
  <si>
    <t>1434041-0</t>
  </si>
  <si>
    <t>ATN-15067</t>
  </si>
  <si>
    <t>1434042-0</t>
  </si>
  <si>
    <t>ATN-15379</t>
  </si>
  <si>
    <t>1434064-0</t>
  </si>
  <si>
    <t>1454029-A</t>
  </si>
  <si>
    <t>ATN-15737</t>
  </si>
  <si>
    <t>1454026-A</t>
  </si>
  <si>
    <t>ATN-15734</t>
  </si>
  <si>
    <t>1454027-A</t>
  </si>
  <si>
    <t>ATN-15735</t>
  </si>
  <si>
    <t>1454025-A</t>
  </si>
  <si>
    <t>ATN-15733</t>
  </si>
  <si>
    <t>1454023-0</t>
  </si>
  <si>
    <t>ATN-15438</t>
  </si>
  <si>
    <t>1454024-0</t>
  </si>
  <si>
    <t>ATN-15437</t>
  </si>
  <si>
    <t>654002-D</t>
  </si>
  <si>
    <t>ATN-9697</t>
  </si>
  <si>
    <t>1534002-0</t>
  </si>
  <si>
    <t>ATN-16071</t>
  </si>
  <si>
    <t>1554002-0</t>
  </si>
  <si>
    <t>ATN-15982</t>
  </si>
  <si>
    <t>1554003-0</t>
  </si>
  <si>
    <t>ATN-15983</t>
  </si>
  <si>
    <t>1534004-0</t>
  </si>
  <si>
    <t>ATN-17250</t>
  </si>
  <si>
    <t>1634002-0</t>
  </si>
  <si>
    <t>ATN-17395</t>
  </si>
  <si>
    <t>1634003-0</t>
  </si>
  <si>
    <t>ATN-17396</t>
  </si>
  <si>
    <t>1634004-0</t>
  </si>
  <si>
    <t>ATN-17397</t>
  </si>
  <si>
    <t>1634005-0</t>
  </si>
  <si>
    <t>ATN-17398</t>
  </si>
  <si>
    <t>1634006-0</t>
  </si>
  <si>
    <t>ATN-17399</t>
  </si>
  <si>
    <t xml:space="preserve"> 1634006-0</t>
  </si>
  <si>
    <t>1634007-0</t>
  </si>
  <si>
    <t>ATN-17400</t>
  </si>
  <si>
    <t>1634011-0</t>
  </si>
  <si>
    <t>ATN-17794</t>
  </si>
  <si>
    <t>1634012-0</t>
  </si>
  <si>
    <t>ATN-17796</t>
  </si>
  <si>
    <t>1734029-0</t>
  </si>
  <si>
    <t>ATN-18052</t>
  </si>
  <si>
    <t>1734017-0</t>
  </si>
  <si>
    <t>ATN-18041</t>
  </si>
  <si>
    <t>09B4002-C</t>
  </si>
  <si>
    <t>ATN-10846</t>
  </si>
  <si>
    <t>654001-D</t>
  </si>
  <si>
    <t>ATN-9696</t>
  </si>
  <si>
    <t xml:space="preserve"> 654002-D</t>
  </si>
  <si>
    <t>1554004-0</t>
  </si>
  <si>
    <t>ATN-15984</t>
  </si>
  <si>
    <t xml:space="preserve"> 1354008-A</t>
  </si>
  <si>
    <t xml:space="preserve"> 1134026-A</t>
  </si>
  <si>
    <t xml:space="preserve"> 1134021-A</t>
  </si>
  <si>
    <t xml:space="preserve"> 1134033-A</t>
  </si>
  <si>
    <t xml:space="preserve"> 1234004-A</t>
  </si>
  <si>
    <t xml:space="preserve"> 1434030-0</t>
  </si>
  <si>
    <t xml:space="preserve"> 1134020-A</t>
  </si>
  <si>
    <t xml:space="preserve"> 1134032-A</t>
  </si>
  <si>
    <t xml:space="preserve"> 1554002-0</t>
  </si>
  <si>
    <t xml:space="preserve"> 1134024-A</t>
  </si>
  <si>
    <t xml:space="preserve"> 1134022-A</t>
  </si>
  <si>
    <t xml:space="preserve"> 1034004-C</t>
  </si>
  <si>
    <t xml:space="preserve"> 1134023-A</t>
  </si>
  <si>
    <t xml:space="preserve"> 1134029-A</t>
  </si>
  <si>
    <t>1134028-B</t>
  </si>
  <si>
    <t xml:space="preserve"> 1134028-B</t>
  </si>
  <si>
    <t>1134031-B</t>
  </si>
  <si>
    <t>1134032-B</t>
  </si>
  <si>
    <t>1134033-B</t>
  </si>
  <si>
    <t>1134023-B</t>
  </si>
  <si>
    <t xml:space="preserve"> 1134023-B</t>
  </si>
  <si>
    <t>1134021-B</t>
  </si>
  <si>
    <t xml:space="preserve"> 1134021-B</t>
  </si>
  <si>
    <t>1134024-B</t>
  </si>
  <si>
    <t xml:space="preserve"> 1134024-B</t>
  </si>
  <si>
    <t xml:space="preserve"> 1134020-B</t>
  </si>
  <si>
    <t>1134026-B</t>
  </si>
  <si>
    <t>1134029-B</t>
  </si>
  <si>
    <t xml:space="preserve"> 1134022-B</t>
  </si>
  <si>
    <t>1134022-B</t>
  </si>
  <si>
    <t xml:space="preserve">1134022-B </t>
  </si>
  <si>
    <t>1134034-B</t>
  </si>
  <si>
    <t xml:space="preserve"> 1134032-B</t>
  </si>
  <si>
    <t>1134020-B</t>
  </si>
  <si>
    <t xml:space="preserve"> 1134029-B</t>
  </si>
  <si>
    <t xml:space="preserve"> 1054003-A</t>
  </si>
  <si>
    <t>1734048-0</t>
  </si>
  <si>
    <t>ATN-18397</t>
  </si>
  <si>
    <t>1734050-0</t>
  </si>
  <si>
    <t>ATN-18399</t>
  </si>
  <si>
    <t>1354010-A</t>
  </si>
  <si>
    <t>ATN-14221</t>
  </si>
  <si>
    <t>1354009-A</t>
  </si>
  <si>
    <t>ATN-14220</t>
  </si>
  <si>
    <t>1454028-A</t>
  </si>
  <si>
    <t>ATN-15736</t>
  </si>
  <si>
    <t>1334017-0</t>
  </si>
  <si>
    <t>ATN-14165</t>
  </si>
  <si>
    <t xml:space="preserve"> 1534002-0</t>
  </si>
  <si>
    <t>1734018-0</t>
  </si>
  <si>
    <t>ATN-18042</t>
  </si>
  <si>
    <t xml:space="preserve"> 1334019-0</t>
  </si>
  <si>
    <t>ATN-14167</t>
  </si>
  <si>
    <t>1434028-0</t>
  </si>
  <si>
    <t>ATN-15055</t>
  </si>
  <si>
    <t>1434022-A</t>
  </si>
  <si>
    <t>1434018-A</t>
  </si>
  <si>
    <t>1434014-A</t>
  </si>
  <si>
    <t>1434016-A</t>
  </si>
  <si>
    <t>1734021-0</t>
  </si>
  <si>
    <t>ATN-18044</t>
  </si>
  <si>
    <t>1734023-0</t>
  </si>
  <si>
    <t>ATN-18046</t>
  </si>
  <si>
    <t>1734025-0</t>
  </si>
  <si>
    <t>ATN-18048</t>
  </si>
  <si>
    <t>1734026-0</t>
  </si>
  <si>
    <t>ATN-18049</t>
  </si>
  <si>
    <t>1834017-0</t>
  </si>
  <si>
    <t>ATN-18917</t>
  </si>
  <si>
    <t>1334031-A</t>
  </si>
  <si>
    <t>ATN-14179</t>
  </si>
  <si>
    <t>1734035-0</t>
  </si>
  <si>
    <t>ATN-18166</t>
  </si>
  <si>
    <t>1334033-0</t>
  </si>
  <si>
    <t>ATN-14181</t>
  </si>
  <si>
    <t>Product DWG No.</t>
  </si>
  <si>
    <t>1435058-A</t>
  </si>
  <si>
    <t>1435067-A</t>
  </si>
  <si>
    <t>1055004-B</t>
  </si>
  <si>
    <t>ATN-15663</t>
  </si>
  <si>
    <t>1055003-B</t>
  </si>
  <si>
    <t>ATN-11554</t>
  </si>
  <si>
    <t>1055005-B</t>
  </si>
  <si>
    <t>ATN-15664</t>
  </si>
  <si>
    <t>09B5001-C</t>
  </si>
  <si>
    <t>ATN-10847</t>
  </si>
  <si>
    <t>535002-D</t>
  </si>
  <si>
    <t>1435047-A</t>
  </si>
  <si>
    <t>0835001-B</t>
  </si>
  <si>
    <t>1435056-A</t>
  </si>
  <si>
    <t>535022-F</t>
  </si>
  <si>
    <t>1435054-A</t>
  </si>
  <si>
    <t>1335042-0</t>
  </si>
  <si>
    <t>1435066-A</t>
  </si>
  <si>
    <t>0735022-C</t>
  </si>
  <si>
    <t>1435055-A</t>
  </si>
  <si>
    <t>0835006-B</t>
  </si>
  <si>
    <t>1435057-A</t>
  </si>
  <si>
    <t>535004-D</t>
  </si>
  <si>
    <t>1435049-A</t>
  </si>
  <si>
    <t>1435051-A</t>
  </si>
  <si>
    <t>535005-D</t>
  </si>
  <si>
    <t>1435050-A</t>
  </si>
  <si>
    <t>1435048-A</t>
  </si>
  <si>
    <t>1435052-A</t>
  </si>
  <si>
    <t>1435053-A</t>
  </si>
  <si>
    <t>1435046-A</t>
  </si>
  <si>
    <t>1035004-B</t>
  </si>
  <si>
    <t>1435059-A</t>
  </si>
  <si>
    <t>1035007-C</t>
  </si>
  <si>
    <t>ATN-12929</t>
  </si>
  <si>
    <t>1435060-A</t>
  </si>
  <si>
    <t>1035009-B</t>
  </si>
  <si>
    <t>ATN-11552</t>
  </si>
  <si>
    <t>1035009-C</t>
  </si>
  <si>
    <t>1035010-B</t>
  </si>
  <si>
    <t>ATN-15432</t>
  </si>
  <si>
    <t>1035011-B</t>
  </si>
  <si>
    <t>ATN-11834</t>
  </si>
  <si>
    <t>10B5001-0</t>
  </si>
  <si>
    <t>ATN-10210</t>
  </si>
  <si>
    <t>1135071-A</t>
  </si>
  <si>
    <t>ATN-14009</t>
  </si>
  <si>
    <t>1135073-A</t>
  </si>
  <si>
    <t>ATN-14011</t>
  </si>
  <si>
    <t>1135074-A</t>
  </si>
  <si>
    <t>ATN-14012</t>
  </si>
  <si>
    <t>1135075-A</t>
  </si>
  <si>
    <t>ATN-14013</t>
  </si>
  <si>
    <t>1135068-A</t>
  </si>
  <si>
    <t>ATN-14006</t>
  </si>
  <si>
    <t>1135066-A</t>
  </si>
  <si>
    <t>ATN-14004</t>
  </si>
  <si>
    <t>1135069-A</t>
  </si>
  <si>
    <t>ATN-14007</t>
  </si>
  <si>
    <t>1135031-B</t>
  </si>
  <si>
    <t>ATN-14021</t>
  </si>
  <si>
    <t>1135065-A</t>
  </si>
  <si>
    <t>ATN-14003</t>
  </si>
  <si>
    <t>1135070-A</t>
  </si>
  <si>
    <t>ATN-14008</t>
  </si>
  <si>
    <t>1135029-B</t>
  </si>
  <si>
    <t>ATN-13959</t>
  </si>
  <si>
    <t>1135072-A</t>
  </si>
  <si>
    <t>ATN-14010</t>
  </si>
  <si>
    <t>1135051-B</t>
  </si>
  <si>
    <t>ATN-14002</t>
  </si>
  <si>
    <t>1135067-A</t>
  </si>
  <si>
    <t>ATN-14005</t>
  </si>
  <si>
    <t>1135026-B</t>
  </si>
  <si>
    <t>ATN-14271</t>
  </si>
  <si>
    <t>1135053-A</t>
  </si>
  <si>
    <t>ATN-14842</t>
  </si>
  <si>
    <t>1135067-0</t>
  </si>
  <si>
    <t>1135066-0</t>
  </si>
  <si>
    <t>1135034-B</t>
  </si>
  <si>
    <t>ATN-12484</t>
  </si>
  <si>
    <t>1135040-A</t>
  </si>
  <si>
    <t>ATN-14020</t>
  </si>
  <si>
    <t>1435061-A</t>
  </si>
  <si>
    <t>1435062-A</t>
  </si>
  <si>
    <t>1435063-A</t>
  </si>
  <si>
    <t>1235004-A</t>
  </si>
  <si>
    <t>ATN-12865</t>
  </si>
  <si>
    <t>1235010-A</t>
  </si>
  <si>
    <t>ATN-12991</t>
  </si>
  <si>
    <t>0855007-L</t>
  </si>
  <si>
    <t>ATN-14264</t>
  </si>
  <si>
    <t>0855005-L</t>
  </si>
  <si>
    <t>ATN-14262</t>
  </si>
  <si>
    <t>0855006-L</t>
  </si>
  <si>
    <t>ATN-14263</t>
  </si>
  <si>
    <t>1335038-A</t>
  </si>
  <si>
    <t>ATN-14214</t>
  </si>
  <si>
    <t>1335001-A</t>
  </si>
  <si>
    <t>ATN-13772</t>
  </si>
  <si>
    <t>1135048-B</t>
  </si>
  <si>
    <t>ATN-13148</t>
  </si>
  <si>
    <t>1335003-0</t>
  </si>
  <si>
    <t>ATN-13817</t>
  </si>
  <si>
    <t>1355007-B</t>
  </si>
  <si>
    <t>ATN-14230</t>
  </si>
  <si>
    <t>1355020-A</t>
  </si>
  <si>
    <t>ATN-14325</t>
  </si>
  <si>
    <t>1355021-A</t>
  </si>
  <si>
    <t>ATN-14326</t>
  </si>
  <si>
    <t>1435017-0</t>
  </si>
  <si>
    <t>ATN-15080</t>
  </si>
  <si>
    <t>1435032-0</t>
  </si>
  <si>
    <t>ATN-15094</t>
  </si>
  <si>
    <t>1435034-0</t>
  </si>
  <si>
    <t>ATN-15096</t>
  </si>
  <si>
    <t>1435035-0</t>
  </si>
  <si>
    <t>ATN-15097</t>
  </si>
  <si>
    <t>1435036-0</t>
  </si>
  <si>
    <t>ATN-15098</t>
  </si>
  <si>
    <t>1435029-0</t>
  </si>
  <si>
    <t>ATN-15091</t>
  </si>
  <si>
    <t>1435027-0</t>
  </si>
  <si>
    <t>ATN-15089</t>
  </si>
  <si>
    <t>1435030-0</t>
  </si>
  <si>
    <t>ATN-15092</t>
  </si>
  <si>
    <t>1435020-A</t>
  </si>
  <si>
    <t>ATN-15083</t>
  </si>
  <si>
    <t>1435026-0</t>
  </si>
  <si>
    <t>ATN-15088</t>
  </si>
  <si>
    <t>1435031-0</t>
  </si>
  <si>
    <t>ATN-15093</t>
  </si>
  <si>
    <t>1435019-0</t>
  </si>
  <si>
    <t>ATN-15082</t>
  </si>
  <si>
    <t>1435033-0</t>
  </si>
  <si>
    <t>ATN-15095</t>
  </si>
  <si>
    <t>1435025-A</t>
  </si>
  <si>
    <t>ATN-15087</t>
  </si>
  <si>
    <t>1435028-0</t>
  </si>
  <si>
    <t>ATN-15090</t>
  </si>
  <si>
    <t>1435018-A</t>
  </si>
  <si>
    <t>ATN-15081</t>
  </si>
  <si>
    <t>1435037-0</t>
  </si>
  <si>
    <t>ATN-15099</t>
  </si>
  <si>
    <t>1435044-0</t>
  </si>
  <si>
    <t>ATN-15105</t>
  </si>
  <si>
    <t>1435045-0</t>
  </si>
  <si>
    <t>ATN-15380</t>
  </si>
  <si>
    <t>1435068-0</t>
  </si>
  <si>
    <t>1435068-A</t>
  </si>
  <si>
    <t>1435077-0</t>
  </si>
  <si>
    <t>ATN-15808</t>
  </si>
  <si>
    <t>1455029-B</t>
  </si>
  <si>
    <t>ATN-15741</t>
  </si>
  <si>
    <t>1455026-B</t>
  </si>
  <si>
    <t>ATN-15738</t>
  </si>
  <si>
    <t>1455027-B</t>
  </si>
  <si>
    <t>ATN-15739</t>
  </si>
  <si>
    <t>1455030-B</t>
  </si>
  <si>
    <t>ATN-15742</t>
  </si>
  <si>
    <t>1455023-0</t>
  </si>
  <si>
    <t>ATN-15436</t>
  </si>
  <si>
    <t>1455024-0</t>
  </si>
  <si>
    <t>ATN-15435</t>
  </si>
  <si>
    <t>655002-F</t>
  </si>
  <si>
    <t>ATN-9699</t>
  </si>
  <si>
    <t>1535002-A</t>
  </si>
  <si>
    <t>ATN-16072</t>
  </si>
  <si>
    <t>1555002-A</t>
  </si>
  <si>
    <t>ATN-15985</t>
  </si>
  <si>
    <t>1555003-A</t>
  </si>
  <si>
    <t>ATN-15986</t>
  </si>
  <si>
    <t>1535004-A</t>
  </si>
  <si>
    <t>ATN-17194</t>
  </si>
  <si>
    <t>1635003-0</t>
  </si>
  <si>
    <t>ATN-17402</t>
  </si>
  <si>
    <t>1635004-0</t>
  </si>
  <si>
    <t>ATN-17403</t>
  </si>
  <si>
    <t>1635005-0</t>
  </si>
  <si>
    <t>ATN-17404</t>
  </si>
  <si>
    <t>1635006-0</t>
  </si>
  <si>
    <t>ATN-17405</t>
  </si>
  <si>
    <t>1635007-0</t>
  </si>
  <si>
    <t>ATN-17406</t>
  </si>
  <si>
    <t>1635008-0</t>
  </si>
  <si>
    <t>ATN-17407</t>
  </si>
  <si>
    <t>1635016-0</t>
  </si>
  <si>
    <t>ATN-17795</t>
  </si>
  <si>
    <t>1635017-0</t>
  </si>
  <si>
    <t>ATN-17797</t>
  </si>
  <si>
    <t>1735033-0</t>
  </si>
  <si>
    <t>ATN-18064</t>
  </si>
  <si>
    <t>1735021-0</t>
  </si>
  <si>
    <t>ATN-18053</t>
  </si>
  <si>
    <t>09B5002-D</t>
  </si>
  <si>
    <t>ATN-10848</t>
  </si>
  <si>
    <t>655001-F</t>
  </si>
  <si>
    <t>ATN-9698</t>
  </si>
  <si>
    <t>1555004-A</t>
  </si>
  <si>
    <t>ATN-15987</t>
  </si>
  <si>
    <t xml:space="preserve"> 1055003-B</t>
  </si>
  <si>
    <t xml:space="preserve"> 1355007-B</t>
  </si>
  <si>
    <t xml:space="preserve"> 1135070-A</t>
  </si>
  <si>
    <t xml:space="preserve"> ATN-14008</t>
  </si>
  <si>
    <t xml:space="preserve">  1135075-A</t>
  </si>
  <si>
    <t xml:space="preserve"> 1135065-A</t>
  </si>
  <si>
    <t xml:space="preserve"> 1135074-A</t>
  </si>
  <si>
    <t xml:space="preserve"> 1135066-A</t>
  </si>
  <si>
    <t xml:space="preserve"> ATN-14004</t>
  </si>
  <si>
    <t xml:space="preserve"> 1555002-A</t>
  </si>
  <si>
    <t xml:space="preserve"> 1555003-A</t>
  </si>
  <si>
    <t xml:space="preserve"> 1235010-A</t>
  </si>
  <si>
    <t xml:space="preserve"> 1135068-A</t>
  </si>
  <si>
    <t xml:space="preserve"> 1035007-C</t>
  </si>
  <si>
    <t xml:space="preserve"> 1135071-A</t>
  </si>
  <si>
    <t xml:space="preserve"> 1135069-A</t>
  </si>
  <si>
    <t xml:space="preserve"> 1435037-0</t>
  </si>
  <si>
    <t xml:space="preserve"> 1135072-A</t>
  </si>
  <si>
    <t xml:space="preserve"> 1135067-A</t>
  </si>
  <si>
    <t xml:space="preserve"> 1635006-0</t>
  </si>
  <si>
    <t xml:space="preserve"> 1635007-0</t>
  </si>
  <si>
    <t xml:space="preserve"> 1335038-A</t>
  </si>
  <si>
    <t>1135071-B</t>
  </si>
  <si>
    <t>1135073-B</t>
  </si>
  <si>
    <t>1135074-B</t>
  </si>
  <si>
    <t xml:space="preserve"> 1135074-B</t>
  </si>
  <si>
    <t>1135075-B</t>
  </si>
  <si>
    <t>1135068-B</t>
  </si>
  <si>
    <t xml:space="preserve"> 1135068-B</t>
  </si>
  <si>
    <t>1135066-B</t>
  </si>
  <si>
    <t xml:space="preserve"> 1135066-B</t>
  </si>
  <si>
    <t>1135069-B</t>
  </si>
  <si>
    <t xml:space="preserve"> 1135069-B</t>
  </si>
  <si>
    <t xml:space="preserve"> ATN-14007</t>
  </si>
  <si>
    <t xml:space="preserve"> 1135065-B</t>
  </si>
  <si>
    <t xml:space="preserve"> 1135070-B</t>
  </si>
  <si>
    <t>1135070-B</t>
  </si>
  <si>
    <t>1135072-B</t>
  </si>
  <si>
    <t>1135067-B</t>
  </si>
  <si>
    <t>1135053-B</t>
  </si>
  <si>
    <t xml:space="preserve"> 1135067-B</t>
  </si>
  <si>
    <t>1135065-B</t>
  </si>
  <si>
    <t>1835018-0</t>
  </si>
  <si>
    <t>ATN-18400</t>
  </si>
  <si>
    <t>1735048-0</t>
  </si>
  <si>
    <t>ATN-18402</t>
  </si>
  <si>
    <t>1355009-C</t>
  </si>
  <si>
    <t>ATN-14232</t>
  </si>
  <si>
    <t>1355008-C</t>
  </si>
  <si>
    <t>ATN-14231</t>
  </si>
  <si>
    <t>1355007-C</t>
  </si>
  <si>
    <t xml:space="preserve"> 1455029-C</t>
  </si>
  <si>
    <t>1455026-C</t>
  </si>
  <si>
    <t>1455027-C</t>
  </si>
  <si>
    <t>1455030-C</t>
  </si>
  <si>
    <t>1455029-C</t>
  </si>
  <si>
    <t>1455028-C</t>
  </si>
  <si>
    <t>ATN-15740</t>
  </si>
  <si>
    <t>1335017-B</t>
  </si>
  <si>
    <t>ATN-14193</t>
  </si>
  <si>
    <t>1335038-B</t>
  </si>
  <si>
    <t>1535002-B</t>
  </si>
  <si>
    <t xml:space="preserve"> 1735022-A</t>
  </si>
  <si>
    <t>ATN-18054</t>
  </si>
  <si>
    <t>1335020-B</t>
  </si>
  <si>
    <t>ATN-14196</t>
  </si>
  <si>
    <t>1435021-A</t>
  </si>
  <si>
    <t>ATN-15084</t>
  </si>
  <si>
    <t>1435018-B</t>
  </si>
  <si>
    <t>1435023-A</t>
  </si>
  <si>
    <t>ATN-15085</t>
  </si>
  <si>
    <t>1435075-A</t>
  </si>
  <si>
    <t>ATN-15806</t>
  </si>
  <si>
    <t>1435073-A</t>
  </si>
  <si>
    <t>ATN-15804</t>
  </si>
  <si>
    <t>1435069-A</t>
  </si>
  <si>
    <t>ATN-15800</t>
  </si>
  <si>
    <t>1435071-A</t>
  </si>
  <si>
    <t>ATN-15802</t>
  </si>
  <si>
    <t>1835018-A</t>
  </si>
  <si>
    <t xml:space="preserve"> 1435021-A</t>
  </si>
  <si>
    <t>1735025-A</t>
  </si>
  <si>
    <t>ATN-18056</t>
  </si>
  <si>
    <t>1735027-A</t>
  </si>
  <si>
    <t>ATN-18058</t>
  </si>
  <si>
    <t>1735029-A</t>
  </si>
  <si>
    <t>ATN-18060</t>
  </si>
  <si>
    <t>1735030-A</t>
  </si>
  <si>
    <t>ATN-18061</t>
  </si>
  <si>
    <t>1835028-0</t>
  </si>
  <si>
    <t>ATN-18919</t>
  </si>
  <si>
    <t>1835026-0</t>
  </si>
  <si>
    <t>ATN-18918</t>
  </si>
  <si>
    <t>1535028-A</t>
  </si>
  <si>
    <t>ATN-17248</t>
  </si>
  <si>
    <t>1735038-A</t>
  </si>
  <si>
    <t>ATN-18174</t>
  </si>
  <si>
    <t>1535029-A</t>
  </si>
  <si>
    <t>ATN-17249</t>
  </si>
  <si>
    <t>ATN-10551</t>
  </si>
  <si>
    <t>ATN-10929</t>
  </si>
  <si>
    <t>ATN-17484</t>
  </si>
  <si>
    <t>OHP-LS-9020</t>
  </si>
  <si>
    <t>OHP-LS-9022</t>
  </si>
  <si>
    <t>OHP-LS-9024</t>
  </si>
  <si>
    <t>OHP-LS-9026</t>
  </si>
  <si>
    <t>OHP-LS-9016</t>
  </si>
  <si>
    <t>OHP-LS-9018</t>
  </si>
  <si>
    <t>ATN-5891</t>
  </si>
  <si>
    <t>ATN-5825</t>
  </si>
  <si>
    <t>ATN-5827</t>
  </si>
  <si>
    <t>ATN-5829</t>
  </si>
  <si>
    <t>ATN-5887</t>
  </si>
  <si>
    <t>ATN-5889</t>
  </si>
  <si>
    <t>ATN-8955</t>
  </si>
  <si>
    <t>ATN-8956</t>
  </si>
  <si>
    <t>ATN-8957</t>
  </si>
  <si>
    <t>ATN-8958</t>
  </si>
  <si>
    <t>ATN-8959</t>
  </si>
  <si>
    <t>ATN-8960</t>
  </si>
  <si>
    <t>ATN-8961</t>
  </si>
  <si>
    <t>ATN-8962</t>
  </si>
  <si>
    <t>ATN-9681</t>
  </si>
  <si>
    <t>ATN-9682</t>
  </si>
  <si>
    <t>ATN-5831</t>
  </si>
  <si>
    <t>ATN-5833</t>
  </si>
  <si>
    <t>ATN-5837</t>
  </si>
  <si>
    <t>ATN-5835</t>
  </si>
  <si>
    <t>ATN-5843</t>
  </si>
  <si>
    <t>ATN-5845</t>
  </si>
  <si>
    <t>ATN-5839</t>
  </si>
  <si>
    <t>ATN-5841</t>
  </si>
  <si>
    <t>ATN-8857</t>
  </si>
  <si>
    <t>ATN-8858</t>
  </si>
  <si>
    <t>ATN-5847</t>
  </si>
  <si>
    <t>ATN-5849</t>
  </si>
  <si>
    <t>ATN-5851</t>
  </si>
  <si>
    <t>ATN-5853</t>
  </si>
  <si>
    <t>ATN-5855</t>
  </si>
  <si>
    <t>ATN-5857</t>
  </si>
  <si>
    <t>ATN-5883</t>
  </si>
  <si>
    <t>ATN-5885</t>
  </si>
  <si>
    <t>ATN-5859</t>
  </si>
  <si>
    <t>ATN-5861</t>
  </si>
  <si>
    <t>ATN-5865</t>
  </si>
  <si>
    <t>ATN-5863</t>
  </si>
  <si>
    <t>ATN-6253</t>
  </si>
  <si>
    <t>ATN-6255</t>
  </si>
  <si>
    <t>ATN-6257</t>
  </si>
  <si>
    <t>ATN-6259</t>
  </si>
  <si>
    <t>ATN-5867</t>
  </si>
  <si>
    <t>ATN-5869</t>
  </si>
  <si>
    <t>ATN-5873</t>
  </si>
  <si>
    <t>ATN-5871</t>
  </si>
  <si>
    <t>ATN-5875</t>
  </si>
  <si>
    <t>ATN-5877</t>
  </si>
  <si>
    <t>ATN-9683</t>
  </si>
  <si>
    <t>ATN-10865</t>
  </si>
  <si>
    <t>ATN-10866</t>
  </si>
  <si>
    <t>ATN-17482</t>
  </si>
  <si>
    <t>ATN-17483</t>
  </si>
  <si>
    <t>ATN-13328</t>
  </si>
  <si>
    <t>ATN-13695</t>
  </si>
  <si>
    <t>ATN-17491</t>
  </si>
  <si>
    <t>ATN-17492</t>
  </si>
  <si>
    <t>ATN-11697</t>
  </si>
  <si>
    <t>ATN-12119</t>
  </si>
  <si>
    <t>ATN-11699</t>
  </si>
  <si>
    <t>ATN-11698</t>
  </si>
  <si>
    <t>ATN-11696</t>
  </si>
  <si>
    <t>ATN-11695</t>
  </si>
  <si>
    <t>ATN-12409</t>
  </si>
  <si>
    <t>ATN-15387</t>
  </si>
  <si>
    <t>ATN-10372</t>
  </si>
  <si>
    <t>ATN-10373</t>
  </si>
  <si>
    <t>OHP-LS-5325</t>
  </si>
  <si>
    <t>OHP-LS-5329</t>
  </si>
  <si>
    <t>OHP-LS-5327</t>
  </si>
  <si>
    <t>OHP-LS-5331</t>
  </si>
  <si>
    <t>OHP-LS-5655</t>
  </si>
  <si>
    <t>OHP-LS-5657</t>
  </si>
  <si>
    <t>OHP-LS-5659</t>
  </si>
  <si>
    <t>OHP-LS-5661</t>
  </si>
  <si>
    <t>OHP-LS-5663</t>
  </si>
  <si>
    <t>OHP-LS-5665</t>
  </si>
  <si>
    <t>OHP-LS-5667</t>
  </si>
  <si>
    <t>OHP-LS-5669</t>
  </si>
  <si>
    <t>OHP-LS-5671</t>
  </si>
  <si>
    <t>OHP-LS-5643</t>
  </si>
  <si>
    <t>OHP-LS-5647</t>
  </si>
  <si>
    <t>ATN-11940</t>
  </si>
  <si>
    <t>OHP-LS-5649</t>
  </si>
  <si>
    <t>OHP-LS-5653</t>
  </si>
  <si>
    <t>OHP-LS-5651</t>
  </si>
  <si>
    <t>OHP-LS-5627</t>
  </si>
  <si>
    <t>OHP-LS-5631</t>
  </si>
  <si>
    <t>OHP-LS-5629</t>
  </si>
  <si>
    <t>OHP-LS-5633</t>
  </si>
  <si>
    <t>OHP-LS-5383</t>
  </si>
  <si>
    <t>OHP-LS-5387</t>
  </si>
  <si>
    <t>OHP-LS-5385</t>
  </si>
  <si>
    <t>OHP-LS-5591</t>
  </si>
  <si>
    <t>OHP-LS-5593</t>
  </si>
  <si>
    <t>OHP-LS-5599</t>
  </si>
  <si>
    <t>ATN-11957</t>
  </si>
  <si>
    <t>OHP-LS-5601</t>
  </si>
  <si>
    <t>OHP-LS-5607</t>
  </si>
  <si>
    <t>ATN-11961</t>
  </si>
  <si>
    <t>OHP-LS-5673</t>
  </si>
  <si>
    <t>OHP-LS-5675</t>
  </si>
  <si>
    <t>ATN-11964</t>
  </si>
  <si>
    <t>ATN-11965</t>
  </si>
  <si>
    <t>ATN-12093</t>
  </si>
  <si>
    <t>ATN-12285</t>
  </si>
  <si>
    <t>ATN-12222</t>
  </si>
  <si>
    <t>OHP-LS-5375</t>
  </si>
  <si>
    <t>OHP-LS-5379</t>
  </si>
  <si>
    <t>OHP-LS-5377</t>
  </si>
  <si>
    <t>OHP-LS-5309</t>
  </si>
  <si>
    <t>OHP-LS-5313</t>
  </si>
  <si>
    <t>OHP-LS-5311</t>
  </si>
  <si>
    <t>OHP-LS-5315</t>
  </si>
  <si>
    <t>ATN-11977</t>
  </si>
  <si>
    <t>OHP-LS-5317</t>
  </si>
  <si>
    <t>OHP-LS-5321</t>
  </si>
  <si>
    <t>OHP-LS-5319</t>
  </si>
  <si>
    <t>ATN-11981</t>
  </si>
  <si>
    <t>ATN-11982</t>
  </si>
  <si>
    <t>ATN-11983</t>
  </si>
  <si>
    <t>ATN-11984</t>
  </si>
  <si>
    <t>ATN-11985</t>
  </si>
  <si>
    <t>OHP-LS-5339</t>
  </si>
  <si>
    <t>OHP-LS-5345</t>
  </si>
  <si>
    <t>OHP-LS-5347</t>
  </si>
  <si>
    <t>OHP-LS-5353</t>
  </si>
  <si>
    <t>OHP-LS-5355</t>
  </si>
  <si>
    <t>OHP-LS-5361</t>
  </si>
  <si>
    <t>ATN-11997</t>
  </si>
  <si>
    <t>ATN-11998</t>
  </si>
  <si>
    <t>ATN-11999</t>
  </si>
  <si>
    <t>ATN-12001</t>
  </si>
  <si>
    <t>OHP-LS-5363</t>
  </si>
  <si>
    <t>OHP-LS-5365</t>
  </si>
  <si>
    <t>ATN-12003</t>
  </si>
  <si>
    <t>OHP-LS-5367</t>
  </si>
  <si>
    <t>ATN-12004</t>
  </si>
  <si>
    <t>OHP-LS-5369</t>
  </si>
  <si>
    <t>ATN-12005</t>
  </si>
  <si>
    <t>OHP-LS-5371</t>
  </si>
  <si>
    <t>ATN-12006</t>
  </si>
  <si>
    <t>OHP-LS-5611</t>
  </si>
  <si>
    <t>OHP-LS-5613</t>
  </si>
  <si>
    <t>OHP-LS-5615</t>
  </si>
  <si>
    <t>OHP-LS-5617</t>
  </si>
  <si>
    <t>OHP-LS-5619</t>
  </si>
  <si>
    <t>ATN-12012</t>
  </si>
  <si>
    <t>OHP-LS-5623</t>
  </si>
  <si>
    <t>ATN-12014</t>
  </si>
  <si>
    <t>ATN-12015</t>
  </si>
  <si>
    <t>OHP-LS-5635</t>
  </si>
  <si>
    <t>ATN-12016</t>
  </si>
  <si>
    <t>OHP-LS-5637</t>
  </si>
  <si>
    <t>ATN-12017</t>
  </si>
  <si>
    <t>ATN-12018</t>
  </si>
  <si>
    <t>ATN-12019</t>
  </si>
  <si>
    <t>ATN-12481</t>
  </si>
  <si>
    <t>ATN-12522</t>
  </si>
  <si>
    <t>ATN-15388</t>
  </si>
  <si>
    <t>ATN-15389</t>
  </si>
  <si>
    <t>ATN-12482</t>
  </si>
  <si>
    <t>ATN-12483</t>
  </si>
  <si>
    <t>ATN-12684</t>
  </si>
  <si>
    <t>ATN-12589</t>
  </si>
  <si>
    <t>ATN-14256</t>
  </si>
  <si>
    <t>ATN-14267</t>
  </si>
  <si>
    <t>ATN-14255</t>
  </si>
  <si>
    <t>ATN-14312</t>
  </si>
  <si>
    <t>ATN-15813</t>
  </si>
  <si>
    <t>ATN-15814</t>
  </si>
  <si>
    <t>ATN-15815</t>
  </si>
  <si>
    <t>ATN-15816</t>
  </si>
  <si>
    <t>ATN-17489</t>
  </si>
  <si>
    <t>ATN-17490</t>
  </si>
  <si>
    <t>ATN-13754</t>
  </si>
  <si>
    <t>ATN-13962</t>
  </si>
  <si>
    <t>ATN-13094</t>
  </si>
  <si>
    <t>ATN-13095</t>
  </si>
  <si>
    <t>ATN-13096</t>
  </si>
  <si>
    <t>ATN-13097</t>
  </si>
  <si>
    <t>ATN-13098</t>
  </si>
  <si>
    <t>ATN-13099</t>
  </si>
  <si>
    <t>OHP-LS-5289</t>
  </si>
  <si>
    <t>OHP-LS-5291</t>
  </si>
  <si>
    <t>OHP-LS-5293</t>
  </si>
  <si>
    <t>ATN-12768</t>
  </si>
  <si>
    <t>OHP-LS-5297</t>
  </si>
  <si>
    <t>OHP-LS-5299</t>
  </si>
  <si>
    <t>OHP-LS-5301</t>
  </si>
  <si>
    <t>OHP-LS-5303</t>
  </si>
  <si>
    <t>OHP-LS-5305</t>
  </si>
  <si>
    <t>OHP-LS-5307</t>
  </si>
  <si>
    <t>ATN-13812</t>
  </si>
  <si>
    <t>ATN-13927</t>
  </si>
  <si>
    <t>ATN-13929</t>
  </si>
  <si>
    <t>ATN-15821</t>
  </si>
  <si>
    <t>ATN-15822</t>
  </si>
  <si>
    <t>ATN-15823</t>
  </si>
  <si>
    <t>ATN-15824</t>
  </si>
  <si>
    <t>ATN-13159</t>
  </si>
  <si>
    <t>ATN-13160</t>
  </si>
  <si>
    <t>ATN-13161</t>
  </si>
  <si>
    <t>OHP-LS-2390</t>
  </si>
  <si>
    <t>ATN-13948</t>
  </si>
  <si>
    <t>ATN-13952</t>
  </si>
  <si>
    <t>ATN-13949</t>
  </si>
  <si>
    <t>ATN-13953</t>
  </si>
  <si>
    <t>ATN-15817</t>
  </si>
  <si>
    <t>ATN-15818</t>
  </si>
  <si>
    <t>ATN-15819</t>
  </si>
  <si>
    <t>ATN-15820</t>
  </si>
  <si>
    <t>ATN-13910</t>
  </si>
  <si>
    <t>ATN-13911</t>
  </si>
  <si>
    <t>ATN-13912</t>
  </si>
  <si>
    <t>ATN-13913</t>
  </si>
  <si>
    <t>ATN-14981</t>
  </si>
  <si>
    <t>ATN-14982</t>
  </si>
  <si>
    <t>OHP-LS-8725</t>
  </si>
  <si>
    <t>OHP-LS-8727</t>
  </si>
  <si>
    <t>OHP-LS-8721</t>
  </si>
  <si>
    <t>OHP-LS-8723</t>
  </si>
  <si>
    <t>ATN-11926</t>
  </si>
  <si>
    <t>ATN-11927</t>
  </si>
  <si>
    <t>ATN-11928</t>
  </si>
  <si>
    <t>ATN-11929</t>
  </si>
  <si>
    <t>ATN-11930</t>
  </si>
  <si>
    <t>ATN-11931</t>
  </si>
  <si>
    <t>ATN-11933</t>
  </si>
  <si>
    <t>ATN-11934</t>
  </si>
  <si>
    <t>ATN-11935</t>
  </si>
  <si>
    <t>ATN-11937</t>
  </si>
  <si>
    <t>ATN-11938</t>
  </si>
  <si>
    <t>ATN-11939</t>
  </si>
  <si>
    <t>ATN-11941</t>
  </si>
  <si>
    <t>ATN-11942</t>
  </si>
  <si>
    <t>ATN-11943</t>
  </si>
  <si>
    <t>ATN-11945</t>
  </si>
  <si>
    <t>ATN-11946</t>
  </si>
  <si>
    <t>ATN-11947</t>
  </si>
  <si>
    <t>ATN-11949</t>
  </si>
  <si>
    <t>ATN-11950</t>
  </si>
  <si>
    <t>ATN-11951</t>
  </si>
  <si>
    <t>ATN-11953</t>
  </si>
  <si>
    <t>ATN-11954</t>
  </si>
  <si>
    <t>ATN-11955</t>
  </si>
  <si>
    <t>ATN-11958</t>
  </si>
  <si>
    <t>ATN-11959</t>
  </si>
  <si>
    <t>ATN-11963</t>
  </si>
  <si>
    <t>ATN-11969</t>
  </si>
  <si>
    <t>ATN-11970</t>
  </si>
  <si>
    <t>ATN-11971</t>
  </si>
  <si>
    <t>ATN-11972</t>
  </si>
  <si>
    <t>ATN-11973</t>
  </si>
  <si>
    <t>ATN-11974</t>
  </si>
  <si>
    <t>ATN-11975</t>
  </si>
  <si>
    <t>ATN-11976</t>
  </si>
  <si>
    <t>ATN-11979</t>
  </si>
  <si>
    <t>ATN-11980</t>
  </si>
  <si>
    <t>OHP-LS-9188</t>
  </si>
  <si>
    <t>ATN-15381</t>
  </si>
  <si>
    <t>ATN-15382</t>
  </si>
  <si>
    <t>ATN-15383</t>
  </si>
  <si>
    <t>ATN-15384</t>
  </si>
  <si>
    <t>ATN-15462</t>
  </si>
  <si>
    <t>ATN-15726</t>
  </si>
  <si>
    <t>ATN-15727</t>
  </si>
  <si>
    <t>ATN-15728</t>
  </si>
  <si>
    <t>ATN-15729</t>
  </si>
  <si>
    <t>ATN-15731</t>
  </si>
  <si>
    <t>ATN-15443</t>
  </si>
  <si>
    <t>ATN-15444</t>
  </si>
  <si>
    <t>ATN-15442</t>
  </si>
  <si>
    <t>ATN-15441</t>
  </si>
  <si>
    <t>ATN-15440</t>
  </si>
  <si>
    <t>ATN-15439</t>
  </si>
  <si>
    <t>ATN-16030</t>
  </si>
  <si>
    <t>OHP-LS-2628</t>
  </si>
  <si>
    <t>OHP-LS-2630</t>
  </si>
  <si>
    <t>OHP-LS-2632</t>
  </si>
  <si>
    <t>OHP-LS-2634</t>
  </si>
  <si>
    <t>ATN-17192</t>
  </si>
  <si>
    <t>ATN-17193</t>
  </si>
  <si>
    <t>ATN-17195</t>
  </si>
  <si>
    <t>ATN-17196</t>
  </si>
  <si>
    <t>ATN-17411</t>
  </si>
  <si>
    <t>ATN-17412</t>
  </si>
  <si>
    <t>ATN-17413</t>
  </si>
  <si>
    <t>ATN-17414</t>
  </si>
  <si>
    <t>ATN-17415</t>
  </si>
  <si>
    <t>ATN-17416</t>
  </si>
  <si>
    <t>ATN-17417</t>
  </si>
  <si>
    <t>ATN-17418</t>
  </si>
  <si>
    <t>ATN-17419</t>
  </si>
  <si>
    <t>ATN-17421</t>
  </si>
  <si>
    <t>ATN-17422</t>
  </si>
  <si>
    <t>ATN-17423</t>
  </si>
  <si>
    <t>ATN-17424</t>
  </si>
  <si>
    <t>ATN-17425</t>
  </si>
  <si>
    <t>ATN-17426</t>
  </si>
  <si>
    <t>ATN-17427</t>
  </si>
  <si>
    <t>ATN-17428</t>
  </si>
  <si>
    <t>ATN-17401</t>
  </si>
  <si>
    <t>ATN-17410</t>
  </si>
  <si>
    <t>ATN-17429</t>
  </si>
  <si>
    <t>ATN-17430</t>
  </si>
  <si>
    <t>ATN-17431</t>
  </si>
  <si>
    <t>ATN-17432</t>
  </si>
  <si>
    <t>ATN-17433</t>
  </si>
  <si>
    <t>ATN-17434</t>
  </si>
  <si>
    <t>ATN-17435</t>
  </si>
  <si>
    <t>ATN-17436</t>
  </si>
  <si>
    <t>ATN-17437</t>
  </si>
  <si>
    <t>ATN-17438</t>
  </si>
  <si>
    <t>ATN-17439</t>
  </si>
  <si>
    <t>ATN-17440</t>
  </si>
  <si>
    <t>ATN-17798</t>
  </si>
  <si>
    <t>ATN-17799</t>
  </si>
  <si>
    <t>ATN-17800</t>
  </si>
  <si>
    <t>ATN-17801</t>
  </si>
  <si>
    <t>OHP-LS-2286</t>
  </si>
  <si>
    <t>ATN-10839</t>
  </si>
  <si>
    <t>ATN-10840</t>
  </si>
  <si>
    <t>ATN-10841</t>
  </si>
  <si>
    <t>ATN-9880</t>
  </si>
  <si>
    <t>ATN-9881</t>
  </si>
  <si>
    <t>ATN-9882</t>
  </si>
  <si>
    <t>OHP-LS-5561</t>
  </si>
  <si>
    <t xml:space="preserve"> OHP-LS-5635</t>
  </si>
  <si>
    <t>OHP-LS-5639</t>
  </si>
  <si>
    <t>OHP-LS-5337</t>
  </si>
  <si>
    <t>OHP-LS-5645</t>
  </si>
  <si>
    <t xml:space="preserve">ATN-13952 </t>
  </si>
  <si>
    <t>OHP-LS-5341</t>
  </si>
  <si>
    <t>OHP-LS-5677</t>
  </si>
  <si>
    <t>OHP-LS-5343</t>
  </si>
  <si>
    <t>OHP-LS-5679</t>
  </si>
  <si>
    <t>OHP-LS-5323</t>
  </si>
  <si>
    <t>OHP-LS-5333</t>
  </si>
  <si>
    <t>OHP-LS-5335</t>
  </si>
  <si>
    <t>OHP-LS-5621</t>
  </si>
  <si>
    <t>OHP-LS-5641</t>
  </si>
  <si>
    <t>ATN-17420</t>
  </si>
  <si>
    <t>OHP-LS-5381</t>
  </si>
  <si>
    <t>OHP-LS-5349</t>
  </si>
  <si>
    <t>OHP-LS-5351</t>
  </si>
  <si>
    <t>OHP-LS-3569</t>
  </si>
  <si>
    <t>OHP-LS-5373</t>
  </si>
  <si>
    <t>OHP-LS-5625</t>
  </si>
  <si>
    <t>OHP-LS-5638</t>
  </si>
  <si>
    <t>OHP-LS-5366</t>
  </si>
  <si>
    <t>OHP-LS-7573</t>
  </si>
  <si>
    <t>OHP-LS-2394</t>
  </si>
  <si>
    <t>ATN-14979</t>
  </si>
  <si>
    <t>ATN-15782</t>
  </si>
  <si>
    <t>ATN-12391</t>
  </si>
  <si>
    <t>ATN-12039</t>
  </si>
  <si>
    <t>ATN-12406</t>
  </si>
  <si>
    <t>OHP-LS-5443</t>
  </si>
  <si>
    <t>OHP-LS-5445</t>
  </si>
  <si>
    <t>OHP-LS-5447</t>
  </si>
  <si>
    <t>OHP-LS-5449</t>
  </si>
  <si>
    <t>OHP-LS-5451</t>
  </si>
  <si>
    <t>OHP-LS-5453</t>
  </si>
  <si>
    <t>OHP-LS-5459</t>
  </si>
  <si>
    <t>OHP-LS-5461</t>
  </si>
  <si>
    <t>OHP-LS-5463</t>
  </si>
  <si>
    <t>OHP-LS-5465</t>
  </si>
  <si>
    <t>OHP-LS-5513</t>
  </si>
  <si>
    <t>OHP-LS-5517</t>
  </si>
  <si>
    <t>OHP-LS-5541</t>
  </si>
  <si>
    <t>OHP-LS-5543</t>
  </si>
  <si>
    <t>OHP-LS-5545</t>
  </si>
  <si>
    <t>OHP-LS-5547</t>
  </si>
  <si>
    <t>OHP-LS-5565</t>
  </si>
  <si>
    <t>OHP-LS-5567</t>
  </si>
  <si>
    <t>OHP-LS-5569</t>
  </si>
  <si>
    <t>OHP-LS-5571</t>
  </si>
  <si>
    <t>OHP-LS-5683</t>
  </si>
  <si>
    <t>OHP-LS-5685</t>
  </si>
  <si>
    <t>OHP-LS-5703</t>
  </si>
  <si>
    <t>OHP-LS-5705</t>
  </si>
  <si>
    <t>OHP-LS-8157</t>
  </si>
  <si>
    <t>OHP-LS-8159</t>
  </si>
  <si>
    <t>OHP-LS-8161</t>
  </si>
  <si>
    <t>OHP-LS-8163</t>
  </si>
  <si>
    <t>OHP-LS-8549</t>
  </si>
  <si>
    <t>OHP-LS-8553</t>
  </si>
  <si>
    <t>OHP-LS-8551</t>
  </si>
  <si>
    <t>OHP-LS-8555</t>
  </si>
  <si>
    <t>OHP-LS-8559</t>
  </si>
  <si>
    <t>OHP-LS-8557</t>
  </si>
  <si>
    <t>OHP-LS-1708</t>
  </si>
  <si>
    <t>ATN-13907</t>
  </si>
  <si>
    <t>OHP-LS-1710</t>
  </si>
  <si>
    <t>ATN10929</t>
  </si>
  <si>
    <t>OHP-LS-7324</t>
  </si>
  <si>
    <t>OHP-LS-7326</t>
  </si>
  <si>
    <t>OHP-LS-7328</t>
  </si>
  <si>
    <t>OHP-LS-7330</t>
  </si>
  <si>
    <t>OHP-LS-7320</t>
  </si>
  <si>
    <t>OHP-LS-7322</t>
  </si>
  <si>
    <t>OHP-LS-2117</t>
  </si>
  <si>
    <t>OHP-LS-2119</t>
  </si>
  <si>
    <t>OHP-LS-2113</t>
  </si>
  <si>
    <t>OHP-LS-2115</t>
  </si>
  <si>
    <t xml:space="preserve">  ---</t>
  </si>
  <si>
    <t xml:space="preserve"> --</t>
  </si>
  <si>
    <t>OHP-LS-7325</t>
  </si>
  <si>
    <t>OHP-LS-7327</t>
  </si>
  <si>
    <t>OHP-LS-7329</t>
  </si>
  <si>
    <t>OHP-LS-7331</t>
  </si>
  <si>
    <t>OHP-LS-7321</t>
  </si>
  <si>
    <t>OHP-LS-7323</t>
  </si>
  <si>
    <t>OHP-LS-2118</t>
  </si>
  <si>
    <t>OHP-LS-2120</t>
  </si>
  <si>
    <t>OHP-LS-2114</t>
  </si>
  <si>
    <t>OHP-LS-2116</t>
  </si>
  <si>
    <t xml:space="preserve"> </t>
  </si>
  <si>
    <t xml:space="preserve"> --- </t>
  </si>
  <si>
    <t>JN-6438</t>
  </si>
  <si>
    <t>JN-6439</t>
  </si>
  <si>
    <t>JN-6440</t>
  </si>
  <si>
    <t>JN-6441</t>
  </si>
  <si>
    <t>JN-6442</t>
  </si>
  <si>
    <t>JN-6443</t>
  </si>
  <si>
    <t>JN-6420</t>
  </si>
  <si>
    <t>JN-6421</t>
  </si>
  <si>
    <t>JN-6422</t>
  </si>
  <si>
    <t>JN-6423</t>
  </si>
  <si>
    <t>JN-6424</t>
  </si>
  <si>
    <t>JN-6425</t>
  </si>
  <si>
    <t xml:space="preserve"> product label 1 60/70</t>
  </si>
  <si>
    <t>JN-6426</t>
  </si>
  <si>
    <t>JN-6427</t>
  </si>
  <si>
    <t>JN-6428</t>
  </si>
  <si>
    <t>JN-6429</t>
  </si>
  <si>
    <t>JN-6430</t>
  </si>
  <si>
    <t>JN-6431</t>
  </si>
  <si>
    <t xml:space="preserve"> product label 1 50/70</t>
  </si>
  <si>
    <t>Jig For Label Attach 4 Lens( PCI GW) 68/105</t>
  </si>
  <si>
    <t>JN-6432</t>
  </si>
  <si>
    <t>JN-6433</t>
  </si>
  <si>
    <t>JN-6434</t>
  </si>
  <si>
    <t>JN-6435</t>
  </si>
  <si>
    <t>Jig For Label Attach (Soutenir &amp; Streaming )55/65</t>
  </si>
  <si>
    <t>JN-6437</t>
  </si>
  <si>
    <t>JN-6436</t>
  </si>
  <si>
    <t>JN-4503</t>
  </si>
  <si>
    <t>JN-5418</t>
  </si>
  <si>
    <t>JN-5419</t>
  </si>
  <si>
    <t>JN-5420</t>
  </si>
  <si>
    <t>JN-5422</t>
  </si>
  <si>
    <t>Jig For Label Attach (Ptca Gw ) CTO 24/5</t>
  </si>
  <si>
    <t>item[tab]lot[tab]Q'ty</t>
  </si>
  <si>
    <t>3.Master SOP,SOP</t>
  </si>
  <si>
    <t>Master SOP[tab]SOP[tab]DW</t>
  </si>
  <si>
    <t>Master</t>
  </si>
  <si>
    <t>SOP</t>
  </si>
  <si>
    <t>DW</t>
  </si>
  <si>
    <t>JIG</t>
  </si>
  <si>
    <t>Match (attach) 1</t>
  </si>
  <si>
    <t>Match (attach) 2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</si>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</sst>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¥&quot;#,##0;[Red]&quot;¥&quot;\-#,##0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name val="Cordia New"/>
      <family val="2"/>
    </font>
    <font>
      <sz val="14"/>
      <name val="Angsana New"/>
      <family val="1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20"/>
      <name val="Tahoma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ＭＳ Ｐゴシック"/>
      <charset val="128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Tahom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Tahoma"/>
      <family val="2"/>
    </font>
    <font>
      <sz val="11"/>
      <name val="ＭＳ Ｐゴシック"/>
      <family val="3"/>
      <charset val="128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ＭＳ Ｐ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Ｐゴシック"/>
      <family val="3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u/>
      <sz val="11"/>
      <color theme="10"/>
      <name val="Tahoma"/>
      <family val="2"/>
    </font>
    <font>
      <sz val="9"/>
      <color theme="1"/>
      <name val="Times New Roman"/>
      <family val="2"/>
    </font>
    <font>
      <sz val="10"/>
      <color theme="1"/>
      <name val="MS PMincho"/>
      <family val="2"/>
    </font>
    <font>
      <sz val="9"/>
      <color theme="1"/>
      <name val="Times New Roman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sz val="11"/>
      <name val="Angsana New"/>
      <family val="1"/>
    </font>
    <font>
      <i/>
      <sz val="14"/>
      <color theme="1"/>
      <name val="AngsanaUPC"/>
      <family val="1"/>
      <charset val="22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Calibri"/>
      <family val="2"/>
      <scheme val="minor"/>
    </font>
    <font>
      <sz val="16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53">
    <xf numFmtId="0" fontId="0" fillId="0" borderId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2" applyNumberFormat="0" applyAlignment="0" applyProtection="0"/>
    <xf numFmtId="0" fontId="12" fillId="22" borderId="3" applyNumberFormat="0" applyAlignment="0" applyProtection="0"/>
    <xf numFmtId="38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20" fillId="8" borderId="2" applyNumberFormat="0" applyAlignment="0" applyProtection="0"/>
    <xf numFmtId="0" fontId="21" fillId="0" borderId="7" applyNumberFormat="0" applyFill="0" applyAlignment="0" applyProtection="0"/>
    <xf numFmtId="0" fontId="22" fillId="23" borderId="0" applyNumberFormat="0" applyBorder="0" applyAlignment="0" applyProtection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48" fillId="0" borderId="0"/>
    <xf numFmtId="0" fontId="48" fillId="0" borderId="0"/>
    <xf numFmtId="0" fontId="5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49" fillId="0" borderId="0"/>
    <xf numFmtId="0" fontId="6" fillId="0" borderId="0"/>
    <xf numFmtId="0" fontId="50" fillId="0" borderId="0"/>
    <xf numFmtId="0" fontId="1" fillId="0" borderId="0"/>
    <xf numFmtId="0" fontId="6" fillId="0" borderId="0"/>
    <xf numFmtId="0" fontId="5" fillId="0" borderId="0"/>
    <xf numFmtId="0" fontId="4" fillId="0" borderId="0"/>
    <xf numFmtId="0" fontId="14" fillId="0" borderId="0"/>
    <xf numFmtId="0" fontId="51" fillId="0" borderId="0">
      <alignment vertical="center"/>
    </xf>
    <xf numFmtId="0" fontId="14" fillId="0" borderId="0"/>
    <xf numFmtId="0" fontId="14" fillId="0" borderId="0"/>
    <xf numFmtId="0" fontId="51" fillId="0" borderId="0"/>
    <xf numFmtId="0" fontId="23" fillId="0" borderId="0">
      <alignment vertical="center"/>
    </xf>
    <xf numFmtId="0" fontId="5" fillId="0" borderId="0"/>
    <xf numFmtId="0" fontId="4" fillId="24" borderId="8" applyNumberFormat="0" applyFont="0" applyAlignment="0" applyProtection="0"/>
    <xf numFmtId="0" fontId="4" fillId="24" borderId="8" applyNumberFormat="0" applyFont="0" applyAlignment="0" applyProtection="0"/>
    <xf numFmtId="0" fontId="49" fillId="2" borderId="1" applyNumberFormat="0" applyFont="0" applyAlignment="0" applyProtection="0"/>
    <xf numFmtId="0" fontId="6" fillId="24" borderId="8" applyNumberFormat="0" applyFont="0" applyAlignment="0" applyProtection="0"/>
    <xf numFmtId="0" fontId="24" fillId="21" borderId="9" applyNumberForma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23" fillId="24" borderId="8" applyNumberFormat="0" applyFon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23" fillId="0" borderId="0"/>
    <xf numFmtId="0" fontId="5" fillId="0" borderId="0"/>
    <xf numFmtId="0" fontId="5" fillId="0" borderId="0"/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3" fillId="8" borderId="2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4" fillId="21" borderId="9" applyNumberFormat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0" fontId="23" fillId="0" borderId="0">
      <alignment horizontal="left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>
      <alignment vertical="center"/>
    </xf>
    <xf numFmtId="0" fontId="7" fillId="0" borderId="0">
      <alignment vertical="center"/>
    </xf>
    <xf numFmtId="0" fontId="23" fillId="0" borderId="0"/>
    <xf numFmtId="0" fontId="23" fillId="0" borderId="0">
      <alignment vertical="center"/>
    </xf>
    <xf numFmtId="0" fontId="23" fillId="0" borderId="0"/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3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3" fillId="0" borderId="0"/>
    <xf numFmtId="0" fontId="23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/>
    <xf numFmtId="0" fontId="31" fillId="0" borderId="0">
      <alignment vertical="center"/>
    </xf>
    <xf numFmtId="0" fontId="23" fillId="0" borderId="0"/>
    <xf numFmtId="0" fontId="5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36" fillId="0" borderId="0"/>
    <xf numFmtId="0" fontId="23" fillId="0" borderId="0"/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2" fillId="21" borderId="2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</cellStyleXfs>
  <cellXfs count="126">
    <xf numFmtId="0" fontId="0" fillId="0" borderId="0" xfId="0"/>
    <xf numFmtId="0" fontId="0" fillId="28" borderId="0" xfId="0" applyFill="1"/>
    <xf numFmtId="0" fontId="0" fillId="0" borderId="12" xfId="0" applyBorder="1"/>
    <xf numFmtId="0" fontId="52" fillId="0" borderId="0" xfId="0" applyFont="1" applyAlignment="1">
      <alignment horizontal="left"/>
    </xf>
    <xf numFmtId="0" fontId="54" fillId="0" borderId="0" xfId="0" applyFont="1"/>
    <xf numFmtId="0" fontId="54" fillId="0" borderId="0" xfId="0" applyFont="1" applyAlignment="1">
      <alignment horizontal="center"/>
    </xf>
    <xf numFmtId="0" fontId="0" fillId="0" borderId="15" xfId="0" applyBorder="1"/>
    <xf numFmtId="0" fontId="0" fillId="0" borderId="13" xfId="0" applyBorder="1"/>
    <xf numFmtId="0" fontId="0" fillId="27" borderId="0" xfId="0" applyFill="1"/>
    <xf numFmtId="0" fontId="3" fillId="0" borderId="0" xfId="0" applyFont="1"/>
    <xf numFmtId="0" fontId="57" fillId="0" borderId="0" xfId="0" applyFont="1"/>
    <xf numFmtId="0" fontId="54" fillId="0" borderId="0" xfId="0" applyFont="1" applyAlignment="1">
      <alignment horizontal="left"/>
    </xf>
    <xf numFmtId="0" fontId="58" fillId="0" borderId="0" xfId="0" applyFont="1" applyAlignment="1">
      <alignment horizontal="center" vertical="center"/>
    </xf>
    <xf numFmtId="0" fontId="59" fillId="0" borderId="0" xfId="0" applyFont="1"/>
    <xf numFmtId="0" fontId="52" fillId="0" borderId="0" xfId="0" applyFont="1"/>
    <xf numFmtId="0" fontId="58" fillId="0" borderId="0" xfId="0" applyFont="1"/>
    <xf numFmtId="0" fontId="58" fillId="0" borderId="0" xfId="0" applyFont="1" applyAlignment="1">
      <alignment horizontal="left"/>
    </xf>
    <xf numFmtId="0" fontId="0" fillId="25" borderId="0" xfId="0" applyFill="1"/>
    <xf numFmtId="0" fontId="0" fillId="29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2" fillId="25" borderId="0" xfId="0" applyFont="1" applyFill="1"/>
    <xf numFmtId="0" fontId="54" fillId="0" borderId="12" xfId="0" applyFont="1" applyBorder="1"/>
    <xf numFmtId="0" fontId="54" fillId="25" borderId="0" xfId="0" applyFont="1" applyFill="1"/>
    <xf numFmtId="0" fontId="54" fillId="27" borderId="0" xfId="0" applyFont="1" applyFill="1"/>
    <xf numFmtId="0" fontId="57" fillId="27" borderId="0" xfId="0" applyFont="1" applyFill="1" applyAlignment="1">
      <alignment vertical="center"/>
    </xf>
    <xf numFmtId="0" fontId="54" fillId="2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5" fillId="0" borderId="0" xfId="0" applyFont="1" applyAlignment="1">
      <alignment horizontal="left" vertical="center" wrapText="1"/>
    </xf>
    <xf numFmtId="0" fontId="0" fillId="25" borderId="0" xfId="0" applyFill="1" applyAlignment="1">
      <alignment horizontal="left"/>
    </xf>
    <xf numFmtId="0" fontId="57" fillId="25" borderId="0" xfId="0" applyFont="1" applyFill="1" applyAlignment="1">
      <alignment vertical="center"/>
    </xf>
    <xf numFmtId="0" fontId="56" fillId="0" borderId="0" xfId="0" applyFont="1"/>
    <xf numFmtId="0" fontId="55" fillId="0" borderId="12" xfId="0" applyFont="1" applyBorder="1" applyAlignment="1">
      <alignment vertical="center" wrapText="1"/>
    </xf>
    <xf numFmtId="0" fontId="0" fillId="0" borderId="12" xfId="0" applyBorder="1" applyAlignment="1">
      <alignment horizontal="left"/>
    </xf>
    <xf numFmtId="0" fontId="54" fillId="28" borderId="0" xfId="0" applyFont="1" applyFill="1"/>
    <xf numFmtId="0" fontId="57" fillId="28" borderId="0" xfId="0" applyFont="1" applyFill="1" applyAlignment="1">
      <alignment vertical="center"/>
    </xf>
    <xf numFmtId="0" fontId="54" fillId="0" borderId="11" xfId="0" applyFont="1" applyBorder="1"/>
    <xf numFmtId="0" fontId="54" fillId="0" borderId="17" xfId="0" applyFont="1" applyBorder="1"/>
    <xf numFmtId="0" fontId="54" fillId="0" borderId="18" xfId="0" applyFont="1" applyBorder="1"/>
    <xf numFmtId="0" fontId="54" fillId="0" borderId="13" xfId="0" applyFont="1" applyBorder="1"/>
    <xf numFmtId="0" fontId="54" fillId="0" borderId="14" xfId="0" applyFont="1" applyBorder="1"/>
    <xf numFmtId="0" fontId="54" fillId="28" borderId="0" xfId="0" applyFont="1" applyFill="1" applyAlignment="1">
      <alignment vertical="center"/>
    </xf>
    <xf numFmtId="0" fontId="62" fillId="25" borderId="0" xfId="0" applyFont="1" applyFill="1"/>
    <xf numFmtId="0" fontId="63" fillId="25" borderId="0" xfId="0" applyFont="1" applyFill="1"/>
    <xf numFmtId="0" fontId="61" fillId="25" borderId="0" xfId="0" applyFont="1" applyFill="1"/>
    <xf numFmtId="0" fontId="60" fillId="25" borderId="0" xfId="0" applyFont="1" applyFill="1"/>
    <xf numFmtId="0" fontId="63" fillId="0" borderId="0" xfId="0" applyFont="1"/>
    <xf numFmtId="0" fontId="62" fillId="27" borderId="0" xfId="0" applyFont="1" applyFill="1"/>
    <xf numFmtId="0" fontId="63" fillId="27" borderId="0" xfId="0" applyFont="1" applyFill="1"/>
    <xf numFmtId="0" fontId="2" fillId="27" borderId="0" xfId="0" applyFont="1" applyFill="1"/>
    <xf numFmtId="0" fontId="61" fillId="27" borderId="0" xfId="0" applyFont="1" applyFill="1"/>
    <xf numFmtId="0" fontId="60" fillId="27" borderId="0" xfId="0" applyFont="1" applyFill="1"/>
    <xf numFmtId="0" fontId="52" fillId="25" borderId="0" xfId="0" applyFont="1" applyFill="1"/>
    <xf numFmtId="0" fontId="54" fillId="29" borderId="0" xfId="0" applyFont="1" applyFill="1"/>
    <xf numFmtId="0" fontId="57" fillId="29" borderId="0" xfId="0" applyFont="1" applyFill="1" applyAlignment="1">
      <alignment vertical="center"/>
    </xf>
    <xf numFmtId="0" fontId="54" fillId="29" borderId="0" xfId="0" applyFont="1" applyFill="1" applyAlignment="1">
      <alignment vertical="center"/>
    </xf>
    <xf numFmtId="0" fontId="0" fillId="0" borderId="21" xfId="0" applyBorder="1"/>
    <xf numFmtId="0" fontId="0" fillId="0" borderId="0" xfId="0" applyAlignment="1">
      <alignment wrapText="1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1" xfId="0" applyBorder="1" applyAlignment="1">
      <alignment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horizontal="left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7" fillId="0" borderId="21" xfId="349" applyFont="1" applyBorder="1" applyAlignment="1">
      <alignment horizontal="center" vertical="center" wrapText="1" shrinkToFit="1"/>
    </xf>
    <xf numFmtId="0" fontId="0" fillId="26" borderId="0" xfId="0" applyFill="1"/>
    <xf numFmtId="0" fontId="0" fillId="27" borderId="0" xfId="0" applyFill="1" applyAlignment="1">
      <alignment horizontal="center" vertical="center" wrapText="1"/>
    </xf>
    <xf numFmtId="0" fontId="0" fillId="30" borderId="0" xfId="0" applyFill="1" applyAlignment="1">
      <alignment horizontal="center" vertical="center" wrapText="1"/>
    </xf>
    <xf numFmtId="0" fontId="0" fillId="28" borderId="0" xfId="0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68" fillId="31" borderId="21" xfId="0" applyFont="1" applyFill="1" applyBorder="1" applyAlignment="1" applyProtection="1">
      <alignment horizontal="center" vertical="center" wrapText="1" shrinkToFit="1"/>
      <protection locked="0"/>
    </xf>
    <xf numFmtId="0" fontId="69" fillId="32" borderId="16" xfId="0" applyFont="1" applyFill="1" applyBorder="1" applyAlignment="1">
      <alignment horizontal="left" vertical="center"/>
    </xf>
    <xf numFmtId="0" fontId="69" fillId="32" borderId="21" xfId="0" applyFont="1" applyFill="1" applyBorder="1" applyAlignment="1">
      <alignment vertical="center"/>
    </xf>
    <xf numFmtId="0" fontId="70" fillId="0" borderId="20" xfId="369" applyFont="1" applyBorder="1" applyAlignment="1">
      <alignment horizontal="left" vertical="center" indent="1"/>
    </xf>
    <xf numFmtId="0" fontId="57" fillId="29" borderId="0" xfId="0" applyFont="1" applyFill="1" applyAlignment="1">
      <alignment horizontal="center" vertical="center"/>
    </xf>
    <xf numFmtId="0" fontId="0" fillId="26" borderId="21" xfId="0" applyFill="1" applyBorder="1"/>
    <xf numFmtId="0" fontId="73" fillId="0" borderId="0" xfId="0" applyFont="1"/>
    <xf numFmtId="0" fontId="73" fillId="0" borderId="0" xfId="0" applyFont="1" applyAlignment="1">
      <alignment horizontal="left"/>
    </xf>
    <xf numFmtId="0" fontId="54" fillId="33" borderId="0" xfId="0" applyFont="1" applyFill="1"/>
    <xf numFmtId="0" fontId="0" fillId="33" borderId="0" xfId="0" applyFill="1"/>
    <xf numFmtId="0" fontId="57" fillId="33" borderId="0" xfId="0" applyFont="1" applyFill="1" applyAlignment="1">
      <alignment vertical="center"/>
    </xf>
    <xf numFmtId="0" fontId="57" fillId="0" borderId="0" xfId="0" applyFont="1" applyAlignment="1">
      <alignment vertical="center"/>
    </xf>
    <xf numFmtId="0" fontId="64" fillId="0" borderId="0" xfId="0" applyFont="1" applyAlignment="1">
      <alignment horizontal="left" vertical="center" readingOrder="1"/>
    </xf>
    <xf numFmtId="0" fontId="74" fillId="0" borderId="21" xfId="343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61" fillId="27" borderId="21" xfId="0" applyFont="1" applyFill="1" applyBorder="1"/>
    <xf numFmtId="0" fontId="61" fillId="25" borderId="21" xfId="0" applyFont="1" applyFill="1" applyBorder="1"/>
    <xf numFmtId="0" fontId="0" fillId="26" borderId="21" xfId="0" applyFill="1" applyBorder="1" applyAlignment="1">
      <alignment horizontal="center" vertical="center"/>
    </xf>
    <xf numFmtId="0" fontId="61" fillId="26" borderId="21" xfId="0" applyFont="1" applyFill="1" applyBorder="1"/>
    <xf numFmtId="0" fontId="0" fillId="26" borderId="21" xfId="0" applyFill="1" applyBorder="1" applyAlignment="1">
      <alignment horizontal="left"/>
    </xf>
    <xf numFmtId="0" fontId="66" fillId="0" borderId="22" xfId="0" applyFont="1" applyBorder="1" applyAlignment="1">
      <alignment horizontal="center" vertical="center"/>
    </xf>
    <xf numFmtId="0" fontId="66" fillId="0" borderId="23" xfId="0" applyFont="1" applyBorder="1" applyAlignment="1">
      <alignment horizontal="center" vertical="center"/>
    </xf>
    <xf numFmtId="0" fontId="66" fillId="0" borderId="24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wrapText="1"/>
    </xf>
    <xf numFmtId="0" fontId="65" fillId="0" borderId="23" xfId="0" applyFont="1" applyBorder="1" applyAlignment="1">
      <alignment horizontal="center" vertical="center" wrapText="1"/>
    </xf>
    <xf numFmtId="0" fontId="65" fillId="0" borderId="24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7" fillId="25" borderId="0" xfId="0" applyFont="1" applyFill="1" applyAlignment="1">
      <alignment horizontal="center" vertical="center"/>
    </xf>
    <xf numFmtId="0" fontId="54" fillId="29" borderId="0" xfId="0" applyFont="1" applyFill="1" applyAlignment="1">
      <alignment horizontal="center" vertical="center"/>
    </xf>
    <xf numFmtId="0" fontId="54" fillId="0" borderId="19" xfId="0" applyFont="1" applyBorder="1" applyAlignment="1">
      <alignment horizontal="center"/>
    </xf>
    <xf numFmtId="0" fontId="54" fillId="0" borderId="20" xfId="0" applyFont="1" applyBorder="1" applyAlignment="1">
      <alignment horizontal="center"/>
    </xf>
    <xf numFmtId="0" fontId="54" fillId="0" borderId="16" xfId="0" applyFont="1" applyBorder="1" applyAlignment="1">
      <alignment horizontal="center"/>
    </xf>
    <xf numFmtId="0" fontId="73" fillId="25" borderId="0" xfId="0" applyFont="1" applyFill="1" applyAlignment="1">
      <alignment horizontal="center" vertical="center" wrapText="1"/>
    </xf>
    <xf numFmtId="0" fontId="73" fillId="28" borderId="0" xfId="0" applyFont="1" applyFill="1" applyAlignment="1">
      <alignment horizontal="center" vertical="center" wrapText="1"/>
    </xf>
    <xf numFmtId="0" fontId="54" fillId="25" borderId="0" xfId="0" applyFont="1" applyFill="1" applyAlignment="1">
      <alignment horizontal="center"/>
    </xf>
    <xf numFmtId="0" fontId="54" fillId="29" borderId="0" xfId="0" applyFont="1" applyFill="1" applyAlignment="1">
      <alignment horizontal="center"/>
    </xf>
    <xf numFmtId="0" fontId="54" fillId="27" borderId="0" xfId="0" applyFont="1" applyFill="1" applyAlignment="1">
      <alignment horizontal="center"/>
    </xf>
    <xf numFmtId="0" fontId="52" fillId="0" borderId="0" xfId="0" applyFont="1" applyAlignment="1">
      <alignment horizontal="center" vertical="center"/>
    </xf>
    <xf numFmtId="0" fontId="54" fillId="28" borderId="0" xfId="0" applyFont="1" applyFill="1" applyAlignment="1">
      <alignment horizontal="center" vertical="center"/>
    </xf>
    <xf numFmtId="0" fontId="54" fillId="29" borderId="17" xfId="0" applyFont="1" applyFill="1" applyBorder="1" applyAlignment="1">
      <alignment horizontal="center"/>
    </xf>
    <xf numFmtId="0" fontId="53" fillId="25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2" fillId="0" borderId="0" xfId="0" applyFont="1" applyAlignment="1">
      <alignment horizontal="left"/>
    </xf>
    <xf numFmtId="0" fontId="54" fillId="25" borderId="0" xfId="0" applyFont="1" applyFill="1" applyAlignment="1">
      <alignment horizontal="center" vertical="center"/>
    </xf>
    <xf numFmtId="0" fontId="52" fillId="0" borderId="11" xfId="0" applyFont="1" applyBorder="1" applyAlignment="1">
      <alignment horizontal="center"/>
    </xf>
    <xf numFmtId="0" fontId="52" fillId="0" borderId="17" xfId="0" applyFont="1" applyBorder="1" applyAlignment="1">
      <alignment horizontal="center"/>
    </xf>
    <xf numFmtId="0" fontId="52" fillId="0" borderId="18" xfId="0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0" fontId="52" fillId="0" borderId="14" xfId="0" applyFont="1" applyBorder="1" applyAlignment="1">
      <alignment horizontal="center"/>
    </xf>
  </cellXfs>
  <cellStyles count="1353">
    <cellStyle name="20% - Accent1 2" xfId="1" xr:uid="{DEA3A80C-86C7-40F8-97CC-E233E9043351}"/>
    <cellStyle name="20% - Accent1 2 2" xfId="2" xr:uid="{26C7D2A3-BE8F-4B26-AC4E-7FA09F14312F}"/>
    <cellStyle name="20% - Accent2 2" xfId="3" xr:uid="{22AF872B-B0AC-4DEF-96A9-54B16D36E15F}"/>
    <cellStyle name="20% - Accent2 2 2" xfId="4" xr:uid="{5188B1D0-2088-4BBA-BF1C-94003D65F9E4}"/>
    <cellStyle name="20% - Accent3 2" xfId="5" xr:uid="{DCE0DB59-6A52-4FB0-B465-67D99FF19379}"/>
    <cellStyle name="20% - Accent3 2 2" xfId="6" xr:uid="{7E7DE338-B1E9-4663-B426-EE8E997B33AD}"/>
    <cellStyle name="20% - Accent4 2" xfId="7" xr:uid="{BF66CF18-F35D-4920-87DA-C5BD653384FD}"/>
    <cellStyle name="20% - Accent4 2 2" xfId="8" xr:uid="{B2E568EA-127A-4512-905E-47B38162F937}"/>
    <cellStyle name="20% - Accent5 2" xfId="9" xr:uid="{4F4C643C-2A16-4967-A24F-821167B11604}"/>
    <cellStyle name="20% - Accent5 2 2" xfId="10" xr:uid="{3C1F7F4F-21CD-4A43-9426-13EE66F66EBA}"/>
    <cellStyle name="20% - Accent6 2" xfId="11" xr:uid="{3BB9F53C-888F-456E-B595-D17AB1D17699}"/>
    <cellStyle name="20% - Accent6 2 2" xfId="12" xr:uid="{664C4D03-ADA8-40C8-8F6D-2AFB1DC0BAA4}"/>
    <cellStyle name="20% - アクセント 1" xfId="13" xr:uid="{4512C5B7-23D4-4164-8EB4-7D162D811EDB}"/>
    <cellStyle name="20% - アクセント 1 2" xfId="14" xr:uid="{7C18A2DE-29AB-47E9-B3BF-C0D74915D42A}"/>
    <cellStyle name="20% - アクセント 1 2 2" xfId="15" xr:uid="{F4702759-B408-44B9-A136-D7945B8E06A5}"/>
    <cellStyle name="20% - アクセント 1 2 3" xfId="16" xr:uid="{AFB070F5-836F-4BFA-BDDC-8CF0016F9BFD}"/>
    <cellStyle name="20% - アクセント 1 2 4" xfId="17" xr:uid="{A8C9FE72-1AF0-4CF6-8BAC-0FDF802C1497}"/>
    <cellStyle name="20% - アクセント 1 2 5" xfId="18" xr:uid="{1A2B154F-8B41-4B01-91E5-2820169E2186}"/>
    <cellStyle name="20% - アクセント 1 2 6" xfId="19" xr:uid="{0348B53C-A571-44E2-ACB5-4DC011652C8E}"/>
    <cellStyle name="20% - アクセント 1 2 7" xfId="20" xr:uid="{E45F900F-0510-48BC-8D11-C57821EC8ED8}"/>
    <cellStyle name="20% - アクセント 1 2 8" xfId="21" xr:uid="{A609AF59-0ACF-4C46-9764-CFE6F0147194}"/>
    <cellStyle name="20% - アクセント 1 2 9" xfId="22" xr:uid="{38513669-D0B4-4CEC-831A-62AEDB6FF3D7}"/>
    <cellStyle name="20% - アクセント 1 3" xfId="23" xr:uid="{18FF4B68-C066-418B-8382-0A7BAA3C41A7}"/>
    <cellStyle name="20% - アクセント 1 4" xfId="24" xr:uid="{90854D1B-EBDA-4ADA-922E-FF0A609CD00C}"/>
    <cellStyle name="20% - アクセント 1 5" xfId="25" xr:uid="{6863ACA7-8E44-424F-9382-FC3D92CB4233}"/>
    <cellStyle name="20% - アクセント 1 6" xfId="26" xr:uid="{B298B583-6C98-44DD-8690-2CC9313B71BD}"/>
    <cellStyle name="20% - アクセント 1 7" xfId="27" xr:uid="{158EAF2A-ABFE-4062-93FA-7A54F5D6DC4D}"/>
    <cellStyle name="20% - アクセント 1 8" xfId="28" xr:uid="{8E324858-1EB6-4142-8E5C-7169F8B291AF}"/>
    <cellStyle name="20% - アクセント 1 9" xfId="29" xr:uid="{33372648-3B49-46CE-AF14-B9B255F79089}"/>
    <cellStyle name="20% - アクセント 2" xfId="30" xr:uid="{9CD2B9F0-D180-48D3-ABF0-E8EC01C692D6}"/>
    <cellStyle name="20% - アクセント 2 2" xfId="31" xr:uid="{31CDB575-6389-4116-9C0D-D0A99463246F}"/>
    <cellStyle name="20% - アクセント 2 2 2" xfId="32" xr:uid="{E55F44C2-B2B7-4C96-A3D8-D9B9ECFCB922}"/>
    <cellStyle name="20% - アクセント 2 2 3" xfId="33" xr:uid="{BFCAFF96-3541-4B17-92CC-CB43200BC801}"/>
    <cellStyle name="20% - アクセント 2 2 4" xfId="34" xr:uid="{C3E06805-0616-4A37-BF37-9DEEF9B0AC25}"/>
    <cellStyle name="20% - アクセント 2 2 5" xfId="35" xr:uid="{444D2320-567B-42C3-BD97-3345364913E6}"/>
    <cellStyle name="20% - アクセント 2 2 6" xfId="36" xr:uid="{F71E866B-10C5-4953-B5CA-EFAB0F71EA39}"/>
    <cellStyle name="20% - アクセント 2 2 7" xfId="37" xr:uid="{65DF4D2F-A660-4110-BA5A-BC76EA448493}"/>
    <cellStyle name="20% - アクセント 2 2 8" xfId="38" xr:uid="{B4A38532-FB58-4289-93F8-14AE111BA13F}"/>
    <cellStyle name="20% - アクセント 2 2 9" xfId="39" xr:uid="{0F5375C4-011B-4A33-8515-227DF31F99E7}"/>
    <cellStyle name="20% - アクセント 2 3" xfId="40" xr:uid="{D29E8F42-F935-4DC7-99F0-6E40052E3D54}"/>
    <cellStyle name="20% - アクセント 2 4" xfId="41" xr:uid="{7AC762A7-F08E-4F21-AB19-A2EDCD864E1C}"/>
    <cellStyle name="20% - アクセント 2 5" xfId="42" xr:uid="{A2287604-08ED-4703-A47F-07753693F3C0}"/>
    <cellStyle name="20% - アクセント 2 6" xfId="43" xr:uid="{4E238B20-7EC2-4AD8-821C-C6D942C01278}"/>
    <cellStyle name="20% - アクセント 2 7" xfId="44" xr:uid="{A8BE0DA9-11AA-44BB-A62C-91E536878560}"/>
    <cellStyle name="20% - アクセント 2 8" xfId="45" xr:uid="{E7174A44-FE5D-41D7-AD2B-60EA5D6E648A}"/>
    <cellStyle name="20% - アクセント 2 9" xfId="46" xr:uid="{48430913-0021-40E1-9DBE-685DA199FAFE}"/>
    <cellStyle name="20% - アクセント 3" xfId="47" xr:uid="{8927B3DD-86A2-46CA-A48D-70BD50D216E7}"/>
    <cellStyle name="20% - アクセント 3 2" xfId="48" xr:uid="{7386B23A-A1B1-40AD-BCD1-B4F2AB341B5D}"/>
    <cellStyle name="20% - アクセント 3 2 2" xfId="49" xr:uid="{6148E95C-7442-46BD-99CE-0C79FBB5BDF7}"/>
    <cellStyle name="20% - アクセント 3 2 3" xfId="50" xr:uid="{39D0282B-5B0C-4557-9E85-CECA6ED73C5F}"/>
    <cellStyle name="20% - アクセント 3 2 4" xfId="51" xr:uid="{1BBAC2D7-9BDD-420E-82E2-2F5BB227C8F0}"/>
    <cellStyle name="20% - アクセント 3 2 5" xfId="52" xr:uid="{2076A59E-E7D7-4441-9CE7-63217BE035FB}"/>
    <cellStyle name="20% - アクセント 3 2 6" xfId="53" xr:uid="{2700B775-38B4-48A0-A64A-B0DE32E3AFA0}"/>
    <cellStyle name="20% - アクセント 3 2 7" xfId="54" xr:uid="{1A8860F6-8B73-4194-ADFA-4F7C7CCB4007}"/>
    <cellStyle name="20% - アクセント 3 2 8" xfId="55" xr:uid="{421640A7-E243-4CA4-8548-6AC3C84201E3}"/>
    <cellStyle name="20% - アクセント 3 2 9" xfId="56" xr:uid="{77371112-93E8-41E5-AC53-D6B6226AA407}"/>
    <cellStyle name="20% - アクセント 3 3" xfId="57" xr:uid="{DE3D7C41-F4E3-49BC-8D27-C338EFB7B9DB}"/>
    <cellStyle name="20% - アクセント 3 4" xfId="58" xr:uid="{2FC752C1-0A2B-4F9F-9D25-CE526185EDF7}"/>
    <cellStyle name="20% - アクセント 3 5" xfId="59" xr:uid="{01065A2C-28EF-4910-9F07-3E3B698F4388}"/>
    <cellStyle name="20% - アクセント 3 6" xfId="60" xr:uid="{12F32DB9-A2E4-4330-B73A-1AD63AF6219C}"/>
    <cellStyle name="20% - アクセント 3 7" xfId="61" xr:uid="{4B8BA677-48D9-4B3A-A5A4-E3F40A901650}"/>
    <cellStyle name="20% - アクセント 3 8" xfId="62" xr:uid="{A71969EC-2815-4277-A27D-620B0376A5D1}"/>
    <cellStyle name="20% - アクセント 3 9" xfId="63" xr:uid="{7450DF38-E3D0-49F4-BE28-8237413EE1CB}"/>
    <cellStyle name="20% - アクセント 4" xfId="64" xr:uid="{979B4A5D-9252-4C6A-AB37-3A217164D53F}"/>
    <cellStyle name="20% - アクセント 4 2" xfId="65" xr:uid="{E989E6E6-15D1-42E3-B292-FF888419E4E6}"/>
    <cellStyle name="20% - アクセント 4 2 2" xfId="66" xr:uid="{0CE89C34-10D7-4F91-9200-31A9E469DC72}"/>
    <cellStyle name="20% - アクセント 4 2 3" xfId="67" xr:uid="{74C517BA-8478-485F-9EA5-CD4FC1A71779}"/>
    <cellStyle name="20% - アクセント 4 2 4" xfId="68" xr:uid="{90F85E28-7F79-445F-BBDB-3C5697B62DCC}"/>
    <cellStyle name="20% - アクセント 4 2 5" xfId="69" xr:uid="{456D3422-D033-482F-A72C-42A4A67F664D}"/>
    <cellStyle name="20% - アクセント 4 2 6" xfId="70" xr:uid="{A6042CEA-C08C-4D09-93F6-A68EDF2F87CD}"/>
    <cellStyle name="20% - アクセント 4 2 7" xfId="71" xr:uid="{9313AB71-60A1-44DD-977A-3ABAE6BC1B03}"/>
    <cellStyle name="20% - アクセント 4 2 8" xfId="72" xr:uid="{EF6E10DE-FBC6-4969-8CE9-B90072B23B11}"/>
    <cellStyle name="20% - アクセント 4 2 9" xfId="73" xr:uid="{E0DD8F49-4E67-4164-9041-54DB6C353EB7}"/>
    <cellStyle name="20% - アクセント 4 3" xfId="74" xr:uid="{1CC3E60A-FF6E-4F40-A09E-B166EB7F5589}"/>
    <cellStyle name="20% - アクセント 4 4" xfId="75" xr:uid="{8FA99F26-65C3-4862-ADE5-0A75CEC30CE6}"/>
    <cellStyle name="20% - アクセント 4 5" xfId="76" xr:uid="{D8B90F3F-8D55-434E-A2C8-444A406953D2}"/>
    <cellStyle name="20% - アクセント 4 6" xfId="77" xr:uid="{BE546590-9910-44DE-90FC-64E97486ECF5}"/>
    <cellStyle name="20% - アクセント 4 7" xfId="78" xr:uid="{4ECE0C86-66A3-4E6E-9A53-BEAF4DD186E4}"/>
    <cellStyle name="20% - アクセント 4 8" xfId="79" xr:uid="{B6ABEE90-BAF2-4D79-B6DA-9BAB4C79C95B}"/>
    <cellStyle name="20% - アクセント 4 9" xfId="80" xr:uid="{4E4E96D5-51D6-4989-95AC-359E7CF5AB54}"/>
    <cellStyle name="20% - アクセント 5" xfId="81" xr:uid="{16BC37EB-53A4-4E57-83FD-2E9A48750645}"/>
    <cellStyle name="20% - アクセント 5 2" xfId="82" xr:uid="{9E406D57-EBCA-439F-90F8-4D1A5E366D39}"/>
    <cellStyle name="20% - アクセント 5 2 2" xfId="83" xr:uid="{3665AD4F-A2EC-4247-8570-221D267FF32A}"/>
    <cellStyle name="20% - アクセント 5 2 3" xfId="84" xr:uid="{1F48D0D4-FF2B-4135-9785-ADBC5CFD13C2}"/>
    <cellStyle name="20% - アクセント 5 2 4" xfId="85" xr:uid="{1FF804DA-7DC6-4180-A27C-E44BB1B55C8C}"/>
    <cellStyle name="20% - アクセント 5 2 5" xfId="86" xr:uid="{4BFFA8C9-8062-41D2-8E9F-62F241CEC588}"/>
    <cellStyle name="20% - アクセント 5 2 6" xfId="87" xr:uid="{0E756EF0-C277-461B-8EC1-1410276E370B}"/>
    <cellStyle name="20% - アクセント 5 2 7" xfId="88" xr:uid="{F79EDF44-5541-4F14-9598-F57A008A194C}"/>
    <cellStyle name="20% - アクセント 5 2 8" xfId="89" xr:uid="{CB319173-A067-4D61-B31A-EE22348A7574}"/>
    <cellStyle name="20% - アクセント 5 2 9" xfId="90" xr:uid="{67E159A7-F443-4C0F-9BFC-50407EFD24A4}"/>
    <cellStyle name="20% - アクセント 5 3" xfId="91" xr:uid="{2FD911E6-9804-4ADB-A34E-DF865C8DC6AC}"/>
    <cellStyle name="20% - アクセント 5 4" xfId="92" xr:uid="{4D50D87A-6973-4C91-B6FB-2AC7619D3568}"/>
    <cellStyle name="20% - アクセント 5 5" xfId="93" xr:uid="{FA15545D-EEE4-411C-B006-8862E9E6F2DC}"/>
    <cellStyle name="20% - アクセント 5 6" xfId="94" xr:uid="{3BE1ED89-3A8D-4DA5-8147-699CE0DBD793}"/>
    <cellStyle name="20% - アクセント 5 7" xfId="95" xr:uid="{8717D213-D5AD-48A0-BE9D-22F37C840E3F}"/>
    <cellStyle name="20% - アクセント 5 8" xfId="96" xr:uid="{CB22D493-CA30-4AE8-88E4-72616ACEC17A}"/>
    <cellStyle name="20% - アクセント 5 9" xfId="97" xr:uid="{68B06212-322B-4A88-9845-61133F56E2AD}"/>
    <cellStyle name="20% - アクセント 6" xfId="98" xr:uid="{3C473092-1021-46FD-8278-71FB95511767}"/>
    <cellStyle name="20% - アクセント 6 2" xfId="99" xr:uid="{92713E83-993C-4E58-BE11-FFFE680903AF}"/>
    <cellStyle name="20% - アクセント 6 2 2" xfId="100" xr:uid="{3857F093-7519-455E-B1C2-3A33B2C0608A}"/>
    <cellStyle name="20% - アクセント 6 2 3" xfId="101" xr:uid="{BD9E0DA6-D3E6-40A9-BE40-5C5CA706FDAD}"/>
    <cellStyle name="20% - アクセント 6 2 4" xfId="102" xr:uid="{EB315782-83D8-4ED8-8C26-5C0B4BCF032E}"/>
    <cellStyle name="20% - アクセント 6 2 5" xfId="103" xr:uid="{C3D6C167-A7AE-411D-9A6F-A244A95DDBE1}"/>
    <cellStyle name="20% - アクセント 6 2 6" xfId="104" xr:uid="{794D99F3-3093-4E17-8FCB-153479B8C196}"/>
    <cellStyle name="20% - アクセント 6 2 7" xfId="105" xr:uid="{00BDF378-1CCD-44EA-9BFF-884EE4922C7E}"/>
    <cellStyle name="20% - アクセント 6 2 8" xfId="106" xr:uid="{E20FE746-199F-4B5D-A574-C789883C94F3}"/>
    <cellStyle name="20% - アクセント 6 2 9" xfId="107" xr:uid="{652758AA-D58C-4678-8E9B-4D664DCBC950}"/>
    <cellStyle name="20% - アクセント 6 3" xfId="108" xr:uid="{DFB7565B-6C26-4AF6-97F2-4335FC5C68A2}"/>
    <cellStyle name="20% - アクセント 6 4" xfId="109" xr:uid="{FFE5DC00-BC0B-428F-8718-7484A46AC601}"/>
    <cellStyle name="20% - アクセント 6 5" xfId="110" xr:uid="{804489EC-C255-4945-8D2C-E99750A73B28}"/>
    <cellStyle name="20% - アクセント 6 6" xfId="111" xr:uid="{2E9A8577-B0BA-45EA-A530-CC28769B4624}"/>
    <cellStyle name="20% - アクセント 6 7" xfId="112" xr:uid="{3145D2B2-6937-42D2-9CB0-1D6D4A9CB4D3}"/>
    <cellStyle name="20% - アクセント 6 8" xfId="113" xr:uid="{08EA756A-ACFD-4AD9-8759-1ED988C9A16A}"/>
    <cellStyle name="20% - アクセント 6 9" xfId="114" xr:uid="{38171CF7-988C-4704-B61E-0A5B2C186011}"/>
    <cellStyle name="40% - Accent1 2" xfId="115" xr:uid="{7FD9B523-AA98-4A18-BF70-3F791D1CDBF9}"/>
    <cellStyle name="40% - Accent1 2 2" xfId="116" xr:uid="{3085D3E5-CC92-49C1-80B5-271A12A865CA}"/>
    <cellStyle name="40% - Accent2 2" xfId="117" xr:uid="{9D5A9C6F-1FEF-41ED-8CFA-75606A71EBEB}"/>
    <cellStyle name="40% - Accent2 2 2" xfId="118" xr:uid="{AA512F99-2BB3-4BC1-94AF-173187491C82}"/>
    <cellStyle name="40% - Accent3 2" xfId="119" xr:uid="{EE2832C7-8D53-4B44-B464-694E1A674C1F}"/>
    <cellStyle name="40% - Accent3 2 2" xfId="120" xr:uid="{91B8DC75-935B-4EC5-AB91-E9B539294231}"/>
    <cellStyle name="40% - Accent4 2" xfId="121" xr:uid="{C98EA8BF-48C2-4ED7-841F-1A8CA6CAC8C3}"/>
    <cellStyle name="40% - Accent4 2 2" xfId="122" xr:uid="{C5ACDB81-3ED5-47C2-85B1-5CB7AF278F20}"/>
    <cellStyle name="40% - Accent5 2" xfId="123" xr:uid="{CD09EF85-4647-4514-973A-E86D03AC002F}"/>
    <cellStyle name="40% - Accent5 2 2" xfId="124" xr:uid="{F9517562-DEA2-4A20-A550-5E7670B48DDC}"/>
    <cellStyle name="40% - Accent6 2" xfId="125" xr:uid="{23786D98-732B-4703-A9A7-03D959A06D8B}"/>
    <cellStyle name="40% - Accent6 2 2" xfId="126" xr:uid="{F7D55D1C-6FAC-40EE-8915-6A0019FA7BB7}"/>
    <cellStyle name="40% - アクセント 1" xfId="127" xr:uid="{723DC8B1-D04E-4B38-8D29-315E7150E52F}"/>
    <cellStyle name="40% - アクセント 1 2" xfId="128" xr:uid="{D52D9771-1A42-460A-9722-A0B12A066E58}"/>
    <cellStyle name="40% - アクセント 1 2 2" xfId="129" xr:uid="{E8245BEF-16BC-4E77-9A6F-C16ACE2410D9}"/>
    <cellStyle name="40% - アクセント 1 2 3" xfId="130" xr:uid="{E7D8B953-0287-4C90-8E50-E721762AE1B7}"/>
    <cellStyle name="40% - アクセント 1 2 4" xfId="131" xr:uid="{18271E71-60D7-461F-8737-9437F2D2323F}"/>
    <cellStyle name="40% - アクセント 1 2 5" xfId="132" xr:uid="{D62DAFCE-C083-4D42-A293-983E1E65FF25}"/>
    <cellStyle name="40% - アクセント 1 2 6" xfId="133" xr:uid="{E014DCA2-1EDB-4032-AFBC-B251AAA6F7BB}"/>
    <cellStyle name="40% - アクセント 1 2 7" xfId="134" xr:uid="{0C259B09-D742-426C-A56D-C94EB650132D}"/>
    <cellStyle name="40% - アクセント 1 2 8" xfId="135" xr:uid="{FB2C44AB-DC54-4EB0-BD4B-0AC5F40A7161}"/>
    <cellStyle name="40% - アクセント 1 2 9" xfId="136" xr:uid="{9D9514F7-3BC0-4376-9058-234B9FE438C6}"/>
    <cellStyle name="40% - アクセント 1 3" xfId="137" xr:uid="{ACADD897-24D7-425A-A12C-C36AA4E7C8E9}"/>
    <cellStyle name="40% - アクセント 1 4" xfId="138" xr:uid="{0807AB28-7271-4390-A6DC-2C1AEB9D5955}"/>
    <cellStyle name="40% - アクセント 1 5" xfId="139" xr:uid="{6E3AA169-F493-4FF1-8BFC-0AD47A5169AB}"/>
    <cellStyle name="40% - アクセント 1 6" xfId="140" xr:uid="{F7DA6DCC-D3A3-4FC5-8D4C-A7AD452EFDF5}"/>
    <cellStyle name="40% - アクセント 1 7" xfId="141" xr:uid="{8CE722FC-173C-404F-B0A6-25B2B761FAFB}"/>
    <cellStyle name="40% - アクセント 1 8" xfId="142" xr:uid="{EABF2B68-52A3-4C48-8480-6E902F6571C3}"/>
    <cellStyle name="40% - アクセント 1 9" xfId="143" xr:uid="{BF173B6E-5A89-4C17-BE4D-B85B56AC7F99}"/>
    <cellStyle name="40% - アクセント 2" xfId="144" xr:uid="{C0BD4307-3BBB-4741-BD8E-9DB4862C0CBB}"/>
    <cellStyle name="40% - アクセント 2 2" xfId="145" xr:uid="{D04EC798-DDC6-4AAA-B72A-C6B27AF764EE}"/>
    <cellStyle name="40% - アクセント 2 2 2" xfId="146" xr:uid="{EB22CD58-E927-4BF1-9E1B-033227DCB3AF}"/>
    <cellStyle name="40% - アクセント 2 2 3" xfId="147" xr:uid="{476C6897-7D58-4399-BF46-A52305785C7B}"/>
    <cellStyle name="40% - アクセント 2 2 4" xfId="148" xr:uid="{25EE15F9-B0B6-4E99-B6CC-705C90D2596E}"/>
    <cellStyle name="40% - アクセント 2 2 5" xfId="149" xr:uid="{3C16E826-FD3C-481E-9C73-A36EE7FAFE1F}"/>
    <cellStyle name="40% - アクセント 2 2 6" xfId="150" xr:uid="{BE4F5DA5-69EC-4AB5-8D90-A95DE6F5B112}"/>
    <cellStyle name="40% - アクセント 2 2 7" xfId="151" xr:uid="{53150F67-0815-44B8-9CA5-ACBAAE105E02}"/>
    <cellStyle name="40% - アクセント 2 2 8" xfId="152" xr:uid="{2CB64503-8CDE-4B6F-B17D-FADEED263CAA}"/>
    <cellStyle name="40% - アクセント 2 2 9" xfId="153" xr:uid="{F38CB1A8-9455-4BE4-B9B9-B27F1AB18A1B}"/>
    <cellStyle name="40% - アクセント 2 3" xfId="154" xr:uid="{0AC63368-8A9A-4D82-B1E1-CF207ECD92C2}"/>
    <cellStyle name="40% - アクセント 2 4" xfId="155" xr:uid="{DB8004F2-A3F1-4DB7-BC0F-9F2A086AC9C3}"/>
    <cellStyle name="40% - アクセント 2 5" xfId="156" xr:uid="{A538E140-EAF9-43AD-9E28-222F98F8CE67}"/>
    <cellStyle name="40% - アクセント 2 6" xfId="157" xr:uid="{9EBA116C-05F3-4444-B017-9FC0A713C583}"/>
    <cellStyle name="40% - アクセント 2 7" xfId="158" xr:uid="{C65BC04E-4DEC-430F-8C27-74F28EA0DF8B}"/>
    <cellStyle name="40% - アクセント 2 8" xfId="159" xr:uid="{6FC9A329-5C8E-4D15-9B6A-E804CD8EA444}"/>
    <cellStyle name="40% - アクセント 2 9" xfId="160" xr:uid="{0BD62B03-1228-45B8-B7EE-566C08048A2B}"/>
    <cellStyle name="40% - アクセント 3" xfId="161" xr:uid="{F911CF4D-4A4C-4E2B-A607-3D30D9C405E8}"/>
    <cellStyle name="40% - アクセント 3 2" xfId="162" xr:uid="{9FD7BA6A-8FF0-4C92-B7B0-BD5C1E88A08C}"/>
    <cellStyle name="40% - アクセント 3 2 2" xfId="163" xr:uid="{B0ACD667-19C3-478A-AD9F-DFE062403613}"/>
    <cellStyle name="40% - アクセント 3 2 3" xfId="164" xr:uid="{79C653E3-3A2C-440D-9FC7-4E94DC360591}"/>
    <cellStyle name="40% - アクセント 3 2 4" xfId="165" xr:uid="{7475992F-AA20-4698-86B4-EF54CB683119}"/>
    <cellStyle name="40% - アクセント 3 2 5" xfId="166" xr:uid="{20981EE1-68F1-4EC8-B7FB-1A90832A52F0}"/>
    <cellStyle name="40% - アクセント 3 2 6" xfId="167" xr:uid="{98B83974-2249-47C4-BDF5-93B656590AC1}"/>
    <cellStyle name="40% - アクセント 3 2 7" xfId="168" xr:uid="{CEC0CC84-EB95-4BB8-9250-8974D8781156}"/>
    <cellStyle name="40% - アクセント 3 2 8" xfId="169" xr:uid="{5361871A-8B69-4F88-AEBA-A2D4397A1464}"/>
    <cellStyle name="40% - アクセント 3 2 9" xfId="170" xr:uid="{DD8F5CA3-C200-4ACE-BCD2-33B7B5DAF619}"/>
    <cellStyle name="40% - アクセント 3 3" xfId="171" xr:uid="{AB1BA684-925C-4C0D-8D8E-D8106F924BD9}"/>
    <cellStyle name="40% - アクセント 3 4" xfId="172" xr:uid="{F76970B9-B1FB-4114-9740-AA26F1F36B21}"/>
    <cellStyle name="40% - アクセント 3 5" xfId="173" xr:uid="{98D29C34-62B8-48A9-BDEB-5C548647327B}"/>
    <cellStyle name="40% - アクセント 3 6" xfId="174" xr:uid="{F0F1D27F-BA1B-4FE6-8AE1-CAFC10A75F38}"/>
    <cellStyle name="40% - アクセント 3 7" xfId="175" xr:uid="{B00051DD-D2FA-4DB0-8D06-4FC94B324E32}"/>
    <cellStyle name="40% - アクセント 3 8" xfId="176" xr:uid="{A0932AC2-40F7-4121-8FEC-51A786FEB8E0}"/>
    <cellStyle name="40% - アクセント 3 9" xfId="177" xr:uid="{DFEB8970-1176-4109-8E8D-7B72A4C88B8E}"/>
    <cellStyle name="40% - アクセント 4" xfId="178" xr:uid="{00FE7EDF-6930-41DC-BB36-7BD60977D944}"/>
    <cellStyle name="40% - アクセント 4 2" xfId="179" xr:uid="{8EA2709C-A2CB-4067-AE6C-08B07B58F74B}"/>
    <cellStyle name="40% - アクセント 4 2 2" xfId="180" xr:uid="{AF1C851E-E11C-447A-8937-23FC02F2D915}"/>
    <cellStyle name="40% - アクセント 4 2 3" xfId="181" xr:uid="{60D8680B-8F67-420D-BE8A-41BCBDC07267}"/>
    <cellStyle name="40% - アクセント 4 2 4" xfId="182" xr:uid="{AF8BD65C-CE99-4115-9061-6D725D9FFBC4}"/>
    <cellStyle name="40% - アクセント 4 2 5" xfId="183" xr:uid="{646C45D5-C1A6-4FDE-82F4-4084E34B242C}"/>
    <cellStyle name="40% - アクセント 4 2 6" xfId="184" xr:uid="{7D2E2D54-F580-494A-B639-5B1355D09215}"/>
    <cellStyle name="40% - アクセント 4 2 7" xfId="185" xr:uid="{2E90D898-2DF7-4919-A220-2D833A2709EB}"/>
    <cellStyle name="40% - アクセント 4 2 8" xfId="186" xr:uid="{A44E259F-ADB6-48DB-8277-A5299B2A5075}"/>
    <cellStyle name="40% - アクセント 4 2 9" xfId="187" xr:uid="{2B244891-C56E-41B1-8D17-9A2F701D9C3A}"/>
    <cellStyle name="40% - アクセント 4 3" xfId="188" xr:uid="{52F25A9B-3277-42D3-8D8C-8CEEB1B903B6}"/>
    <cellStyle name="40% - アクセント 4 4" xfId="189" xr:uid="{6AAB9505-4DC4-42D8-B7A4-9639F3E28773}"/>
    <cellStyle name="40% - アクセント 4 5" xfId="190" xr:uid="{E771C7D1-40FD-4DED-BBE3-D299C7BD29C3}"/>
    <cellStyle name="40% - アクセント 4 6" xfId="191" xr:uid="{266DAF60-C94D-4093-9964-32709EC6586D}"/>
    <cellStyle name="40% - アクセント 4 7" xfId="192" xr:uid="{B4400BA1-1126-4D54-BF3E-17E49472E7E8}"/>
    <cellStyle name="40% - アクセント 4 8" xfId="193" xr:uid="{161F638E-C848-49DB-A262-55E2AAC88A17}"/>
    <cellStyle name="40% - アクセント 4 9" xfId="194" xr:uid="{B9554366-F778-4FD9-863E-CEDB12B67BFC}"/>
    <cellStyle name="40% - アクセント 5" xfId="195" xr:uid="{09700E89-A1B5-489D-8525-6A9282AE7910}"/>
    <cellStyle name="40% - アクセント 5 2" xfId="196" xr:uid="{3E22B7B2-98B9-4167-A2B7-39A974E46A84}"/>
    <cellStyle name="40% - アクセント 5 2 2" xfId="197" xr:uid="{97A7CDDC-05A4-4D0A-8A82-D347B2E2F042}"/>
    <cellStyle name="40% - アクセント 5 2 3" xfId="198" xr:uid="{42183672-815F-4A7B-925F-D46B3594D0FE}"/>
    <cellStyle name="40% - アクセント 5 2 4" xfId="199" xr:uid="{B57FB707-7955-4826-9BDA-6953676C2C2A}"/>
    <cellStyle name="40% - アクセント 5 2 5" xfId="200" xr:uid="{9B64BADE-826D-41AC-87F4-BE33DB8B5527}"/>
    <cellStyle name="40% - アクセント 5 2 6" xfId="201" xr:uid="{440CE7E2-424F-4C3A-B9B1-181CCC7FFB50}"/>
    <cellStyle name="40% - アクセント 5 2 7" xfId="202" xr:uid="{E5F5559D-259D-4B97-A79B-7DB446065902}"/>
    <cellStyle name="40% - アクセント 5 2 8" xfId="203" xr:uid="{1917E540-F621-473E-BD88-31B8D643C692}"/>
    <cellStyle name="40% - アクセント 5 2 9" xfId="204" xr:uid="{42474FDA-6D7B-4A11-B63A-1CD13A4FA850}"/>
    <cellStyle name="40% - アクセント 5 3" xfId="205" xr:uid="{BAD3EE35-D424-4F1C-8F72-88910F62A954}"/>
    <cellStyle name="40% - アクセント 5 4" xfId="206" xr:uid="{596DA8A2-2528-419F-B183-CA0D629818D2}"/>
    <cellStyle name="40% - アクセント 5 5" xfId="207" xr:uid="{77FA41EC-F3B5-492C-9FA3-1D744EA688C8}"/>
    <cellStyle name="40% - アクセント 5 6" xfId="208" xr:uid="{052E67FC-1E77-431A-A625-6F35E12A4608}"/>
    <cellStyle name="40% - アクセント 5 7" xfId="209" xr:uid="{9E7A7175-E5BD-4B5F-9E6A-D6404E0A6677}"/>
    <cellStyle name="40% - アクセント 5 8" xfId="210" xr:uid="{E4A9DA07-57B8-4D91-9646-93BB8DA7E6FE}"/>
    <cellStyle name="40% - アクセント 5 9" xfId="211" xr:uid="{7A88C783-7F4F-42A9-BD60-C49FCFE4299D}"/>
    <cellStyle name="40% - アクセント 6" xfId="212" xr:uid="{7EAEA591-C4AA-4B3E-AE3E-BC59D67AF0B2}"/>
    <cellStyle name="40% - アクセント 6 2" xfId="213" xr:uid="{62C031ED-1FD0-4FFE-AFB2-175002867F0F}"/>
    <cellStyle name="40% - アクセント 6 2 2" xfId="214" xr:uid="{50A3A3C9-4261-4309-A444-64FBF69F3F43}"/>
    <cellStyle name="40% - アクセント 6 2 3" xfId="215" xr:uid="{18CFE6B5-ED9F-4C4F-8968-D6DBBC08EFD5}"/>
    <cellStyle name="40% - アクセント 6 2 4" xfId="216" xr:uid="{4B08B01C-0D23-402C-9E6B-625EE88451BE}"/>
    <cellStyle name="40% - アクセント 6 2 5" xfId="217" xr:uid="{FA36CAD5-4973-49C5-9889-A43A103C2516}"/>
    <cellStyle name="40% - アクセント 6 2 6" xfId="218" xr:uid="{90343F23-9461-445B-B1F7-9AC5B49EF160}"/>
    <cellStyle name="40% - アクセント 6 2 7" xfId="219" xr:uid="{CD00D093-D796-44D3-A473-03799ED79E93}"/>
    <cellStyle name="40% - アクセント 6 2 8" xfId="220" xr:uid="{69A09236-8E41-4EC9-8F7E-3500B8411195}"/>
    <cellStyle name="40% - アクセント 6 2 9" xfId="221" xr:uid="{B41A5C12-5B1F-4BC0-8919-66BD7FA3C233}"/>
    <cellStyle name="40% - アクセント 6 3" xfId="222" xr:uid="{A782F56B-2BEC-44A1-9365-F262FDCCB389}"/>
    <cellStyle name="40% - アクセント 6 4" xfId="223" xr:uid="{27960466-8EF3-4C41-90D3-101A5A2AD076}"/>
    <cellStyle name="40% - アクセント 6 5" xfId="224" xr:uid="{1F32360A-BFC8-4C5D-A1C9-5B62E28B88F8}"/>
    <cellStyle name="40% - アクセント 6 6" xfId="225" xr:uid="{1689DA5E-E987-4893-9A67-F8F453E5CC1A}"/>
    <cellStyle name="40% - アクセント 6 7" xfId="226" xr:uid="{01FBA9BE-731E-44E7-81A3-62AA738C437C}"/>
    <cellStyle name="40% - アクセント 6 8" xfId="227" xr:uid="{5EB531A0-9B0D-47D0-A968-A2B1053FCAD0}"/>
    <cellStyle name="40% - アクセント 6 9" xfId="228" xr:uid="{15A5B4F7-D7E0-4AB4-8915-7DED1B484069}"/>
    <cellStyle name="60% - Accent1 2" xfId="229" xr:uid="{C171ACED-5860-411A-B06B-36FB64C69315}"/>
    <cellStyle name="60% - Accent2 2" xfId="230" xr:uid="{0F51666B-D2E7-4424-8C75-F78D5226299B}"/>
    <cellStyle name="60% - Accent3 2" xfId="231" xr:uid="{4ED94E80-21EF-4666-BD63-BDC5B21EFA54}"/>
    <cellStyle name="60% - Accent4 2" xfId="232" xr:uid="{7C7FD286-9C51-4168-989E-5F4B73FAAE87}"/>
    <cellStyle name="60% - Accent5 2" xfId="233" xr:uid="{F9A2604D-B851-4C33-909F-38E14FC170A6}"/>
    <cellStyle name="60% - Accent6 2" xfId="234" xr:uid="{2FE7AFE3-0599-4A30-9EAA-17D0C06F64EC}"/>
    <cellStyle name="60% - アクセント 1" xfId="235" xr:uid="{7E7D58EB-8B96-43A0-8D9B-2DF361D0B764}"/>
    <cellStyle name="60% - アクセント 1 2" xfId="236" xr:uid="{4A5509F5-8FFC-492B-BEF4-0002D34810F6}"/>
    <cellStyle name="60% - アクセント 1 2 2" xfId="237" xr:uid="{42CE0BDB-E0CF-4D67-ADA6-66574896BC35}"/>
    <cellStyle name="60% - アクセント 1 2 3" xfId="238" xr:uid="{2FF3E3FB-FA97-4CD5-925F-64A6502352C0}"/>
    <cellStyle name="60% - アクセント 1 2 4" xfId="239" xr:uid="{A632325A-9F4D-4177-85A0-117694430344}"/>
    <cellStyle name="60% - アクセント 1 3" xfId="240" xr:uid="{A1E79322-4DB1-4078-9A8A-5AF986B4ADB9}"/>
    <cellStyle name="60% - アクセント 1 4" xfId="241" xr:uid="{49BB071F-266E-4FD6-A10A-9BC29611276D}"/>
    <cellStyle name="60% - アクセント 1 5" xfId="242" xr:uid="{D59E47B0-F161-47BE-A7AD-00B6001EFD11}"/>
    <cellStyle name="60% - アクセント 1 6" xfId="243" xr:uid="{84825EA1-45C1-4AFD-8BD2-2BCEE7DC30E7}"/>
    <cellStyle name="60% - アクセント 1 7" xfId="244" xr:uid="{0C666E84-00CD-49E5-A7E0-01F35BD2E495}"/>
    <cellStyle name="60% - アクセント 1 8" xfId="245" xr:uid="{29ECCD18-61A1-4AC2-8818-15513ADC4929}"/>
    <cellStyle name="60% - アクセント 1 9" xfId="246" xr:uid="{0C8FB5F1-4305-4859-9156-A498BF7C43A8}"/>
    <cellStyle name="60% - アクセント 2" xfId="247" xr:uid="{4F9A88EA-2EA3-4A68-8BF2-3242B25A7CB5}"/>
    <cellStyle name="60% - アクセント 2 2" xfId="248" xr:uid="{D8291800-3E10-461E-92A5-B5DEC08C6C8F}"/>
    <cellStyle name="60% - アクセント 2 2 2" xfId="249" xr:uid="{C350D6DD-D0FF-4E48-B398-E31F3B84278F}"/>
    <cellStyle name="60% - アクセント 2 2 3" xfId="250" xr:uid="{6359BB97-D7ED-4ACF-B976-7AD419843817}"/>
    <cellStyle name="60% - アクセント 2 2 4" xfId="251" xr:uid="{1CBABF44-6DE4-4672-9E42-8C5627EFF5A3}"/>
    <cellStyle name="60% - アクセント 2 3" xfId="252" xr:uid="{C7562F8E-405E-4985-8C72-D7950D04FA9E}"/>
    <cellStyle name="60% - アクセント 2 4" xfId="253" xr:uid="{30780C0A-C9C8-45BA-846C-C49D0697C7A0}"/>
    <cellStyle name="60% - アクセント 2 5" xfId="254" xr:uid="{C307043A-2717-46BD-AC09-BFA1C729F8FC}"/>
    <cellStyle name="60% - アクセント 2 6" xfId="255" xr:uid="{2CE29042-076D-4360-A158-C2CFFD18A3D0}"/>
    <cellStyle name="60% - アクセント 2 7" xfId="256" xr:uid="{B5286D38-0660-4C6E-8EEC-79B8B61FDD6A}"/>
    <cellStyle name="60% - アクセント 2 8" xfId="257" xr:uid="{397DDCB8-2215-4D05-8720-DE185DB1F95C}"/>
    <cellStyle name="60% - アクセント 2 9" xfId="258" xr:uid="{0DE9A510-1046-4A92-A06C-F147A546314F}"/>
    <cellStyle name="60% - アクセント 3" xfId="259" xr:uid="{10121A96-EF5D-4ABD-8655-1CBF6879AD29}"/>
    <cellStyle name="60% - アクセント 3 2" xfId="260" xr:uid="{771D376F-4760-45F2-A0B4-34843FB1439B}"/>
    <cellStyle name="60% - アクセント 3 2 2" xfId="261" xr:uid="{94CA803E-8747-4038-898C-3F9329398E15}"/>
    <cellStyle name="60% - アクセント 3 2 3" xfId="262" xr:uid="{97ECF006-5E3A-4472-B8D7-C7B53E0787E4}"/>
    <cellStyle name="60% - アクセント 3 2 4" xfId="263" xr:uid="{FB50BD3B-6C80-49FF-B463-41E3C070F699}"/>
    <cellStyle name="60% - アクセント 3 3" xfId="264" xr:uid="{708C15D0-4A8A-421A-9187-0F70EA0BE9FA}"/>
    <cellStyle name="60% - アクセント 3 4" xfId="265" xr:uid="{49BD1110-2A5E-4850-AA97-1D59ACBD9851}"/>
    <cellStyle name="60% - アクセント 3 5" xfId="266" xr:uid="{C3AC5519-80A5-44A9-A393-0907756D5714}"/>
    <cellStyle name="60% - アクセント 3 6" xfId="267" xr:uid="{7B688F81-5994-4C82-A5C4-B113B2DF00CC}"/>
    <cellStyle name="60% - アクセント 3 7" xfId="268" xr:uid="{0160DB06-0438-4448-829F-78280CFFE3A3}"/>
    <cellStyle name="60% - アクセント 3 8" xfId="269" xr:uid="{7AABD0A5-AF17-4069-8A2B-8173D33C328B}"/>
    <cellStyle name="60% - アクセント 3 9" xfId="270" xr:uid="{08C1F1E5-A797-4FE4-B225-04BB87AD69BF}"/>
    <cellStyle name="60% - アクセント 4" xfId="271" xr:uid="{82D85CAF-CEB0-4BBA-969C-3F8AEDF09CB4}"/>
    <cellStyle name="60% - アクセント 4 2" xfId="272" xr:uid="{C37F6C89-6C1F-44D3-94EA-9D737C9DE0C0}"/>
    <cellStyle name="60% - アクセント 4 2 2" xfId="273" xr:uid="{168E6D9B-1433-4EAD-95F4-6AFC68990DD8}"/>
    <cellStyle name="60% - アクセント 4 2 3" xfId="274" xr:uid="{B1E4A3EB-CEBD-45EF-BB45-467785B50678}"/>
    <cellStyle name="60% - アクセント 4 2 4" xfId="275" xr:uid="{FD1A12F4-56C8-402D-869E-E2E87B0A7D41}"/>
    <cellStyle name="60% - アクセント 4 3" xfId="276" xr:uid="{1E9BC9C6-F078-44D0-A8DC-96D084DE7ACC}"/>
    <cellStyle name="60% - アクセント 4 4" xfId="277" xr:uid="{EDB0C749-4124-4BEA-B3AE-A04A34F65DD2}"/>
    <cellStyle name="60% - アクセント 4 5" xfId="278" xr:uid="{64FC2BE6-EC66-4F96-A382-FE7FD48B715B}"/>
    <cellStyle name="60% - アクセント 4 6" xfId="279" xr:uid="{4FFBEA28-12B8-44BA-9FF0-A000AD2B838C}"/>
    <cellStyle name="60% - アクセント 4 7" xfId="280" xr:uid="{36CCFE26-EFB1-471D-A375-12DC6E211A6B}"/>
    <cellStyle name="60% - アクセント 4 8" xfId="281" xr:uid="{98750790-A4DC-403B-8AA1-962340A4D63A}"/>
    <cellStyle name="60% - アクセント 4 9" xfId="282" xr:uid="{3C8B02D1-D88F-48F2-AEAD-981DB6D1795C}"/>
    <cellStyle name="60% - アクセント 5" xfId="283" xr:uid="{D0A243E2-2D8B-4F97-AE4A-4908CF72C28C}"/>
    <cellStyle name="60% - アクセント 5 2" xfId="284" xr:uid="{5AF100FD-DD53-431E-AD00-BC1B06D55860}"/>
    <cellStyle name="60% - アクセント 5 2 2" xfId="285" xr:uid="{E9EE5B8B-4A14-47D1-82AF-ED1FEDB0062E}"/>
    <cellStyle name="60% - アクセント 5 2 3" xfId="286" xr:uid="{67EFCA4D-DDB0-4CC8-8BC3-B8527EDBC544}"/>
    <cellStyle name="60% - アクセント 5 2 4" xfId="287" xr:uid="{1BBFD77B-0F79-41A8-85C6-63AFC90CBE29}"/>
    <cellStyle name="60% - アクセント 5 3" xfId="288" xr:uid="{D37A1E43-444F-40A1-BE21-94CED538D544}"/>
    <cellStyle name="60% - アクセント 5 4" xfId="289" xr:uid="{20329126-6CC6-4D34-8F27-8805FF3F6EFE}"/>
    <cellStyle name="60% - アクセント 5 5" xfId="290" xr:uid="{B3A8B568-DCF9-48F4-823E-8465000EF50B}"/>
    <cellStyle name="60% - アクセント 5 6" xfId="291" xr:uid="{993F5EA5-79EA-4794-9429-AA4DCB2F3F29}"/>
    <cellStyle name="60% - アクセント 5 7" xfId="292" xr:uid="{17D07ACF-3865-44E7-81EE-14D76DCC294C}"/>
    <cellStyle name="60% - アクセント 5 8" xfId="293" xr:uid="{D1A5267E-BFFD-4C35-9DC5-9496AA987389}"/>
    <cellStyle name="60% - アクセント 5 9" xfId="294" xr:uid="{D4C27FED-8853-411C-847C-B8FD0D84A689}"/>
    <cellStyle name="60% - アクセント 6" xfId="295" xr:uid="{E60F9D48-C85A-4940-A5D1-DEE76AAB7AAF}"/>
    <cellStyle name="60% - アクセント 6 2" xfId="296" xr:uid="{C3551891-4D13-47B5-AF46-5AA78407E7E8}"/>
    <cellStyle name="60% - アクセント 6 2 2" xfId="297" xr:uid="{A6882613-DFF6-4955-BDFC-F2BC724E2030}"/>
    <cellStyle name="60% - アクセント 6 2 3" xfId="298" xr:uid="{052E5579-39DE-4409-8E3B-F6239DE4291B}"/>
    <cellStyle name="60% - アクセント 6 2 4" xfId="299" xr:uid="{1F1D7170-1ACD-4A5F-8D50-884AFC075A04}"/>
    <cellStyle name="60% - アクセント 6 3" xfId="300" xr:uid="{1A6C7A1F-55D6-4C6B-B805-96F9A9A1BBC7}"/>
    <cellStyle name="60% - アクセント 6 4" xfId="301" xr:uid="{AD25506D-382A-4C9C-8B7E-4922E34FECF9}"/>
    <cellStyle name="60% - アクセント 6 5" xfId="302" xr:uid="{4E1B7D3B-45F9-4923-B47A-9C3A9A328601}"/>
    <cellStyle name="60% - アクセント 6 6" xfId="303" xr:uid="{50F844E5-9791-4AC5-8FFA-DF64A69B304E}"/>
    <cellStyle name="60% - アクセント 6 7" xfId="304" xr:uid="{822C7256-FE50-4152-8E27-0E89D58867AE}"/>
    <cellStyle name="60% - アクセント 6 8" xfId="305" xr:uid="{77C437E5-CBED-4895-A2D7-E1C0D8644916}"/>
    <cellStyle name="60% - アクセント 6 9" xfId="306" xr:uid="{CB641FEA-6299-4ECC-9ED8-43E065C1CC24}"/>
    <cellStyle name="Accent1 2" xfId="307" xr:uid="{88185D8E-1F71-419F-AD4D-06BA9ED246D3}"/>
    <cellStyle name="Accent2 2" xfId="308" xr:uid="{BF9AE90F-EAC5-4856-97ED-D2C7D36FFC9A}"/>
    <cellStyle name="Accent3 2" xfId="309" xr:uid="{4541B740-36CA-465B-A721-F008786B10A2}"/>
    <cellStyle name="Accent4 2" xfId="310" xr:uid="{0887189C-7318-4DE1-BD12-00F361FD8E4C}"/>
    <cellStyle name="Accent5 2" xfId="311" xr:uid="{65803D02-8F31-4ED5-A7B7-4A6688BB8DE2}"/>
    <cellStyle name="Accent6 2" xfId="312" xr:uid="{45645711-E321-45E9-BA5F-B0E4F46872B7}"/>
    <cellStyle name="Bad 2" xfId="313" xr:uid="{17026560-D367-4EFE-9130-13BEC4B7F2DD}"/>
    <cellStyle name="Calculation 2" xfId="314" xr:uid="{E68AA7C8-0A47-4493-A194-AFDEEBE57625}"/>
    <cellStyle name="Check Cell 2" xfId="315" xr:uid="{7CB88EC7-FB44-46B8-8608-057D71CA6947}"/>
    <cellStyle name="Comma [0] 2" xfId="316" xr:uid="{1916107F-8946-4F1A-9091-FBD1F3941EBB}"/>
    <cellStyle name="Comma 2" xfId="317" xr:uid="{DA4719C3-3C66-44AB-A26F-17CBED78E70D}"/>
    <cellStyle name="Explanatory Text 2" xfId="318" xr:uid="{8505A95F-5A79-4994-8C23-853A41F31E52}"/>
    <cellStyle name="Good 2" xfId="319" xr:uid="{CBBBCAD5-ED6E-4C75-B06D-EF29D69B580D}"/>
    <cellStyle name="Heading 1 2" xfId="320" xr:uid="{330BB4E8-6038-428F-9C23-DF54FA143645}"/>
    <cellStyle name="Heading 2 2" xfId="321" xr:uid="{421D0FA0-4816-4000-B928-795AD7519BFE}"/>
    <cellStyle name="Heading 3 2" xfId="322" xr:uid="{D82E5FD9-9A3A-49DE-A077-F2D351C19925}"/>
    <cellStyle name="Heading 4 2" xfId="323" xr:uid="{F9E1CA2D-1A3F-4349-9868-5FFF542B3AD5}"/>
    <cellStyle name="Hyperlink 2" xfId="324" xr:uid="{B4F6D7E4-8838-4A67-B5DD-A5FBF6B095E9}"/>
    <cellStyle name="Input 2" xfId="325" xr:uid="{D028A88A-6815-4BD6-9A10-F4FEA2828935}"/>
    <cellStyle name="Linked Cell 2" xfId="326" xr:uid="{916364D3-6127-4EDC-8CB2-161088328C59}"/>
    <cellStyle name="Neutral 2" xfId="327" xr:uid="{A0D09696-0B34-43F5-8BDE-E025BC7F668A}"/>
    <cellStyle name="Normal" xfId="0" builtinId="0"/>
    <cellStyle name="Normal 10" xfId="328" xr:uid="{99FB26E6-BA01-4C05-AABD-925FC7F38FC3}"/>
    <cellStyle name="Normal 15" xfId="329" xr:uid="{CFC46C04-C862-448E-AA7B-B020CE7FB8AC}"/>
    <cellStyle name="Normal 15 2" xfId="330" xr:uid="{E0B6E338-2DBB-4414-A090-33DF457565E7}"/>
    <cellStyle name="Normal 17" xfId="331" xr:uid="{43F258B8-41BD-412F-9B85-0E01792E1512}"/>
    <cellStyle name="Normal 17 2" xfId="332" xr:uid="{FA46D9EF-B322-4EF3-928E-EDCFD8160656}"/>
    <cellStyle name="Normal 2" xfId="333" xr:uid="{6C5ADDB2-4F51-43C3-AF3B-D847106D20EC}"/>
    <cellStyle name="Normal 2 10" xfId="334" xr:uid="{75D6147B-C878-4361-9FCB-E77C0D8BA70E}"/>
    <cellStyle name="Normal 2 11" xfId="335" xr:uid="{B38B4970-CE64-4557-9EA9-0C1DD85F04DD}"/>
    <cellStyle name="Normal 2 12" xfId="336" xr:uid="{BFBD8CCC-A3A7-4FBA-A79A-9829090E1FA5}"/>
    <cellStyle name="Normal 2 13" xfId="337" xr:uid="{48C1A1D1-2599-4BED-8ADF-C3FF15168C72}"/>
    <cellStyle name="Normal 2 14" xfId="338" xr:uid="{38FF6CCD-4722-44DC-8E5F-10035B539982}"/>
    <cellStyle name="Normal 2 15" xfId="339" xr:uid="{F3B21A67-D52D-40E2-A676-30B43705A794}"/>
    <cellStyle name="Normal 2 16" xfId="340" xr:uid="{78A44F1C-10F4-437A-B615-B7845F288387}"/>
    <cellStyle name="Normal 2 17" xfId="341" xr:uid="{2FC35C5B-0537-44E1-9109-76B395A60C4F}"/>
    <cellStyle name="Normal 2 18" xfId="342" xr:uid="{B18932EA-DB9E-4028-8DF5-852153F6EA44}"/>
    <cellStyle name="Normal 2 2" xfId="343" xr:uid="{D1F4A789-C70E-4E2F-A68D-941996D13199}"/>
    <cellStyle name="Normal 2 2 2" xfId="344" xr:uid="{5D1915D6-8665-484B-A760-F20E2EC2AF20}"/>
    <cellStyle name="Normal 2 2 3" xfId="345" xr:uid="{899D1E09-87C0-495A-91F4-F360EB33F85D}"/>
    <cellStyle name="Normal 2 3" xfId="346" xr:uid="{8C5D2401-DA90-4E4B-BA0B-217BF94B2F8E}"/>
    <cellStyle name="Normal 2 4" xfId="347" xr:uid="{FD1A90B0-B56F-4146-9D77-525AE1291BBC}"/>
    <cellStyle name="Normal 2 4 2" xfId="348" xr:uid="{3951EE6B-F5F1-46CE-889A-A60F877FFFB7}"/>
    <cellStyle name="Normal 2 5" xfId="349" xr:uid="{8D7D0D8C-0480-4B94-89C7-267E23EB667E}"/>
    <cellStyle name="Normal 2 6" xfId="350" xr:uid="{D4EE572B-A4EB-4189-8293-476B3DDCE6EF}"/>
    <cellStyle name="Normal 2 7" xfId="351" xr:uid="{F3BED245-CECA-4AFB-A4C9-37A07A21A838}"/>
    <cellStyle name="Normal 2 8" xfId="352" xr:uid="{FE19A765-FD5A-48BE-BF98-5C33CE9707AC}"/>
    <cellStyle name="Normal 2 9" xfId="353" xr:uid="{A9477B7F-136D-44E4-AEA6-DEAE03FD239A}"/>
    <cellStyle name="Normal 2_25-1-09 H HEPA Filter &amp; Air Velo + Adj." xfId="354" xr:uid="{7C3B23DD-5476-4E38-BC0C-49E807E0E96B}"/>
    <cellStyle name="Normal 3" xfId="355" xr:uid="{198A98A5-26E6-455C-8B6E-33E05829BD0C}"/>
    <cellStyle name="Normal 3 2" xfId="356" xr:uid="{2F29B2EF-85DA-4084-BB1D-CF772A058CF1}"/>
    <cellStyle name="Normal 3 3" xfId="357" xr:uid="{268FAF58-38F0-48A5-9FB5-AEB61A47F218}"/>
    <cellStyle name="Normal 3 4" xfId="358" xr:uid="{5976C25D-8EE4-4C96-9DCF-01A4AD8D7D0A}"/>
    <cellStyle name="Normal 3 5" xfId="359" xr:uid="{0F8B09A6-1C1B-4CFF-9649-ED61BC15C9E4}"/>
    <cellStyle name="Normal 3 6" xfId="360" xr:uid="{E946C8D0-9C2C-41C0-80AA-4A1614CA91F5}"/>
    <cellStyle name="Normal 4" xfId="361" xr:uid="{45352015-756D-4B07-B1F4-338605B8166D}"/>
    <cellStyle name="Normal 4 2" xfId="362" xr:uid="{5BBEB610-318F-49A0-81B5-5C98EE33D632}"/>
    <cellStyle name="Normal 4 3" xfId="363" xr:uid="{56A8CB44-63A5-4DCE-B48F-4007A250E0BF}"/>
    <cellStyle name="Normal 4 4" xfId="364" xr:uid="{1BAC695E-E671-4408-AC10-B5B9798BA5E2}"/>
    <cellStyle name="Normal 4 5" xfId="365" xr:uid="{49CBBBE3-DC4B-4A97-894D-E3C534C48E77}"/>
    <cellStyle name="Normal 4_data Zenyte 6 Fr Leak check" xfId="366" xr:uid="{FC8265BC-1DF8-4E67-9D84-A6B7A2B84E18}"/>
    <cellStyle name="Normal 5" xfId="367" xr:uid="{C597B94B-50EE-4961-BDA3-FBEAB9223F0D}"/>
    <cellStyle name="Normal 5 2" xfId="368" xr:uid="{FCB454A5-2513-4921-93CF-19973FF7063E}"/>
    <cellStyle name="Normal 6" xfId="369" xr:uid="{C781D6C3-F07A-48F1-A307-D9A567BB3521}"/>
    <cellStyle name="Normal 7" xfId="370" xr:uid="{D39682DC-1042-4EEF-985E-D089C0B63F59}"/>
    <cellStyle name="Normal 7 2" xfId="371" xr:uid="{644B88E1-8A5D-419B-A8AC-B743A75A3D3D}"/>
    <cellStyle name="Normal 8" xfId="372" xr:uid="{C640DE00-D34D-4BF2-8E39-3353504EAD42}"/>
    <cellStyle name="Normal 9" xfId="373" xr:uid="{B68D514A-22EA-471A-9C61-3D3A595BF3DC}"/>
    <cellStyle name="Note 2" xfId="374" xr:uid="{BD00DE9A-2AEE-43E2-9CDD-B7CFE92B914B}"/>
    <cellStyle name="Note 2 2" xfId="375" xr:uid="{2FF0523B-7D30-4829-9940-235C751E03BA}"/>
    <cellStyle name="Note 2 3" xfId="376" xr:uid="{ABC991A9-2A70-487B-AB1F-49CF41A4E150}"/>
    <cellStyle name="Note 3" xfId="377" xr:uid="{C16998A0-CADC-40E2-ABE5-977A26E507C6}"/>
    <cellStyle name="Output 2" xfId="378" xr:uid="{FEF28CA4-7BD7-4522-A670-57489C3B6517}"/>
    <cellStyle name="Percent 2" xfId="379" xr:uid="{7689D5E3-FF4D-44A3-808F-C44A7B11CB86}"/>
    <cellStyle name="Percent 2 2" xfId="380" xr:uid="{C6BFD75E-4760-4AFE-A30F-7C029291399B}"/>
    <cellStyle name="Percent 2 3" xfId="381" xr:uid="{730D4F50-F030-4048-A6EC-EBBB2EE88149}"/>
    <cellStyle name="Title 2" xfId="382" xr:uid="{D71FE529-5C28-4CFC-9D63-77081E3B98D6}"/>
    <cellStyle name="Total 2" xfId="383" xr:uid="{D52977AD-0477-4021-87DF-8DC33E033F46}"/>
    <cellStyle name="Warning Text 2" xfId="384" xr:uid="{6805789F-54EE-43B7-BA4A-D411561B073F}"/>
    <cellStyle name="アクセント 1" xfId="385" xr:uid="{090A4322-6242-4C13-8645-5715937EB30A}"/>
    <cellStyle name="アクセント 1 2" xfId="386" xr:uid="{735D9683-1A12-4563-8F96-9C1D49AB9D8B}"/>
    <cellStyle name="アクセント 1 2 2" xfId="387" xr:uid="{C8B75CD7-E430-41BF-B17A-EAE19E992987}"/>
    <cellStyle name="アクセント 1 2 3" xfId="388" xr:uid="{6812B47A-BC65-48CA-AFDE-1AA029BB2F25}"/>
    <cellStyle name="アクセント 1 2 4" xfId="389" xr:uid="{89963EBF-33E4-49EF-89D8-999EEABAA228}"/>
    <cellStyle name="アクセント 1 3" xfId="390" xr:uid="{1120E720-4D64-4573-9435-F41D12FD9862}"/>
    <cellStyle name="アクセント 1 4" xfId="391" xr:uid="{46BC9111-A16B-4EF4-97E7-492CD110E1BD}"/>
    <cellStyle name="アクセント 1 5" xfId="392" xr:uid="{E5592ED2-1919-4849-AB7C-47BCDDCF7311}"/>
    <cellStyle name="アクセント 1 6" xfId="393" xr:uid="{DCE28955-8CC4-487E-864D-5538C6AB6861}"/>
    <cellStyle name="アクセント 1 7" xfId="394" xr:uid="{DA92910B-B1C6-482F-B2A8-0C1F7500F69A}"/>
    <cellStyle name="アクセント 1 8" xfId="395" xr:uid="{4C97B8C6-AD1A-4042-9344-2B3380BBB7E4}"/>
    <cellStyle name="アクセント 1 9" xfId="396" xr:uid="{A8A8E58F-9B80-4EE1-90A7-3356640494B2}"/>
    <cellStyle name="アクセント 2" xfId="397" xr:uid="{D8E40ECC-B5FC-460A-A830-441B4F512D63}"/>
    <cellStyle name="アクセント 2 2" xfId="398" xr:uid="{5324C462-86D1-4F92-95C4-9E946A99A6C8}"/>
    <cellStyle name="アクセント 2 2 2" xfId="399" xr:uid="{552A8F9A-AD6F-451E-B38C-78BA175F2671}"/>
    <cellStyle name="アクセント 2 2 3" xfId="400" xr:uid="{2B311E2A-280A-4534-A736-808B0B0DD1A0}"/>
    <cellStyle name="アクセント 2 2 4" xfId="401" xr:uid="{9DCA954E-1D5B-4984-A301-05C3B9C0645E}"/>
    <cellStyle name="アクセント 2 3" xfId="402" xr:uid="{9723CFF4-1DB7-4865-81F2-B6AD907E16DA}"/>
    <cellStyle name="アクセント 2 4" xfId="403" xr:uid="{4F971082-5703-4235-8B32-E08C4B354ED1}"/>
    <cellStyle name="アクセント 2 5" xfId="404" xr:uid="{9DAE277E-90DF-46AC-AF00-DCCEB30A491D}"/>
    <cellStyle name="アクセント 2 6" xfId="405" xr:uid="{A51C5698-E9B9-43BA-B6DB-322750E1BFB6}"/>
    <cellStyle name="アクセント 2 7" xfId="406" xr:uid="{B14B74A5-A478-412A-8B1F-7C8ABCD86D87}"/>
    <cellStyle name="アクセント 2 8" xfId="407" xr:uid="{898B7138-B73F-456A-BA34-9FB8A6C19953}"/>
    <cellStyle name="アクセント 2 9" xfId="408" xr:uid="{3D1852EF-1A42-4B47-9389-451AE5FFD02C}"/>
    <cellStyle name="アクセント 3" xfId="409" xr:uid="{5512AF46-B68C-4747-891B-925E992DE82E}"/>
    <cellStyle name="アクセント 3 2" xfId="410" xr:uid="{D40A68D3-4134-467D-9D64-96C20F09AFA7}"/>
    <cellStyle name="アクセント 3 2 2" xfId="411" xr:uid="{975ED93F-144D-4DEC-A386-32DD6A525E47}"/>
    <cellStyle name="アクセント 3 2 3" xfId="412" xr:uid="{0E5BB72D-EE6C-4EF4-8261-857735C51443}"/>
    <cellStyle name="アクセント 3 2 4" xfId="413" xr:uid="{8F07E37F-0F46-47A3-B3FC-DA81A487AAD9}"/>
    <cellStyle name="アクセント 3 3" xfId="414" xr:uid="{C98BC094-6FAA-42D2-BDE0-2D6DE9AB2294}"/>
    <cellStyle name="アクセント 3 4" xfId="415" xr:uid="{E365091A-71EE-47A8-B60D-8215BEC58E70}"/>
    <cellStyle name="アクセント 3 5" xfId="416" xr:uid="{3780A137-A2B5-46D0-9B76-9E534B2D8E8E}"/>
    <cellStyle name="アクセント 3 6" xfId="417" xr:uid="{48F63FCC-E1EC-4593-8AEA-49B2E090E191}"/>
    <cellStyle name="アクセント 3 7" xfId="418" xr:uid="{1451F1A9-A911-4F33-9326-27505EC8F815}"/>
    <cellStyle name="アクセント 3 8" xfId="419" xr:uid="{9C1704DC-C07F-4370-8C26-A7A272AE76D8}"/>
    <cellStyle name="アクセント 3 9" xfId="420" xr:uid="{9651445F-DE00-4891-8D93-02CA29082474}"/>
    <cellStyle name="アクセント 4" xfId="421" xr:uid="{86DCEDD3-C439-4EA3-B194-3B49B6AA07B5}"/>
    <cellStyle name="アクセント 4 2" xfId="422" xr:uid="{E99E9ACA-BF28-49A7-8501-2C67371523BA}"/>
    <cellStyle name="アクセント 4 2 2" xfId="423" xr:uid="{93073DFD-60A0-4D08-9CF7-4A2AF40DB557}"/>
    <cellStyle name="アクセント 4 2 3" xfId="424" xr:uid="{FC5A0E94-2BC5-49D5-8E2C-602F11F8277A}"/>
    <cellStyle name="アクセント 4 2 4" xfId="425" xr:uid="{CBFA81C7-3362-460E-975E-4A727AAF7F10}"/>
    <cellStyle name="アクセント 4 3" xfId="426" xr:uid="{2876DEEC-AC88-4F54-85FB-D1EF0F4E237C}"/>
    <cellStyle name="アクセント 4 4" xfId="427" xr:uid="{146BC391-9238-4305-BA54-28D91A8626EC}"/>
    <cellStyle name="アクセント 4 5" xfId="428" xr:uid="{A7A5A98A-B492-484F-904B-7F2193ED3A58}"/>
    <cellStyle name="アクセント 4 6" xfId="429" xr:uid="{E7062D9D-2F87-4DB8-920F-9B05374E0206}"/>
    <cellStyle name="アクセント 4 7" xfId="430" xr:uid="{C7A23C3F-16B3-4847-A40B-140478B64385}"/>
    <cellStyle name="アクセント 4 8" xfId="431" xr:uid="{FD776A5A-6FA4-4B65-A2FE-062DA7AF0F91}"/>
    <cellStyle name="アクセント 4 9" xfId="432" xr:uid="{15F6816F-62DE-44E5-BA9A-DDF10F9DA9C5}"/>
    <cellStyle name="アクセント 5" xfId="433" xr:uid="{74304006-B866-433A-999E-B568B0538574}"/>
    <cellStyle name="アクセント 5 2" xfId="434" xr:uid="{91237050-14EE-4A2B-B71D-BD947A387E21}"/>
    <cellStyle name="アクセント 5 2 2" xfId="435" xr:uid="{E4A3DD9A-6165-41E6-86AA-C3B9D2F39661}"/>
    <cellStyle name="アクセント 5 2 3" xfId="436" xr:uid="{9E07ECC7-12DE-449D-8D72-F7FCC3CF81D4}"/>
    <cellStyle name="アクセント 5 2 4" xfId="437" xr:uid="{619F008A-C40C-45A7-A617-53F7C3EC7234}"/>
    <cellStyle name="アクセント 5 3" xfId="438" xr:uid="{0FD0CC4B-B5C3-44C0-A8B3-103EC437307C}"/>
    <cellStyle name="アクセント 5 4" xfId="439" xr:uid="{B7910F1F-5035-4E54-BFDB-02268C0049CA}"/>
    <cellStyle name="アクセント 5 5" xfId="440" xr:uid="{78CA3FD7-6031-421B-8F46-9F0CE0572BBD}"/>
    <cellStyle name="アクセント 5 6" xfId="441" xr:uid="{A01365EF-4B96-47BD-970C-640501236078}"/>
    <cellStyle name="アクセント 5 7" xfId="442" xr:uid="{E6A0D379-FE5A-4BB1-A112-54B14B8DD8A6}"/>
    <cellStyle name="アクセント 5 8" xfId="443" xr:uid="{1CB14F1E-436F-4D59-BB8B-7EBA9E0EFC78}"/>
    <cellStyle name="アクセント 5 9" xfId="444" xr:uid="{D445B1C3-C150-4D23-8D96-14FA5F62083F}"/>
    <cellStyle name="アクセント 6" xfId="445" xr:uid="{B416A60E-CD20-4D8A-A4AC-99217FA4C86E}"/>
    <cellStyle name="アクセント 6 2" xfId="446" xr:uid="{B2BA0BA6-E934-4FC3-8F6D-279850B09AB3}"/>
    <cellStyle name="アクセント 6 2 2" xfId="447" xr:uid="{09998AF2-5D26-45EB-843D-73B58431CF3F}"/>
    <cellStyle name="アクセント 6 2 3" xfId="448" xr:uid="{B666C8A0-0FCE-49E8-BE40-832C51061405}"/>
    <cellStyle name="アクセント 6 2 4" xfId="449" xr:uid="{1328B0B8-93CF-4497-AEA3-87343F53FE28}"/>
    <cellStyle name="アクセント 6 3" xfId="450" xr:uid="{F7B66095-8BF5-41F7-B4FC-74C79E29C636}"/>
    <cellStyle name="アクセント 6 4" xfId="451" xr:uid="{B86A0939-DC2A-4E1D-B85B-9987DD36AE3B}"/>
    <cellStyle name="アクセント 6 5" xfId="452" xr:uid="{158AACEF-18D6-483A-B8CA-C9F503E1D687}"/>
    <cellStyle name="アクセント 6 6" xfId="453" xr:uid="{7BEDEEF9-96F9-4BC9-B184-76DE993C7121}"/>
    <cellStyle name="アクセント 6 7" xfId="454" xr:uid="{CF89F8E2-1AC1-42A6-BCFD-3A506F173350}"/>
    <cellStyle name="アクセント 6 8" xfId="455" xr:uid="{437F32FE-20F6-40D8-AC48-8EC1478C5E36}"/>
    <cellStyle name="アクセント 6 9" xfId="456" xr:uid="{F03DF409-A85F-41A0-BD27-8DC54A36DC69}"/>
    <cellStyle name="タイトル" xfId="457" xr:uid="{01A1932D-682C-43DA-BBA6-DEFC860E5ADD}"/>
    <cellStyle name="タイトル 2" xfId="458" xr:uid="{92FE4D05-5AC5-4425-820D-E1E85BB5E064}"/>
    <cellStyle name="タイトル 2 2" xfId="459" xr:uid="{EF6DBE4B-14E1-4D72-88A3-4EF6EBA8ECDF}"/>
    <cellStyle name="タイトル 2 3" xfId="460" xr:uid="{24B12521-7A62-4C09-BBFE-14CBA98F3174}"/>
    <cellStyle name="タイトル 2 4" xfId="461" xr:uid="{620398BA-E782-4F25-9598-09004FF98C2E}"/>
    <cellStyle name="タイトル 3" xfId="462" xr:uid="{A9078908-2981-4E10-8DA5-F2B35B20D43C}"/>
    <cellStyle name="タイトル 4" xfId="463" xr:uid="{0884D1BC-5AB3-491B-AF88-902DD9BA72F1}"/>
    <cellStyle name="タイトル 5" xfId="464" xr:uid="{D7E69E57-6C4A-41C6-9B0C-0AA27AFA9DD6}"/>
    <cellStyle name="タイトル 6" xfId="465" xr:uid="{D539C576-7427-49A4-9BF6-B57BD8F76741}"/>
    <cellStyle name="タイトル 7" xfId="466" xr:uid="{8B8B851E-0B35-4CE4-BB6D-103BA5210D82}"/>
    <cellStyle name="タイトル 8" xfId="467" xr:uid="{44E5D848-5C53-472C-86F9-30472E03B627}"/>
    <cellStyle name="タイトル 9" xfId="468" xr:uid="{36EA78CA-FF6C-47DA-AE82-04EEB0233341}"/>
    <cellStyle name="チェック セル" xfId="469" xr:uid="{AD4660B7-327C-4439-8DE9-BF2DEFCE0859}"/>
    <cellStyle name="チェック セル 2" xfId="470" xr:uid="{61FFB45F-18A2-438C-87A9-D4961D41B9DB}"/>
    <cellStyle name="チェック セル 2 2" xfId="471" xr:uid="{B596D57D-3F6C-44AC-B19D-A789BC900BFB}"/>
    <cellStyle name="チェック セル 2 3" xfId="472" xr:uid="{72EE2F81-EC15-4A41-971D-77FF6691FE1F}"/>
    <cellStyle name="チェック セル 2 4" xfId="473" xr:uid="{BD942760-9A90-4E3E-A046-9168288C4485}"/>
    <cellStyle name="チェック セル 3" xfId="474" xr:uid="{CA47BB8B-399D-40B0-BF68-FFD7EE0F14E4}"/>
    <cellStyle name="チェック セル 4" xfId="475" xr:uid="{073D50CB-E086-48E6-9737-CD5B36E96347}"/>
    <cellStyle name="チェック セル 5" xfId="476" xr:uid="{92A54FCC-5D20-402B-A932-2100FFFD54DC}"/>
    <cellStyle name="チェック セル 6" xfId="477" xr:uid="{E297EE63-AC5F-4A90-84CF-A7199499B004}"/>
    <cellStyle name="チェック セル 7" xfId="478" xr:uid="{63A3185E-9A4D-420E-99BF-3060C460151E}"/>
    <cellStyle name="チェック セル 8" xfId="479" xr:uid="{6BDCEB0C-3B67-4259-B162-26BF237FC09A}"/>
    <cellStyle name="チェック セル 9" xfId="480" xr:uid="{F64F8339-A4A3-454C-B25C-672FFDCA82E8}"/>
    <cellStyle name="どちらでもない" xfId="481" xr:uid="{BD6BF774-4CDF-4199-82C5-83D6C42B44D5}"/>
    <cellStyle name="どちらでもない 2" xfId="482" xr:uid="{BF2161A4-73A2-4E01-B8A1-BB384FEB78AA}"/>
    <cellStyle name="どちらでもない 2 2" xfId="483" xr:uid="{B88EE968-96AA-40D7-9368-B30DC8B9845B}"/>
    <cellStyle name="どちらでもない 2 3" xfId="484" xr:uid="{85C6E0CD-82E0-4CB6-B9EA-BF6090E1C0AE}"/>
    <cellStyle name="どちらでもない 2 4" xfId="485" xr:uid="{8A34275D-B55D-421B-A318-9FF2E1B43AD6}"/>
    <cellStyle name="どちらでもない 3" xfId="486" xr:uid="{2DE929B8-77A4-461A-8157-AB3EE1E672A3}"/>
    <cellStyle name="どちらでもない 4" xfId="487" xr:uid="{CB5F510C-F759-4BB1-A68C-E008A7C306D0}"/>
    <cellStyle name="どちらでもない 5" xfId="488" xr:uid="{88929668-CEC1-44E6-8D38-119D2BCA0666}"/>
    <cellStyle name="どちらでもない 6" xfId="489" xr:uid="{BFB25CF3-0EEF-4EBD-9101-EC66307F9657}"/>
    <cellStyle name="どちらでもない 7" xfId="490" xr:uid="{E39A7C36-67B2-44A4-A7D3-D5827FA0C714}"/>
    <cellStyle name="どちらでもない 8" xfId="491" xr:uid="{267DF52E-2D3F-48FC-AD04-575689497735}"/>
    <cellStyle name="どちらでもない 9" xfId="492" xr:uid="{52469602-7846-434E-9DD9-615E90607BF4}"/>
    <cellStyle name="パーセント 2" xfId="493" xr:uid="{6B899A21-BB64-47CC-9CDA-F4FE4FE66A9B}"/>
    <cellStyle name="パーセント 3" xfId="494" xr:uid="{FA9525C0-2C65-4D75-90D6-71E81CE4302F}"/>
    <cellStyle name="メモ" xfId="495" xr:uid="{7E17F57A-35ED-445E-95DD-B9AADF602C18}"/>
    <cellStyle name="メモ 2" xfId="496" xr:uid="{4F2919DA-7A9A-458A-9CFE-239A51A3FD7C}"/>
    <cellStyle name="メモ 2 2" xfId="497" xr:uid="{548F0DC4-5757-4489-8945-ED36019151BD}"/>
    <cellStyle name="メモ 2 3" xfId="498" xr:uid="{DD5154DC-3E9E-4F2D-A297-071EC3B3DAB5}"/>
    <cellStyle name="メモ 2 4" xfId="499" xr:uid="{AEE67922-9583-4BFA-A1F0-509C4187977F}"/>
    <cellStyle name="メモ 2 5" xfId="500" xr:uid="{3E95EE06-6D6B-481A-AF37-C951DFA818BF}"/>
    <cellStyle name="メモ 2 6" xfId="501" xr:uid="{3AC90497-6270-48B5-99F5-6DEA85ED51F0}"/>
    <cellStyle name="メモ 2 7" xfId="502" xr:uid="{2B11613C-660D-4554-926C-73D24BE95E9C}"/>
    <cellStyle name="メモ 2 8" xfId="503" xr:uid="{7C3A1053-D51A-4C53-BA7A-D1CD8013492B}"/>
    <cellStyle name="メモ 2 9" xfId="504" xr:uid="{48459E7A-043D-4519-8B12-554D2F072B09}"/>
    <cellStyle name="メモ 3" xfId="505" xr:uid="{801DC097-5FBB-4262-9803-1C1B5459130F}"/>
    <cellStyle name="メモ 4" xfId="506" xr:uid="{AA364B95-42D1-4589-B044-A54657438663}"/>
    <cellStyle name="メモ 5" xfId="507" xr:uid="{9BE365DC-D1F1-46A8-B91B-9E6C70DCC313}"/>
    <cellStyle name="メモ 6" xfId="508" xr:uid="{71C5220D-9B2E-42C5-A63B-D10912643A4B}"/>
    <cellStyle name="メモ 7" xfId="509" xr:uid="{EC22C093-4EA1-409A-AAAC-62117DC11F25}"/>
    <cellStyle name="メモ 8" xfId="510" xr:uid="{B9DBDCBC-8BE9-4E8E-BAD5-9B6127036CE2}"/>
    <cellStyle name="メモ 9" xfId="511" xr:uid="{CCA296D5-46BA-4011-9023-0EA192638B05}"/>
    <cellStyle name="リンク セル" xfId="512" xr:uid="{E4767FA2-AC89-47D0-8DCB-64E6AA27045F}"/>
    <cellStyle name="リンク セル 2" xfId="513" xr:uid="{A11A704C-C248-447F-A365-A38EFA2E2D7D}"/>
    <cellStyle name="リンク セル 2 2" xfId="514" xr:uid="{E0579312-2F66-4B8D-9FA7-0C7F3691C591}"/>
    <cellStyle name="リンク セル 2 3" xfId="515" xr:uid="{9A0A7A77-8570-4FEC-BD0E-BAFFA52E82BF}"/>
    <cellStyle name="リンク セル 2 4" xfId="516" xr:uid="{DB0C8BA1-35E8-41DF-B1D0-383B136ADD29}"/>
    <cellStyle name="リンク セル 3" xfId="517" xr:uid="{913CB5EC-2FF9-4E18-9673-7919D6DCCC48}"/>
    <cellStyle name="リンク セル 4" xfId="518" xr:uid="{163F40AA-6CAA-46DF-BD7E-A8E38560C849}"/>
    <cellStyle name="リンク セル 5" xfId="519" xr:uid="{DEF58A86-96F3-40F7-B4AE-E2D03719926E}"/>
    <cellStyle name="リンク セル 6" xfId="520" xr:uid="{42C0CD5D-1F95-478C-8137-4CCC9CA5FA07}"/>
    <cellStyle name="リンク セル 7" xfId="521" xr:uid="{C7E74EF2-1F4B-4DDC-98F3-04D533471ED9}"/>
    <cellStyle name="リンク セル 8" xfId="522" xr:uid="{E9752511-91D6-411D-9AFE-EB493E495FFC}"/>
    <cellStyle name="リンク セル 9" xfId="523" xr:uid="{AD76FD1F-9EDA-499B-B105-5A6064467FE8}"/>
    <cellStyle name="ปกติ_CRV_format" xfId="524" xr:uid="{36AF76A9-8EF9-497C-84DE-CF364DCA8BF9}"/>
    <cellStyle name="ปกิ_MASTER  LIST1" xfId="525" xr:uid="{0151E8A5-561E-4306-A148-4BF0FFAAA086}"/>
    <cellStyle name="ปก_x0018_ิ_MASTER  LIST1" xfId="526" xr:uid="{52A3941C-4ABD-4911-BF2D-B6973612008D}"/>
    <cellStyle name="入力" xfId="527" xr:uid="{CECC98FB-A3DF-43CC-92E4-5402CA442FD9}"/>
    <cellStyle name="入力 2" xfId="528" xr:uid="{1B30327F-F283-4745-BD74-05D55F82A753}"/>
    <cellStyle name="入力 2 2" xfId="529" xr:uid="{A2661DFA-7F0A-4E0B-8557-49BA66E961F3}"/>
    <cellStyle name="入力 2 3" xfId="530" xr:uid="{E31501B1-2B78-4F4D-9425-657EA4102A0B}"/>
    <cellStyle name="入力 2 4" xfId="531" xr:uid="{AA8F40E8-9772-4D5F-B646-CD2176DE179F}"/>
    <cellStyle name="入力 3" xfId="532" xr:uid="{8EAAC8AB-B83E-4BAA-9FE6-7A7DD188F81B}"/>
    <cellStyle name="入力 4" xfId="533" xr:uid="{EB901AEE-2004-44EA-BF2E-F6F1919E54E6}"/>
    <cellStyle name="入力 5" xfId="534" xr:uid="{067CE363-D3CA-43EF-86EA-FB804B6831B3}"/>
    <cellStyle name="入力 6" xfId="535" xr:uid="{E268E029-9DD6-43A3-8656-5FB2B2883801}"/>
    <cellStyle name="入力 7" xfId="536" xr:uid="{4CC409C1-7437-4BC1-A092-9201984F9177}"/>
    <cellStyle name="入力 8" xfId="537" xr:uid="{44E40B14-01A7-4652-A048-EA8D81D6C727}"/>
    <cellStyle name="入力 9" xfId="538" xr:uid="{4C56AEF5-D746-4473-9DDE-89B50EE92CAB}"/>
    <cellStyle name="出力" xfId="539" xr:uid="{56D57C6B-F285-440A-95DF-C6CFBEDFDAA6}"/>
    <cellStyle name="出力 2" xfId="540" xr:uid="{28B0FA47-2432-4E18-831E-83CDF9FA92A7}"/>
    <cellStyle name="出力 2 2" xfId="541" xr:uid="{0CA6711B-CD6A-4809-96CC-EEB624B9EF32}"/>
    <cellStyle name="出力 2 3" xfId="542" xr:uid="{44557EAC-FE79-45BB-8489-CF2E2EEE673A}"/>
    <cellStyle name="出力 2 4" xfId="543" xr:uid="{EFF2F4C9-8594-430A-990F-5B31FEEE8DC0}"/>
    <cellStyle name="出力 3" xfId="544" xr:uid="{2C1B9E04-E047-4BC8-A082-3292D86206C2}"/>
    <cellStyle name="出力 4" xfId="545" xr:uid="{86D8E3B3-73E3-4344-9D78-760D012201F8}"/>
    <cellStyle name="出力 5" xfId="546" xr:uid="{F9F8B2DB-AC6C-4F4C-B3D0-292ABFE8D0CC}"/>
    <cellStyle name="出力 6" xfId="547" xr:uid="{120E9E80-6458-4726-A74B-13C3CB413099}"/>
    <cellStyle name="出力 7" xfId="548" xr:uid="{6E500409-CDCF-4062-86C3-6B6F46A8543C}"/>
    <cellStyle name="出力 8" xfId="549" xr:uid="{CFE0137E-390F-4779-85AD-C9B48055FCA3}"/>
    <cellStyle name="出力 9" xfId="550" xr:uid="{3ECB0B82-9BEF-47CF-A9DC-7999E1CD9A95}"/>
    <cellStyle name="悪い" xfId="551" xr:uid="{A54D69F8-F464-4152-B82D-A2B4DD61BFD7}"/>
    <cellStyle name="悪い 2" xfId="552" xr:uid="{3A8BEDF0-46D4-47B1-8EF8-2C945C670298}"/>
    <cellStyle name="悪い 2 2" xfId="553" xr:uid="{AAC18D3F-39A5-4667-AF2E-BCB75D159A5A}"/>
    <cellStyle name="悪い 2 3" xfId="554" xr:uid="{CADAAA31-D131-4618-B104-B0BA395C260E}"/>
    <cellStyle name="悪い 2 4" xfId="555" xr:uid="{52E72D10-E692-4ED7-AA9B-EB79A32E7BA4}"/>
    <cellStyle name="悪い 3" xfId="556" xr:uid="{C32B4FE9-A4C2-4A2F-A894-76028446B53C}"/>
    <cellStyle name="悪い 4" xfId="557" xr:uid="{6D7C004A-4331-4DA6-9B82-43FD48603364}"/>
    <cellStyle name="悪い 5" xfId="558" xr:uid="{352D9D5A-E304-4B02-8427-12209F797A18}"/>
    <cellStyle name="悪い 6" xfId="559" xr:uid="{D8F984C5-5633-4E25-B9E9-6C2A246ACCA2}"/>
    <cellStyle name="悪い 7" xfId="560" xr:uid="{75FE7287-1F89-466A-9B06-45C18B1B6DBF}"/>
    <cellStyle name="悪い 8" xfId="561" xr:uid="{E0EB983A-36E3-4157-9E96-1963AC096ABE}"/>
    <cellStyle name="悪い 9" xfId="562" xr:uid="{9BE37E60-B6E2-4ADF-BF79-C02C08F8D626}"/>
    <cellStyle name="桁区切り 2" xfId="563" xr:uid="{9760B289-52B6-4AB9-96F1-5504164FB6F9}"/>
    <cellStyle name="標準 10" xfId="564" xr:uid="{B7B734A2-60ED-4179-8DD4-407F5F6C5B21}"/>
    <cellStyle name="標準 10 10" xfId="565" xr:uid="{82142AEB-C48A-4B25-BE5D-8EC32885C2EF}"/>
    <cellStyle name="標準 10 11" xfId="566" xr:uid="{7E300FF3-D6C9-4055-9CA8-27114CC7CACF}"/>
    <cellStyle name="標準 10 12" xfId="567" xr:uid="{1D067D00-5DF6-4594-B85F-00CA5035BA71}"/>
    <cellStyle name="標準 10 13" xfId="568" xr:uid="{61E751E7-F3E1-4BC7-B015-F4530691FD68}"/>
    <cellStyle name="標準 10 14" xfId="569" xr:uid="{A284B907-8F92-424A-B1EF-12A664237B6B}"/>
    <cellStyle name="標準 10 15" xfId="570" xr:uid="{E6783501-A024-4DDA-8727-24FAA4390989}"/>
    <cellStyle name="標準 10 16" xfId="571" xr:uid="{B9C8FF06-D8CB-4FA8-8211-35E67CDECD94}"/>
    <cellStyle name="標準 10 17" xfId="572" xr:uid="{2806050E-F785-4415-A726-BD0ACC2F1F0D}"/>
    <cellStyle name="標準 10 18" xfId="573" xr:uid="{E72FD164-4192-4895-8A1A-6E5286689A67}"/>
    <cellStyle name="標準 10 19" xfId="574" xr:uid="{F529C3F3-139A-46EC-A064-1A45DED5C624}"/>
    <cellStyle name="標準 10 2" xfId="575" xr:uid="{F42565F3-D544-457D-8F9C-A6D3703B9645}"/>
    <cellStyle name="標準 10 20" xfId="576" xr:uid="{5B59D2E8-4FB8-4D9C-9F46-12AD395EDA20}"/>
    <cellStyle name="標準 10 21" xfId="577" xr:uid="{462BF124-38F7-4E44-80D2-730AC4EB5AC6}"/>
    <cellStyle name="標準 10 22" xfId="578" xr:uid="{7C8D5022-0AAB-4362-BC4E-75F88656E214}"/>
    <cellStyle name="標準 10 23" xfId="579" xr:uid="{F879ED13-35AC-46D2-940C-D740FC78DE1E}"/>
    <cellStyle name="標準 10 24" xfId="580" xr:uid="{565431C8-717B-4C73-B3BA-BD104B36615C}"/>
    <cellStyle name="標準 10 25" xfId="581" xr:uid="{3B02D499-82F6-4D8B-B84B-373ACDB88159}"/>
    <cellStyle name="標準 10 26" xfId="582" xr:uid="{60DBF347-534E-40EB-A684-C83E06E6205C}"/>
    <cellStyle name="標準 10 27" xfId="583" xr:uid="{09AB64EF-CD2D-4C2F-9B39-0B230559E9D3}"/>
    <cellStyle name="標準 10 28" xfId="584" xr:uid="{1E0BC2E2-B003-433E-89A2-58D12C1340AA}"/>
    <cellStyle name="標準 10 29" xfId="585" xr:uid="{78CBC1FB-03DE-460A-807F-55D208EE4D37}"/>
    <cellStyle name="標準 10 3" xfId="586" xr:uid="{BE395391-73DC-44EB-BEDD-776F7F024556}"/>
    <cellStyle name="標準 10 30" xfId="587" xr:uid="{2BB7E3F2-6E99-46CA-9475-F245A446C531}"/>
    <cellStyle name="標準 10 31" xfId="588" xr:uid="{3FD976F1-0C3F-4186-8006-6DBE03C4C5EE}"/>
    <cellStyle name="標準 10 32" xfId="589" xr:uid="{771AD0C0-F6EB-469D-9870-4EC96F6B3565}"/>
    <cellStyle name="標準 10 33" xfId="590" xr:uid="{351BC7A5-47A6-4974-B80B-E81EA8ADE53A}"/>
    <cellStyle name="標準 10 34" xfId="591" xr:uid="{C7035AE5-C7E2-4F87-92AC-72357C381419}"/>
    <cellStyle name="標準 10 35" xfId="592" xr:uid="{652A1FED-A7FF-4F30-8220-84409FE7A60D}"/>
    <cellStyle name="標準 10 36" xfId="593" xr:uid="{B3B047A7-D645-4F56-AC50-2CA17BFD1099}"/>
    <cellStyle name="標準 10 37" xfId="594" xr:uid="{2369CEA1-2A8D-4A24-A885-F9A04CC39793}"/>
    <cellStyle name="標準 10 38" xfId="595" xr:uid="{ED5648D9-5674-4D79-880C-5E04AEA9F605}"/>
    <cellStyle name="標準 10 39" xfId="596" xr:uid="{6A5C8D7E-2563-48C0-8B21-552EF80ED041}"/>
    <cellStyle name="標準 10 4" xfId="597" xr:uid="{B2D91689-7AB8-4C89-BDB1-C64DCC953EBE}"/>
    <cellStyle name="標準 10 40" xfId="598" xr:uid="{BD915644-A2E3-4634-98FA-DA770BEA7CAA}"/>
    <cellStyle name="標準 10 41" xfId="599" xr:uid="{B6913EC8-1BDE-4784-8309-0B50B786B1A5}"/>
    <cellStyle name="標準 10 42" xfId="600" xr:uid="{63874356-AEED-45A4-98C1-98277F4C839A}"/>
    <cellStyle name="標準 10 43" xfId="601" xr:uid="{A866B04D-2B6B-4452-8262-6C659CF4BC2F}"/>
    <cellStyle name="標準 10 44" xfId="602" xr:uid="{930DEDC8-B48B-45CA-98B2-561CA165BDA6}"/>
    <cellStyle name="標準 10 45" xfId="603" xr:uid="{1B73E687-3FFC-4C8B-A344-579BC8672B65}"/>
    <cellStyle name="標準 10 46" xfId="604" xr:uid="{8CD0DF03-15A8-4214-B1F8-B3C3960A246B}"/>
    <cellStyle name="標準 10 47" xfId="605" xr:uid="{86C74FD8-39FB-4CAB-8259-D08D0923F734}"/>
    <cellStyle name="標準 10 48" xfId="606" xr:uid="{AA5FF5E9-EBB7-4A38-B77B-6A23E701CC9B}"/>
    <cellStyle name="標準 10 49" xfId="607" xr:uid="{8122480A-79F2-4C23-97C2-B733959FAA43}"/>
    <cellStyle name="標準 10 5" xfId="608" xr:uid="{B5A987BE-1800-40CF-B095-E8766B803284}"/>
    <cellStyle name="標準 10 50" xfId="609" xr:uid="{88A79453-BE4F-4A49-9626-1EDF9B385154}"/>
    <cellStyle name="標準 10 51" xfId="610" xr:uid="{9134FD70-5143-4CE1-811E-C47A4B6063D3}"/>
    <cellStyle name="標準 10 52" xfId="611" xr:uid="{7CDBD0EC-3307-4DE6-8D3B-28B82BC57DAE}"/>
    <cellStyle name="標準 10 53" xfId="612" xr:uid="{931AB26F-D0E3-40AC-BA5C-283980C53FB5}"/>
    <cellStyle name="標準 10 54" xfId="613" xr:uid="{0DFDF7F2-6546-41AD-9879-5C10690EC8C5}"/>
    <cellStyle name="標準 10 55" xfId="614" xr:uid="{FA9381C1-F251-40E6-97F6-3457DC691F0A}"/>
    <cellStyle name="標準 10 56" xfId="615" xr:uid="{ED60940A-9FD9-4D1F-A623-36E692B87027}"/>
    <cellStyle name="標準 10 57" xfId="616" xr:uid="{08D81FAF-1A30-4FFD-97DC-36890FC61607}"/>
    <cellStyle name="標準 10 58" xfId="617" xr:uid="{8713AC2C-44DF-4245-9378-C5A30956EA7D}"/>
    <cellStyle name="標準 10 59" xfId="618" xr:uid="{C15FEA3D-9B40-4967-A11D-33A9D9AAAEE5}"/>
    <cellStyle name="標準 10 6" xfId="619" xr:uid="{544FEC7B-D7BD-4647-9585-D91AFE66E1A8}"/>
    <cellStyle name="標準 10 60" xfId="620" xr:uid="{68518A58-0495-433B-A598-151406E3166E}"/>
    <cellStyle name="標準 10 61" xfId="621" xr:uid="{AD293651-12B2-4EAC-B131-6714F6DD8566}"/>
    <cellStyle name="標準 10 62" xfId="622" xr:uid="{A035F3F3-8BF4-4D33-AC9D-DDE659081856}"/>
    <cellStyle name="標準 10 63" xfId="623" xr:uid="{35081219-0F0A-4BFA-B397-67CF5AC3298C}"/>
    <cellStyle name="標準 10 64" xfId="624" xr:uid="{0BFF8C6F-A02C-42B9-9114-7E5FDCDA9C44}"/>
    <cellStyle name="標準 10 65" xfId="625" xr:uid="{CA876B28-D140-43C3-B4E7-DA112004AE22}"/>
    <cellStyle name="標準 10 66" xfId="626" xr:uid="{FD06F80E-FFED-4776-8AE8-B64BED951265}"/>
    <cellStyle name="標準 10 67" xfId="627" xr:uid="{FE0A8191-1D25-423E-B1EA-FB1231DE87F1}"/>
    <cellStyle name="標準 10 68" xfId="628" xr:uid="{96FDA176-E41B-4497-BDAA-D4C413DD7589}"/>
    <cellStyle name="標準 10 69" xfId="629" xr:uid="{15AA85A5-88F8-47F0-9DC9-A378C3C1A52F}"/>
    <cellStyle name="標準 10 7" xfId="630" xr:uid="{DB38121F-D997-42A3-B0B4-2C5980EBA8BC}"/>
    <cellStyle name="標準 10 70" xfId="631" xr:uid="{2D088F2F-0FFD-4E08-A97D-F5D9B5839B05}"/>
    <cellStyle name="標準 10 71" xfId="632" xr:uid="{E4A248AD-A19D-417F-9555-BEEBF3133284}"/>
    <cellStyle name="標準 10 72" xfId="633" xr:uid="{7C3425BB-0837-4F58-B60C-25002A7614F0}"/>
    <cellStyle name="標準 10 73" xfId="634" xr:uid="{10899354-9B34-49B3-A308-5999BF7160EF}"/>
    <cellStyle name="標準 10 74" xfId="635" xr:uid="{7A653AF0-D7BA-415D-AE81-ECD30806CFA2}"/>
    <cellStyle name="標準 10 75" xfId="636" xr:uid="{07260BCD-A6E8-4E66-9898-5F96D6810A0A}"/>
    <cellStyle name="標準 10 76" xfId="637" xr:uid="{A1ACEA48-C357-4DFE-B4FB-15C78984D04E}"/>
    <cellStyle name="標準 10 77" xfId="638" xr:uid="{38DD1FB2-D928-47DD-822D-946EE6705DD1}"/>
    <cellStyle name="標準 10 78" xfId="639" xr:uid="{D50CA2FE-7236-47F2-A17E-AA173C0DDFEB}"/>
    <cellStyle name="標準 10 79" xfId="640" xr:uid="{C4D7A69D-5D4B-42AA-BC54-F7F4F8E4A48B}"/>
    <cellStyle name="標準 10 8" xfId="641" xr:uid="{B5965DDF-E67F-4DA6-A521-4A3E72D8B262}"/>
    <cellStyle name="標準 10 80" xfId="642" xr:uid="{F821CC38-CC54-47C6-8E7F-3ADC20068FFF}"/>
    <cellStyle name="標準 10 81" xfId="643" xr:uid="{E20F3A33-4155-487D-834C-6A957B3ECE18}"/>
    <cellStyle name="標準 10 82" xfId="644" xr:uid="{D529C0A7-EFF5-4CDF-894B-DA9799669713}"/>
    <cellStyle name="標準 10 83" xfId="645" xr:uid="{4C4EFC36-CF70-4F77-AB34-262FD062DEBE}"/>
    <cellStyle name="標準 10 84" xfId="646" xr:uid="{D9222285-08DF-4B88-BA5A-EC57C89C7CE7}"/>
    <cellStyle name="標準 10 85" xfId="647" xr:uid="{D39459F8-9F9A-42AB-8098-1A52042EDF3F}"/>
    <cellStyle name="標準 10 86" xfId="648" xr:uid="{0246552B-095A-4C34-8F0B-E4A0212AAFA1}"/>
    <cellStyle name="標準 10 87" xfId="649" xr:uid="{446C802E-F791-4AF4-BAFF-FEB5CBCC87DB}"/>
    <cellStyle name="標準 10 9" xfId="650" xr:uid="{327D8F7C-6D45-49E0-A713-D261A8FC31A4}"/>
    <cellStyle name="標準 11" xfId="651" xr:uid="{D3CBE920-FD88-4323-873E-BBCB563F430A}"/>
    <cellStyle name="標準 11 2" xfId="652" xr:uid="{0CC54FDF-E754-495C-98DE-EC8047D67B44}"/>
    <cellStyle name="標準 11 3" xfId="653" xr:uid="{8B689083-B834-416D-80E1-91E4ECF8DC7D}"/>
    <cellStyle name="標準 11 4" xfId="654" xr:uid="{801E8A23-55E0-494F-8B86-3F6D340F6064}"/>
    <cellStyle name="標準 12" xfId="655" xr:uid="{DD79BF75-5503-47A4-8F7D-D7BE29CC4944}"/>
    <cellStyle name="標準 12 2" xfId="656" xr:uid="{17EA43DD-80D6-407B-86BD-5F6380225F49}"/>
    <cellStyle name="標準 12 3" xfId="657" xr:uid="{8057A9BE-A77D-4711-84C6-6D5660F7C22D}"/>
    <cellStyle name="標準 13 2" xfId="658" xr:uid="{4FD97809-D24D-4BED-B4DA-598BF8654805}"/>
    <cellStyle name="標準 13 3" xfId="659" xr:uid="{B5BD77D4-1C55-409C-B648-961872111126}"/>
    <cellStyle name="標準 14 2" xfId="660" xr:uid="{9624B7DA-89C4-45E5-BA4B-DE949D207FD9}"/>
    <cellStyle name="標準 14 3" xfId="661" xr:uid="{212266AF-EF62-41A5-87C3-8EAD2FE8C66A}"/>
    <cellStyle name="標準 15 2" xfId="662" xr:uid="{90821771-2D37-468B-9D2B-40775B46E855}"/>
    <cellStyle name="標準 15 3" xfId="663" xr:uid="{C31B4AD8-CFDE-4F0B-8712-83ADDA5C7891}"/>
    <cellStyle name="標準 15 4" xfId="664" xr:uid="{9458C71D-A8CD-4D92-93CB-A77936D65A87}"/>
    <cellStyle name="標準 16 2" xfId="665" xr:uid="{AE1040FC-2B84-4070-9195-9FC095E77981}"/>
    <cellStyle name="標準 16 3" xfId="666" xr:uid="{D4094340-C99C-4972-8E4D-2016D66FA472}"/>
    <cellStyle name="標準 17 2" xfId="667" xr:uid="{DF959972-E3E3-40B7-A639-603C74073392}"/>
    <cellStyle name="標準 17 3" xfId="668" xr:uid="{AFA37015-FB5C-41A6-A06C-F940314B2BE4}"/>
    <cellStyle name="標準 18 2" xfId="669" xr:uid="{44EB882D-332A-43C9-95EA-0B4C853BF5C0}"/>
    <cellStyle name="標準 18 3" xfId="670" xr:uid="{17D67EE7-C4F2-48E2-8B47-A5AD16449DB1}"/>
    <cellStyle name="標準 19 2" xfId="671" xr:uid="{5126561A-CE24-45DC-897D-235BFBC63A78}"/>
    <cellStyle name="標準 19 3" xfId="672" xr:uid="{4D3E1510-039F-408D-8FF0-30CA78BCB669}"/>
    <cellStyle name="標準 2" xfId="673" xr:uid="{11649AF4-B371-443C-AFF0-034F513EB707}"/>
    <cellStyle name="標準 2 10" xfId="674" xr:uid="{05DDE0AE-C4C8-42D0-8AA0-C24E21A9643E}"/>
    <cellStyle name="標準 2 100" xfId="675" xr:uid="{C40E4781-B863-4213-A7D4-20E189D71FBB}"/>
    <cellStyle name="標準 2 101" xfId="676" xr:uid="{C4298289-9654-4501-9497-4BFC91D300F6}"/>
    <cellStyle name="標準 2 102" xfId="677" xr:uid="{1B320167-39E0-41A9-83D8-00DDBB8A3D5F}"/>
    <cellStyle name="標準 2 103" xfId="678" xr:uid="{825C1F6D-94AE-47D4-9F0C-DD797F754883}"/>
    <cellStyle name="標準 2 104" xfId="679" xr:uid="{81DA00F9-2023-41F5-82A2-5EFA1053FF5B}"/>
    <cellStyle name="標準 2 105" xfId="680" xr:uid="{69FB0E3C-548C-4F23-B5DF-9B0B5BFB1ADE}"/>
    <cellStyle name="標準 2 11" xfId="681" xr:uid="{D45C136E-855B-4C91-AB76-6CF6F947B37C}"/>
    <cellStyle name="標準 2 12" xfId="682" xr:uid="{60E0B13C-1E62-4895-AD3D-34DE8686DFF7}"/>
    <cellStyle name="標準 2 13" xfId="683" xr:uid="{2D229372-1E7D-4C26-9A0A-218C4C1593E3}"/>
    <cellStyle name="標準 2 14" xfId="684" xr:uid="{4B8D1DC2-74AA-42DF-8DE3-2602A4409AFA}"/>
    <cellStyle name="標準 2 15" xfId="685" xr:uid="{5EC27E98-AFC5-4A8B-9D24-F824A8B21D89}"/>
    <cellStyle name="標準 2 16" xfId="686" xr:uid="{396E6533-2D7E-4D4A-AA62-B58F0BDFCBEC}"/>
    <cellStyle name="標準 2 17" xfId="687" xr:uid="{F65D0540-2E55-43BA-84FA-F4C850CBCFD4}"/>
    <cellStyle name="標準 2 18" xfId="688" xr:uid="{3940FBD0-A7F7-495F-B76D-E66EA5ADB098}"/>
    <cellStyle name="標準 2 19" xfId="689" xr:uid="{950B9B14-2440-4573-B8B8-C6601EF3BED5}"/>
    <cellStyle name="標準 2 2" xfId="690" xr:uid="{59E7A675-6BEB-4109-80C2-1EA0DD6D6F64}"/>
    <cellStyle name="標準 2 2 10" xfId="691" xr:uid="{FDD99E7C-C8BD-4465-8675-A33C59FD817B}"/>
    <cellStyle name="標準 2 2 100" xfId="692" xr:uid="{24299666-593A-4456-869B-8C92119AB657}"/>
    <cellStyle name="標準 2 2 101" xfId="693" xr:uid="{08C866CE-DB28-4689-9C6E-05B04BBA4F60}"/>
    <cellStyle name="標準 2 2 102" xfId="694" xr:uid="{9B6B7DCA-69B7-45B9-826B-D297A5F0AE9A}"/>
    <cellStyle name="標準 2 2 11" xfId="695" xr:uid="{530EF772-C7A7-44A5-ADC9-6A5FB651CD88}"/>
    <cellStyle name="標準 2 2 12" xfId="696" xr:uid="{6ACF45CA-069E-40B8-A954-6007B5F11E6F}"/>
    <cellStyle name="標準 2 2 13" xfId="697" xr:uid="{181E7B31-D589-4A73-8465-E9CD4C05B4FA}"/>
    <cellStyle name="標準 2 2 14" xfId="698" xr:uid="{B2C8C189-064E-4042-B339-421D932799F9}"/>
    <cellStyle name="標準 2 2 15" xfId="699" xr:uid="{48E69DD3-C11F-4D1C-9110-57BAF33CEEA2}"/>
    <cellStyle name="標準 2 2 16" xfId="700" xr:uid="{06D0C736-75E4-44B3-A604-845655111F2C}"/>
    <cellStyle name="標準 2 2 17" xfId="701" xr:uid="{FB9466D0-607F-45D9-A597-A7FD05F06EBB}"/>
    <cellStyle name="標準 2 2 18" xfId="702" xr:uid="{048553E4-95DC-4DED-AB21-1F3907ADCCEA}"/>
    <cellStyle name="標準 2 2 19" xfId="703" xr:uid="{587A1A4C-535F-4E2C-A7B8-552F30B4B301}"/>
    <cellStyle name="標準 2 2 2" xfId="704" xr:uid="{EB39FAA9-86CC-4901-8DC8-451869C2C6F7}"/>
    <cellStyle name="標準 2 2 2 10" xfId="705" xr:uid="{1FEE7160-5B68-47FB-BD36-5CC0BF72E76F}"/>
    <cellStyle name="標準 2 2 2 11" xfId="706" xr:uid="{CC6EFE57-4BFC-46F5-B47C-D58AB12FEAA7}"/>
    <cellStyle name="標準 2 2 2 12" xfId="707" xr:uid="{DB388D3D-CB4E-4E17-86D1-3152B1EF1654}"/>
    <cellStyle name="標準 2 2 2 13" xfId="708" xr:uid="{C1C2BB19-F52A-4329-8169-6068CB48F227}"/>
    <cellStyle name="標準 2 2 2 14" xfId="709" xr:uid="{63EF725B-2E5E-40A0-94B3-9012D0611B17}"/>
    <cellStyle name="標準 2 2 2 15" xfId="710" xr:uid="{84E9AA8D-91A4-4364-90CB-88D942F0088F}"/>
    <cellStyle name="標準 2 2 2 16" xfId="711" xr:uid="{F2C8386E-4F9B-44D1-A83C-A897FC915998}"/>
    <cellStyle name="標準 2 2 2 17" xfId="712" xr:uid="{E94FAE94-D206-427D-97E0-4D5439656067}"/>
    <cellStyle name="標準 2 2 2 18" xfId="713" xr:uid="{6831E298-12A3-4290-96F4-31D39AC1A436}"/>
    <cellStyle name="標準 2 2 2 19" xfId="714" xr:uid="{40D9EF3D-5229-4389-9BBF-C09B30266541}"/>
    <cellStyle name="標準 2 2 2 2" xfId="715" xr:uid="{5B3E0204-A526-41AA-A51D-D5EEEBE2E8D4}"/>
    <cellStyle name="標準 2 2 2 2 10" xfId="716" xr:uid="{0E453B43-0321-4C30-A056-28A851EA1FF4}"/>
    <cellStyle name="標準 2 2 2 2 11" xfId="717" xr:uid="{79322451-ECDC-4D4C-909B-5677031A97D7}"/>
    <cellStyle name="標準 2 2 2 2 12" xfId="718" xr:uid="{2C67452A-D835-47EA-92E0-C74D91FDEE3A}"/>
    <cellStyle name="標準 2 2 2 2 13" xfId="719" xr:uid="{973ACE26-EF36-40B8-84A0-00B5376C525C}"/>
    <cellStyle name="標準 2 2 2 2 14" xfId="720" xr:uid="{F10120A6-3582-44FD-B108-17C2AA67692B}"/>
    <cellStyle name="標準 2 2 2 2 15" xfId="721" xr:uid="{C4B7B45E-5E6D-4756-92A7-3D78E180F869}"/>
    <cellStyle name="標準 2 2 2 2 16" xfId="722" xr:uid="{7368A8DC-A6E7-4EC3-A1FB-B1105EDEFE1D}"/>
    <cellStyle name="標準 2 2 2 2 17" xfId="723" xr:uid="{F91754F3-0822-4202-8007-751B3C4CA5AF}"/>
    <cellStyle name="標準 2 2 2 2 18" xfId="724" xr:uid="{DFABEEE7-ED69-46DF-985C-5B96B88B8E25}"/>
    <cellStyle name="標準 2 2 2 2 19" xfId="725" xr:uid="{452AAEF6-5E9E-4071-A9C1-8D18FE20A487}"/>
    <cellStyle name="標準 2 2 2 2 2" xfId="726" xr:uid="{9E509756-D2F0-4581-ACE3-A1F9715908FE}"/>
    <cellStyle name="標準 2 2 2 2 20" xfId="727" xr:uid="{3F024A3E-49B4-49B2-9258-D9D4330A161F}"/>
    <cellStyle name="標準 2 2 2 2 21" xfId="728" xr:uid="{48F0174D-7580-44C1-BA17-D3CCC454CDD1}"/>
    <cellStyle name="標準 2 2 2 2 22" xfId="729" xr:uid="{F4BF0DC0-8A4A-4443-8D49-43568FF6CCCE}"/>
    <cellStyle name="標準 2 2 2 2 23" xfId="730" xr:uid="{95D248F9-BD51-448D-B358-D315AF747524}"/>
    <cellStyle name="標準 2 2 2 2 24" xfId="731" xr:uid="{4F2BE8CD-713A-450E-8E10-0FBF5B1BE6B2}"/>
    <cellStyle name="標準 2 2 2 2 25" xfId="732" xr:uid="{772C8545-2E44-4424-8467-74CF3C8AF526}"/>
    <cellStyle name="標準 2 2 2 2 26" xfId="733" xr:uid="{2D055D52-EB7B-45ED-91C0-C8D101A0A6B9}"/>
    <cellStyle name="標準 2 2 2 2 27" xfId="734" xr:uid="{735EF56A-043E-45D0-831D-C75B6B5CDAB2}"/>
    <cellStyle name="標準 2 2 2 2 28" xfId="735" xr:uid="{4781D07B-F954-4E5F-959D-15A49D678AA7}"/>
    <cellStyle name="標準 2 2 2 2 29" xfId="736" xr:uid="{48635E4E-7B79-420A-A921-138298E280F2}"/>
    <cellStyle name="標準 2 2 2 2 3" xfId="737" xr:uid="{2E8C9E51-57C7-4550-AA5C-D4687F423B26}"/>
    <cellStyle name="標準 2 2 2 2 30" xfId="738" xr:uid="{D2DE46EF-8F05-42EC-A7E0-54828EC4CA67}"/>
    <cellStyle name="標準 2 2 2 2 31" xfId="739" xr:uid="{7F799316-1EA5-4A47-8C28-8D548877F0BA}"/>
    <cellStyle name="標準 2 2 2 2 32" xfId="740" xr:uid="{D908D652-4A2B-4027-8A6F-F5CC85B7F89A}"/>
    <cellStyle name="標準 2 2 2 2 33" xfId="741" xr:uid="{B1176A72-866A-4E67-93A7-E4DC03D869CF}"/>
    <cellStyle name="標準 2 2 2 2 34" xfId="742" xr:uid="{6AB11524-690D-4DFC-837E-7E26A3FD02C5}"/>
    <cellStyle name="標準 2 2 2 2 35" xfId="743" xr:uid="{7CE187F0-34C7-4DB9-A3A2-B1EFBDF2EC40}"/>
    <cellStyle name="標準 2 2 2 2 36" xfId="744" xr:uid="{68DA9804-B3F0-4BC3-A635-C44078C89B07}"/>
    <cellStyle name="標準 2 2 2 2 37" xfId="745" xr:uid="{22F28C71-7F30-455F-A36F-3FF276FA2A7F}"/>
    <cellStyle name="標準 2 2 2 2 38" xfId="746" xr:uid="{7A1C5225-F625-4CDD-B02A-6D319D36D8F7}"/>
    <cellStyle name="標準 2 2 2 2 39" xfId="747" xr:uid="{20E08696-273D-489C-8B57-B813046FBF8C}"/>
    <cellStyle name="標準 2 2 2 2 4" xfId="748" xr:uid="{1273A7D0-6C00-40D8-B547-348416633CF5}"/>
    <cellStyle name="標準 2 2 2 2 40" xfId="749" xr:uid="{5FCFEA3F-FA20-41F0-8957-03C53EF5473A}"/>
    <cellStyle name="標準 2 2 2 2 41" xfId="750" xr:uid="{3070E35F-D88F-415B-BB0D-4B660B34A575}"/>
    <cellStyle name="標準 2 2 2 2 42" xfId="751" xr:uid="{988BEE61-EF36-41F9-9DA2-4E0E67FEDF19}"/>
    <cellStyle name="標準 2 2 2 2 43" xfId="752" xr:uid="{76D6E930-8FCE-42C2-9BAC-EEFD2214045C}"/>
    <cellStyle name="標準 2 2 2 2 44" xfId="753" xr:uid="{BD1978AA-CD17-4B47-BFD4-53A85A5C8263}"/>
    <cellStyle name="標準 2 2 2 2 45" xfId="754" xr:uid="{55D9D771-DC6B-449D-9BCF-392F1943FC64}"/>
    <cellStyle name="標準 2 2 2 2 46" xfId="755" xr:uid="{B9B86CBB-A1F4-43DE-9FB0-9BE9DCBA86B0}"/>
    <cellStyle name="標準 2 2 2 2 47" xfId="756" xr:uid="{F8A83F6A-F10E-4F48-B306-8D07DB103AE6}"/>
    <cellStyle name="標準 2 2 2 2 48" xfId="757" xr:uid="{EF922CB1-CC35-46E5-A27B-1CCFCD62C146}"/>
    <cellStyle name="標準 2 2 2 2 49" xfId="758" xr:uid="{9CEDEBF1-C2B8-4A72-9ECB-73366FE9F8CF}"/>
    <cellStyle name="標準 2 2 2 2 5" xfId="759" xr:uid="{83F5B4D0-0871-445D-9DE6-EDA46DC7F086}"/>
    <cellStyle name="標準 2 2 2 2 50" xfId="760" xr:uid="{9CA09661-E349-45E2-BEC0-037579A5964C}"/>
    <cellStyle name="標準 2 2 2 2 51" xfId="761" xr:uid="{DCD94566-1F71-4786-B0B7-E3E304AA4F84}"/>
    <cellStyle name="標準 2 2 2 2 52" xfId="762" xr:uid="{6C68944D-53CB-41A2-BA97-5105A495A474}"/>
    <cellStyle name="標準 2 2 2 2 53" xfId="763" xr:uid="{07D1A1AF-2DA5-460C-8F3D-5F676A139EF6}"/>
    <cellStyle name="標準 2 2 2 2 54" xfId="764" xr:uid="{32436B66-738C-4D11-A532-F2CF24C0507D}"/>
    <cellStyle name="標準 2 2 2 2 55" xfId="765" xr:uid="{19E6199F-D353-477A-8B50-D59302ACF4B3}"/>
    <cellStyle name="標準 2 2 2 2 56" xfId="766" xr:uid="{B398E51D-1890-4949-966B-F2967103883A}"/>
    <cellStyle name="標準 2 2 2 2 57" xfId="767" xr:uid="{61C6CE34-C540-48F3-808D-602827DB3B2D}"/>
    <cellStyle name="標準 2 2 2 2 58" xfId="768" xr:uid="{8FDFBE43-EEB5-47C0-B8A6-EE7D87D67EF6}"/>
    <cellStyle name="標準 2 2 2 2 59" xfId="769" xr:uid="{C3CF43AD-FB8E-474C-B35F-14757319A740}"/>
    <cellStyle name="標準 2 2 2 2 6" xfId="770" xr:uid="{0EA86FAA-CE1C-49D9-9EC9-26253F5BE1D7}"/>
    <cellStyle name="標準 2 2 2 2 60" xfId="771" xr:uid="{65CAEB8B-4751-4515-91E6-D4CBCB2E6325}"/>
    <cellStyle name="標準 2 2 2 2 61" xfId="772" xr:uid="{0B2B3612-FD7F-4B56-9060-4C562BE1D82E}"/>
    <cellStyle name="標準 2 2 2 2 62" xfId="773" xr:uid="{A0F7AF79-35D3-4798-9849-DA13AF93D482}"/>
    <cellStyle name="標準 2 2 2 2 63" xfId="774" xr:uid="{348F7E1E-4179-4CC0-A61C-0E85602DBBE7}"/>
    <cellStyle name="標準 2 2 2 2 64" xfId="775" xr:uid="{C5670118-AD7B-4B62-BC28-5BB2A3B3E8E8}"/>
    <cellStyle name="標準 2 2 2 2 65" xfId="776" xr:uid="{F9FBF602-6B04-4ACD-8C0C-B46885DB7F89}"/>
    <cellStyle name="標準 2 2 2 2 66" xfId="777" xr:uid="{68B2E198-A216-4B39-AE60-6E61B8B5FFBA}"/>
    <cellStyle name="標準 2 2 2 2 67" xfId="778" xr:uid="{B364E00C-6A95-48C2-8B4E-2CD4F6A32435}"/>
    <cellStyle name="標準 2 2 2 2 68" xfId="779" xr:uid="{DB275BB4-6EF5-40B9-871D-E47BFCDBBB0E}"/>
    <cellStyle name="標準 2 2 2 2 69" xfId="780" xr:uid="{5024FBA1-E833-4609-93A3-A65535BA68C1}"/>
    <cellStyle name="標準 2 2 2 2 7" xfId="781" xr:uid="{C0A99B69-097D-4308-9176-00C43E4C8BC4}"/>
    <cellStyle name="標準 2 2 2 2 70" xfId="782" xr:uid="{1624C134-2EB3-4349-A564-8BDC80262C00}"/>
    <cellStyle name="標準 2 2 2 2 71" xfId="783" xr:uid="{DB4018EC-D97D-4260-80D9-02115210EAE4}"/>
    <cellStyle name="標準 2 2 2 2 72" xfId="784" xr:uid="{FB69F5AC-5EBE-4E39-9BF4-F99BD10BCE06}"/>
    <cellStyle name="標準 2 2 2 2 73" xfId="785" xr:uid="{4FC5AEF9-7551-48E5-8650-7E72FBC2FC55}"/>
    <cellStyle name="標準 2 2 2 2 74" xfId="786" xr:uid="{4F39F816-ADFB-459E-AE1E-E6174AA51EEB}"/>
    <cellStyle name="標準 2 2 2 2 75" xfId="787" xr:uid="{666248DE-128E-43EF-AB7A-38900ADED164}"/>
    <cellStyle name="標準 2 2 2 2 76" xfId="788" xr:uid="{A6AFB126-D0DD-475B-BD3E-1BD4D27E4314}"/>
    <cellStyle name="標準 2 2 2 2 77" xfId="789" xr:uid="{3452D301-415D-45A2-ABC1-D3E182D9870D}"/>
    <cellStyle name="標準 2 2 2 2 78" xfId="790" xr:uid="{06C025EC-0B1B-485F-A7ED-460C5DC74A0C}"/>
    <cellStyle name="標準 2 2 2 2 79" xfId="791" xr:uid="{9AF99A2E-FA51-4085-9366-A4578A86595F}"/>
    <cellStyle name="標準 2 2 2 2 8" xfId="792" xr:uid="{7DF2A647-FC19-4959-BCBA-BB5DAE0750C7}"/>
    <cellStyle name="標準 2 2 2 2 80" xfId="793" xr:uid="{A2046F70-CEB8-4631-ABF3-C4633DB602EE}"/>
    <cellStyle name="標準 2 2 2 2 81" xfId="794" xr:uid="{A4272C35-D24E-4883-AA7E-1C3B9E7A837D}"/>
    <cellStyle name="標準 2 2 2 2 82" xfId="795" xr:uid="{008754C5-34CC-40A4-9B69-F558BA58273C}"/>
    <cellStyle name="標準 2 2 2 2 83" xfId="796" xr:uid="{3487BB52-CCC1-48BE-A982-0B4AC00B3C07}"/>
    <cellStyle name="標準 2 2 2 2 84" xfId="797" xr:uid="{E4984FF9-CB80-474C-B8C6-2544FC0CD0F7}"/>
    <cellStyle name="標準 2 2 2 2 9" xfId="798" xr:uid="{C575BB82-DF19-42A2-AB46-7DD0AB379AD3}"/>
    <cellStyle name="標準 2 2 2 20" xfId="799" xr:uid="{7D2A44F7-E2D2-4F2F-BCF7-EFDDF0FEFB47}"/>
    <cellStyle name="標準 2 2 2 21" xfId="800" xr:uid="{0E4867E1-1FCE-4F37-B697-2B65CA52EFDF}"/>
    <cellStyle name="標準 2 2 2 22" xfId="801" xr:uid="{C7FBEA7B-7C86-47D6-94DC-29EB48CA5692}"/>
    <cellStyle name="標準 2 2 2 23" xfId="802" xr:uid="{FD692ADB-ED45-48DE-83CA-7BB0A244918F}"/>
    <cellStyle name="標準 2 2 2 24" xfId="803" xr:uid="{78E0BF95-5ABA-413D-9839-0CF6AD785F84}"/>
    <cellStyle name="標準 2 2 2 25" xfId="804" xr:uid="{1BDC3CFE-5990-4AB2-BE1A-7B6CC8A3461A}"/>
    <cellStyle name="標準 2 2 2 26" xfId="805" xr:uid="{301A40F2-E3D6-4D34-8800-3504079AC365}"/>
    <cellStyle name="標準 2 2 2 27" xfId="806" xr:uid="{41BA558A-544B-439D-A312-EC7C2A8DA286}"/>
    <cellStyle name="標準 2 2 2 28" xfId="807" xr:uid="{E372C1FB-9976-40B5-88CE-35993450FD77}"/>
    <cellStyle name="標準 2 2 2 29" xfId="808" xr:uid="{E0F8771D-3409-498D-ABFA-1303CEB0E54A}"/>
    <cellStyle name="標準 2 2 2 3" xfId="809" xr:uid="{02797112-8365-4CAD-B71A-C031D7563E15}"/>
    <cellStyle name="標準 2 2 2 30" xfId="810" xr:uid="{7AB30CA8-56D8-47A7-8AAD-C25B0193F5DD}"/>
    <cellStyle name="標準 2 2 2 31" xfId="811" xr:uid="{F4EEB362-0C0D-43B4-A792-DB2E65FBEAD6}"/>
    <cellStyle name="標準 2 2 2 32" xfId="812" xr:uid="{D979A158-B657-4E9D-A3D1-988D8D70FF5F}"/>
    <cellStyle name="標準 2 2 2 33" xfId="813" xr:uid="{92658D1A-813F-4FF1-94D8-69DC64EA5C62}"/>
    <cellStyle name="標準 2 2 2 34" xfId="814" xr:uid="{DA64B6CD-43D3-4605-958F-577F22929AC4}"/>
    <cellStyle name="標準 2 2 2 35" xfId="815" xr:uid="{E530F928-0C3F-4D80-B44A-60A021E0ADEC}"/>
    <cellStyle name="標準 2 2 2 36" xfId="816" xr:uid="{10724071-0CAC-411E-BEA1-40B6B738637F}"/>
    <cellStyle name="標準 2 2 2 37" xfId="817" xr:uid="{5620E592-34CC-4D63-A931-706CEB7BBEBA}"/>
    <cellStyle name="標準 2 2 2 38" xfId="818" xr:uid="{AFA9DECD-AD94-4070-95A6-F86DB21568BE}"/>
    <cellStyle name="標準 2 2 2 39" xfId="819" xr:uid="{57C25225-3531-4C46-B750-0D9B3A5F734B}"/>
    <cellStyle name="標準 2 2 2 4" xfId="820" xr:uid="{4CDD30AF-3927-47D9-832D-80AB043961A1}"/>
    <cellStyle name="標準 2 2 2 40" xfId="821" xr:uid="{F407F027-DD1D-493A-9BFA-9723A2007FBC}"/>
    <cellStyle name="標準 2 2 2 41" xfId="822" xr:uid="{A4A99023-BC56-4576-B237-021A5BD16F84}"/>
    <cellStyle name="標準 2 2 2 42" xfId="823" xr:uid="{FE9C39FB-1754-4DA8-8EEA-1C9EE97D7726}"/>
    <cellStyle name="標準 2 2 2 43" xfId="824" xr:uid="{F9F84E1C-C0B8-467B-80D0-D9379952EEC8}"/>
    <cellStyle name="標準 2 2 2 44" xfId="825" xr:uid="{305F6C4E-7747-4099-8740-5BA74B93DA8A}"/>
    <cellStyle name="標準 2 2 2 45" xfId="826" xr:uid="{34031CEE-4AC4-4F78-BD14-F02868DA3E88}"/>
    <cellStyle name="標準 2 2 2 46" xfId="827" xr:uid="{A4139308-048A-44FA-B62C-2AF46D909D4A}"/>
    <cellStyle name="標準 2 2 2 47" xfId="828" xr:uid="{BABE64BB-7DAC-48B9-BA77-308A589B2A07}"/>
    <cellStyle name="標準 2 2 2 48" xfId="829" xr:uid="{2A7E5D92-BF6E-4CC3-8E12-A15892238852}"/>
    <cellStyle name="標準 2 2 2 49" xfId="830" xr:uid="{E89752D6-6A6B-4B6E-8E2F-5471734AD526}"/>
    <cellStyle name="標準 2 2 2 5" xfId="831" xr:uid="{1E953C13-8A67-4CED-A4D1-FA81CD509CE7}"/>
    <cellStyle name="標準 2 2 2 50" xfId="832" xr:uid="{71FD8C8D-E697-48EB-88D6-F131D30B6D83}"/>
    <cellStyle name="標準 2 2 2 51" xfId="833" xr:uid="{45AD7D14-18B0-40F5-BE51-9A363BF8E8AD}"/>
    <cellStyle name="標準 2 2 2 52" xfId="834" xr:uid="{739A444C-68D7-473D-BA87-5BDE4DCF7F0D}"/>
    <cellStyle name="標準 2 2 2 53" xfId="835" xr:uid="{D158999C-0EA4-4868-9D7C-62669E65C8BD}"/>
    <cellStyle name="標準 2 2 2 54" xfId="836" xr:uid="{ADE81380-7C5F-4023-B229-CEBD46EBB6FF}"/>
    <cellStyle name="標準 2 2 2 55" xfId="837" xr:uid="{976BC326-9381-41DE-AAB3-1028BD250E4F}"/>
    <cellStyle name="標準 2 2 2 56" xfId="838" xr:uid="{AEDBC871-C531-4686-9CA4-F72C7B9875F8}"/>
    <cellStyle name="標準 2 2 2 57" xfId="839" xr:uid="{DC61FB61-467F-485A-987B-9EB8DD8C84CC}"/>
    <cellStyle name="標準 2 2 2 58" xfId="840" xr:uid="{EB99E580-996C-4CDE-BB39-5B58778D3FF4}"/>
    <cellStyle name="標準 2 2 2 59" xfId="841" xr:uid="{33B25ACB-9952-4210-AAD7-2FCCF730E02F}"/>
    <cellStyle name="標準 2 2 2 6" xfId="842" xr:uid="{E0AFD196-8B1E-40B4-934C-963CE6CFA74B}"/>
    <cellStyle name="標準 2 2 2 60" xfId="843" xr:uid="{82BD1987-A80F-40AE-BCF4-08EF104DF1D3}"/>
    <cellStyle name="標準 2 2 2 61" xfId="844" xr:uid="{1615ABBE-AD53-4D04-83D8-98830D052EDA}"/>
    <cellStyle name="標準 2 2 2 62" xfId="845" xr:uid="{45DDBCC8-AAEA-4491-8DA4-DB5F88005D80}"/>
    <cellStyle name="標準 2 2 2 63" xfId="846" xr:uid="{3D2B41E2-03E8-411E-90D7-60B4921E803C}"/>
    <cellStyle name="標準 2 2 2 64" xfId="847" xr:uid="{B64427D8-22FD-4CCD-BD4D-9B88D2D8E80F}"/>
    <cellStyle name="標準 2 2 2 65" xfId="848" xr:uid="{2CDD56D8-EB1F-4D22-98BB-EFEC317C32DD}"/>
    <cellStyle name="標準 2 2 2 66" xfId="849" xr:uid="{7C221AE3-55A0-414F-ACB5-EFA5358C4DD3}"/>
    <cellStyle name="標準 2 2 2 67" xfId="850" xr:uid="{669FF021-3C73-49BE-BF74-CC0AD16B4694}"/>
    <cellStyle name="標準 2 2 2 68" xfId="851" xr:uid="{4BD934B2-B6F2-4E05-ABF3-4F312ED819A9}"/>
    <cellStyle name="標準 2 2 2 69" xfId="852" xr:uid="{19868374-7C03-4865-8FFA-5F1110B7182A}"/>
    <cellStyle name="標準 2 2 2 7" xfId="853" xr:uid="{9AFACE00-2EFA-493C-B3E5-6093ACDDCA39}"/>
    <cellStyle name="標準 2 2 2 70" xfId="854" xr:uid="{EDC0BF51-46D4-42AF-940C-1AAF8A986500}"/>
    <cellStyle name="標準 2 2 2 71" xfId="855" xr:uid="{D675031E-F842-41AD-AB8E-319B02E19529}"/>
    <cellStyle name="標準 2 2 2 72" xfId="856" xr:uid="{29F39FB1-9139-462D-9E00-FD4F98580DC3}"/>
    <cellStyle name="標準 2 2 2 73" xfId="857" xr:uid="{20449024-01F7-454B-8E40-74CDCFEDC7A1}"/>
    <cellStyle name="標準 2 2 2 74" xfId="858" xr:uid="{4F9E84DD-7098-4D55-B6A8-9CA27BE6759C}"/>
    <cellStyle name="標準 2 2 2 75" xfId="859" xr:uid="{F4963CA5-40C8-442D-BB5E-85972D90E1AE}"/>
    <cellStyle name="標準 2 2 2 76" xfId="860" xr:uid="{403DE784-7996-4865-BBA2-7E9C842A1C8F}"/>
    <cellStyle name="標準 2 2 2 77" xfId="861" xr:uid="{22D6B48F-CF96-4279-B5AE-6362022D5EC4}"/>
    <cellStyle name="標準 2 2 2 78" xfId="862" xr:uid="{115EE887-6903-4242-B74E-7041C45FDBCB}"/>
    <cellStyle name="標準 2 2 2 79" xfId="863" xr:uid="{6745FB1A-D310-40E3-A63F-D93A47024ADD}"/>
    <cellStyle name="標準 2 2 2 8" xfId="864" xr:uid="{B1D4F1E1-39FE-4EB7-91C0-D4AF4B0019E1}"/>
    <cellStyle name="標準 2 2 2 80" xfId="865" xr:uid="{6E395058-BC7C-425F-A80C-9C5B714C6B11}"/>
    <cellStyle name="標準 2 2 2 81" xfId="866" xr:uid="{C3FF9751-13C1-4855-9374-52720E2BA1E1}"/>
    <cellStyle name="標準 2 2 2 82" xfId="867" xr:uid="{D3576E75-8F6C-4C87-B22D-F1AA09D709D2}"/>
    <cellStyle name="標準 2 2 2 83" xfId="868" xr:uid="{AFB92F86-DA45-488D-9B80-FCFA724AA7D6}"/>
    <cellStyle name="標準 2 2 2 84" xfId="869" xr:uid="{E6360EEF-9AA2-455D-BB78-098EF14707AC}"/>
    <cellStyle name="標準 2 2 2 85" xfId="870" xr:uid="{4932110C-5473-4064-8878-BBC7DB84EC6A}"/>
    <cellStyle name="標準 2 2 2 9" xfId="871" xr:uid="{60E1F712-C025-4282-A079-D84BC91EFD20}"/>
    <cellStyle name="標準 2 2 20" xfId="872" xr:uid="{0A160FD0-41EB-4C15-BD64-4E1A9F1073AD}"/>
    <cellStyle name="標準 2 2 20 10" xfId="873" xr:uid="{8CD4C078-55ED-468D-9C5F-E8DC2F0CDC79}"/>
    <cellStyle name="標準 2 2 20 11" xfId="874" xr:uid="{09D3F5E8-C64E-45E1-BFD6-547A635F611A}"/>
    <cellStyle name="標準 2 2 20 12" xfId="875" xr:uid="{4E73E5C3-4E79-4207-974D-A321B21E282F}"/>
    <cellStyle name="標準 2 2 20 13" xfId="876" xr:uid="{04E5F255-DB06-4725-A596-91DA9A353B8E}"/>
    <cellStyle name="標準 2 2 20 14" xfId="877" xr:uid="{187E8A3B-5187-4086-9170-0C1DE8C5E79F}"/>
    <cellStyle name="標準 2 2 20 15" xfId="878" xr:uid="{05EF640B-6AE6-45C9-8721-0F86C0F5C611}"/>
    <cellStyle name="標準 2 2 20 16" xfId="879" xr:uid="{459AEE22-BBA2-4C3C-BF76-E0B834FED10B}"/>
    <cellStyle name="標準 2 2 20 17" xfId="880" xr:uid="{7A9483DC-0EEC-4F31-950F-56C7B643E631}"/>
    <cellStyle name="標準 2 2 20 18" xfId="881" xr:uid="{DDB8055C-A639-4E71-BCEF-54823E23640F}"/>
    <cellStyle name="標準 2 2 20 19" xfId="882" xr:uid="{A93693A0-C86F-4B46-8729-BF5063F5AD71}"/>
    <cellStyle name="標準 2 2 20 2" xfId="883" xr:uid="{10B2F15B-1DC8-439A-ACA7-8456D5C392D9}"/>
    <cellStyle name="標準 2 2 20 20" xfId="884" xr:uid="{0F104EE5-C76B-4E8E-BB83-0836E80B4A20}"/>
    <cellStyle name="標準 2 2 20 21" xfId="885" xr:uid="{0A8D2FD8-D575-4949-B0EC-185E01E246B8}"/>
    <cellStyle name="標準 2 2 20 22" xfId="886" xr:uid="{D76C707F-7345-40AB-AD90-1143D1A0B562}"/>
    <cellStyle name="標準 2 2 20 23" xfId="887" xr:uid="{927DD63A-9A42-4CBB-A6D5-15B80A78FCE0}"/>
    <cellStyle name="標準 2 2 20 24" xfId="888" xr:uid="{199AE29B-2A64-468A-953E-D011EEEEEE11}"/>
    <cellStyle name="標準 2 2 20 25" xfId="889" xr:uid="{14593950-C626-4514-9D05-B585D1BE8546}"/>
    <cellStyle name="標準 2 2 20 26" xfId="890" xr:uid="{2D5C5A4E-60FE-4832-9B12-6E017F024FCE}"/>
    <cellStyle name="標準 2 2 20 27" xfId="891" xr:uid="{2A7DC4DD-E695-471A-B434-765C85B5E4DA}"/>
    <cellStyle name="標準 2 2 20 28" xfId="892" xr:uid="{0023BA53-0818-4169-A84E-F19AB1BD42B9}"/>
    <cellStyle name="標準 2 2 20 29" xfId="893" xr:uid="{09E8CC86-6D21-4DF2-B682-55943EF63759}"/>
    <cellStyle name="標準 2 2 20 3" xfId="894" xr:uid="{2CE71CE3-9E41-4031-A66E-5F18AAF74A2C}"/>
    <cellStyle name="標準 2 2 20 30" xfId="895" xr:uid="{8AA53E0E-A072-4FEC-8EEF-CE9ADD48B40A}"/>
    <cellStyle name="標準 2 2 20 31" xfId="896" xr:uid="{0ADA5267-602F-48F2-B069-125A2AFDF512}"/>
    <cellStyle name="標準 2 2 20 32" xfId="897" xr:uid="{F7176909-EBE5-448C-A51E-58B82726670D}"/>
    <cellStyle name="標準 2 2 20 33" xfId="898" xr:uid="{602E9BCE-EF5B-4E80-9FE9-B19243107682}"/>
    <cellStyle name="標準 2 2 20 34" xfId="899" xr:uid="{D256492F-EE38-40D8-82F0-378DEAC9B57B}"/>
    <cellStyle name="標準 2 2 20 35" xfId="900" xr:uid="{0C9147C7-94AA-4615-ABDB-FD53890C9DB0}"/>
    <cellStyle name="標準 2 2 20 36" xfId="901" xr:uid="{5E9C547A-4B96-4A08-82D8-6135826B6063}"/>
    <cellStyle name="標準 2 2 20 37" xfId="902" xr:uid="{0ACC8C49-9002-458A-9FD8-A7399F916F74}"/>
    <cellStyle name="標準 2 2 20 38" xfId="903" xr:uid="{13B8C484-4E90-4212-9BC0-AE737E71053E}"/>
    <cellStyle name="標準 2 2 20 39" xfId="904" xr:uid="{4631B6C1-B122-4F12-8261-BC543B276964}"/>
    <cellStyle name="標準 2 2 20 4" xfId="905" xr:uid="{2E7682FA-8518-489E-8F74-4F9FA40DC2B7}"/>
    <cellStyle name="標準 2 2 20 40" xfId="906" xr:uid="{E27A0C53-68F1-4906-8AC6-7CA43F85B40D}"/>
    <cellStyle name="標準 2 2 20 41" xfId="907" xr:uid="{D3C211C4-2839-426F-88E8-4E4E91349738}"/>
    <cellStyle name="標準 2 2 20 42" xfId="908" xr:uid="{C66F4E7E-129D-4F90-8DEE-64D99F09E17C}"/>
    <cellStyle name="標準 2 2 20 43" xfId="909" xr:uid="{24FE9F1C-72DC-473D-B4D2-AF58CAEB0F68}"/>
    <cellStyle name="標準 2 2 20 44" xfId="910" xr:uid="{962CEC57-35C3-437A-AF25-2B6C8C9E5265}"/>
    <cellStyle name="標準 2 2 20 45" xfId="911" xr:uid="{8DC0E7D2-1D7C-4246-BD38-D67B2246BD88}"/>
    <cellStyle name="標準 2 2 20 46" xfId="912" xr:uid="{5B4A1350-BDA0-4268-BAC3-C6F8FB53B3BD}"/>
    <cellStyle name="標準 2 2 20 47" xfId="913" xr:uid="{3B950FC4-0627-446E-9851-225B967D9DAB}"/>
    <cellStyle name="標準 2 2 20 48" xfId="914" xr:uid="{A0443882-33E7-47EB-8D4F-02AC66450EF2}"/>
    <cellStyle name="標準 2 2 20 49" xfId="915" xr:uid="{DD74701C-E6DE-4477-BB88-8C69D6D773CF}"/>
    <cellStyle name="標準 2 2 20 5" xfId="916" xr:uid="{5F2C6A61-E3DF-48CB-ABFC-EA9C8AAF56BF}"/>
    <cellStyle name="標準 2 2 20 50" xfId="917" xr:uid="{D5F37071-DDB8-4189-88AB-686743ADBEC7}"/>
    <cellStyle name="標準 2 2 20 51" xfId="918" xr:uid="{A86E0196-6E9D-4354-A439-21666B2D790B}"/>
    <cellStyle name="標準 2 2 20 52" xfId="919" xr:uid="{19B750F6-77C2-4FFF-B206-EC2EF502300B}"/>
    <cellStyle name="標準 2 2 20 53" xfId="920" xr:uid="{74032910-9705-42F7-A530-E8D3B3584657}"/>
    <cellStyle name="標準 2 2 20 54" xfId="921" xr:uid="{AC4793DF-1225-4A6A-B791-0554B5C2A6A3}"/>
    <cellStyle name="標準 2 2 20 55" xfId="922" xr:uid="{9AB7CFBD-3C1A-4C31-908C-DFA34394BE5D}"/>
    <cellStyle name="標準 2 2 20 56" xfId="923" xr:uid="{7E38F256-F53C-432E-85F1-11314A995441}"/>
    <cellStyle name="標準 2 2 20 57" xfId="924" xr:uid="{107C5388-03E8-43EC-BE42-F0ACCBE193C2}"/>
    <cellStyle name="標準 2 2 20 58" xfId="925" xr:uid="{EC47553F-4704-4951-B198-7A590457DBD8}"/>
    <cellStyle name="標準 2 2 20 59" xfId="926" xr:uid="{2537D1E6-D459-48B6-A5C7-390E6FFD29CA}"/>
    <cellStyle name="標準 2 2 20 6" xfId="927" xr:uid="{5BD347FE-0795-415C-AF85-5454D59CA557}"/>
    <cellStyle name="標準 2 2 20 60" xfId="928" xr:uid="{5886B427-5A5C-47F2-A5A2-8ED547CCFD12}"/>
    <cellStyle name="標準 2 2 20 61" xfId="929" xr:uid="{7B4A9A7F-3DD2-4300-AB15-6C3D58CF9DBA}"/>
    <cellStyle name="標準 2 2 20 62" xfId="930" xr:uid="{10B8806E-294E-4E96-9BAC-331237D27C9D}"/>
    <cellStyle name="標準 2 2 20 63" xfId="931" xr:uid="{E7328120-7D25-4B4E-9428-12666ECC8BC7}"/>
    <cellStyle name="標準 2 2 20 64" xfId="932" xr:uid="{5C8EE269-6E59-4A25-9D4A-5F8A0978D417}"/>
    <cellStyle name="標準 2 2 20 65" xfId="933" xr:uid="{0A69935E-1D8E-4FC6-95AD-02257A4BE776}"/>
    <cellStyle name="標準 2 2 20 66" xfId="934" xr:uid="{E5D7E787-EC24-4D9E-BA0F-B10B68A2D4A6}"/>
    <cellStyle name="標準 2 2 20 67" xfId="935" xr:uid="{45FC3687-1F09-42A0-AA69-FCCB355EB688}"/>
    <cellStyle name="標準 2 2 20 68" xfId="936" xr:uid="{CEA774CB-EDDC-4B62-9873-65E8DCE9025C}"/>
    <cellStyle name="標準 2 2 20 69" xfId="937" xr:uid="{6AFE7DA5-1E8D-4CCB-85DE-95A0F2EA0A28}"/>
    <cellStyle name="標準 2 2 20 7" xfId="938" xr:uid="{F83029C9-D8CB-4C54-BD89-193F36C2F4AD}"/>
    <cellStyle name="標準 2 2 20 70" xfId="939" xr:uid="{A1086334-4EDD-49B2-A160-1DA179DC8BBB}"/>
    <cellStyle name="標準 2 2 20 71" xfId="940" xr:uid="{A8FB329F-9108-4648-A1CC-CC743492F70A}"/>
    <cellStyle name="標準 2 2 20 72" xfId="941" xr:uid="{D114C12B-5D06-4E92-AD21-EDA13EAB2287}"/>
    <cellStyle name="標準 2 2 20 73" xfId="942" xr:uid="{0B64996B-D0BE-4AFB-83EA-E5C4A12A7F94}"/>
    <cellStyle name="標準 2 2 20 74" xfId="943" xr:uid="{42163395-14A1-4067-B3ED-06CF6317B9E5}"/>
    <cellStyle name="標準 2 2 20 75" xfId="944" xr:uid="{F6760750-1F28-48EF-84BB-81ADA2E40C54}"/>
    <cellStyle name="標準 2 2 20 76" xfId="945" xr:uid="{F628080B-7499-4920-BCF3-F7CED40D7BC7}"/>
    <cellStyle name="標準 2 2 20 77" xfId="946" xr:uid="{95120DA2-16D1-4961-A213-ACE7D957B788}"/>
    <cellStyle name="標準 2 2 20 78" xfId="947" xr:uid="{E96BFCD0-CB95-4317-A625-4736D6796F5D}"/>
    <cellStyle name="標準 2 2 20 79" xfId="948" xr:uid="{0E35C728-282E-4211-9FFF-3D32994783FA}"/>
    <cellStyle name="標準 2 2 20 8" xfId="949" xr:uid="{DFE76775-392A-453C-88FA-69C433EECF7E}"/>
    <cellStyle name="標準 2 2 20 80" xfId="950" xr:uid="{FD70EB67-2B2D-4D00-A9C9-54E85C9E21B7}"/>
    <cellStyle name="標準 2 2 20 81" xfId="951" xr:uid="{53A3F7FE-15FA-4AE8-8D17-226505E99697}"/>
    <cellStyle name="標準 2 2 20 82" xfId="952" xr:uid="{C3EF8356-5D66-4005-8A50-29BFCD84D7D0}"/>
    <cellStyle name="標準 2 2 20 83" xfId="953" xr:uid="{95D1C7FC-6FEC-4722-8F3B-073B3E38F72F}"/>
    <cellStyle name="標準 2 2 20 84" xfId="954" xr:uid="{9C7A3438-1A1C-4C97-B643-8238B7BA7012}"/>
    <cellStyle name="標準 2 2 20 9" xfId="955" xr:uid="{EA8780D0-D102-455C-91E6-39B6BE2E6ADA}"/>
    <cellStyle name="標準 2 2 21" xfId="956" xr:uid="{C482E643-CD92-41DF-B714-70D5EDA409C8}"/>
    <cellStyle name="標準 2 2 22" xfId="957" xr:uid="{A063F04D-F406-4D24-981F-45113A37E7B2}"/>
    <cellStyle name="標準 2 2 23" xfId="958" xr:uid="{2B8477B5-F5C2-4D26-8D7D-BF9FE61ECBAE}"/>
    <cellStyle name="標準 2 2 24" xfId="959" xr:uid="{EC9E667D-9F2F-4838-A5B9-38D19EBD134A}"/>
    <cellStyle name="標準 2 2 25" xfId="960" xr:uid="{DD57D93A-58E4-493D-82FA-ECDBAFAD6F41}"/>
    <cellStyle name="標準 2 2 26" xfId="961" xr:uid="{10B3DC16-0772-48C9-BE83-59E27E72212E}"/>
    <cellStyle name="標準 2 2 27" xfId="962" xr:uid="{9F68ACA8-89B5-4F0B-8871-1FEC952BF968}"/>
    <cellStyle name="標準 2 2 28" xfId="963" xr:uid="{C986C0DF-2BE8-43A9-B6A2-D5B89ABFD6AA}"/>
    <cellStyle name="標準 2 2 29" xfId="964" xr:uid="{1F305D3A-0368-4117-AF85-9AD4B37BC32C}"/>
    <cellStyle name="標準 2 2 3" xfId="965" xr:uid="{1189D2C3-72A5-47D0-AF80-136383403216}"/>
    <cellStyle name="標準 2 2 30" xfId="966" xr:uid="{D66521C8-E989-4EAF-A73B-8F9C62801597}"/>
    <cellStyle name="標準 2 2 31" xfId="967" xr:uid="{74E5A153-5F7A-4F06-97C5-FA51F0C8564C}"/>
    <cellStyle name="標準 2 2 32" xfId="968" xr:uid="{6E0CE468-E66E-489D-8295-FDC5872268D9}"/>
    <cellStyle name="標準 2 2 33" xfId="969" xr:uid="{58DEEFA6-DE3A-4F8B-9740-066C8A3E025B}"/>
    <cellStyle name="標準 2 2 34" xfId="970" xr:uid="{D69B9E9D-AE3D-43EE-A91D-92CC64CE2442}"/>
    <cellStyle name="標準 2 2 35" xfId="971" xr:uid="{4F654528-4243-44EB-915D-4CC09898D0D3}"/>
    <cellStyle name="標準 2 2 36" xfId="972" xr:uid="{AFEFE49D-CA31-41C0-B882-E3E2CDBAC7CC}"/>
    <cellStyle name="標準 2 2 37" xfId="973" xr:uid="{09F3D654-1B55-480A-ADF5-D6B2F9CAB7FF}"/>
    <cellStyle name="標準 2 2 38" xfId="974" xr:uid="{53D840F6-8ADB-4658-AB03-EAB0D22EB4EC}"/>
    <cellStyle name="標準 2 2 39" xfId="975" xr:uid="{025C5464-384B-447B-A7D7-D310FE1B83D0}"/>
    <cellStyle name="標準 2 2 4" xfId="976" xr:uid="{7B68342E-AF59-4230-9B57-546A1F611DA4}"/>
    <cellStyle name="標準 2 2 40" xfId="977" xr:uid="{BC9462A2-82B2-4C75-8AC9-3A62764A8ECE}"/>
    <cellStyle name="標準 2 2 41" xfId="978" xr:uid="{8B89BB26-F45A-40FD-9040-6F0B7C9C7DA2}"/>
    <cellStyle name="標準 2 2 42" xfId="979" xr:uid="{62340489-04F0-4EA5-9FB6-A0FB366A72B7}"/>
    <cellStyle name="標準 2 2 43" xfId="980" xr:uid="{5BE8B69F-F3C9-4255-8A94-CCDD2D413C0F}"/>
    <cellStyle name="標準 2 2 44" xfId="981" xr:uid="{C2204023-619A-461E-86A7-7EE2B1E256A3}"/>
    <cellStyle name="標準 2 2 45" xfId="982" xr:uid="{B265B3BD-FED1-463F-8DEA-CFF65B45048F}"/>
    <cellStyle name="標準 2 2 46" xfId="983" xr:uid="{1AE99CB5-EBBD-4BD4-A85D-6AA46A9731BC}"/>
    <cellStyle name="標準 2 2 47" xfId="984" xr:uid="{8A4A9FF9-CADC-44A1-BCA6-4CD2A374B98D}"/>
    <cellStyle name="標準 2 2 48" xfId="985" xr:uid="{00289FF4-BF2B-4772-8FB8-F26A2468A7EF}"/>
    <cellStyle name="標準 2 2 49" xfId="986" xr:uid="{E58E3248-7E07-47F0-92F9-191A219737AE}"/>
    <cellStyle name="標準 2 2 5" xfId="987" xr:uid="{1E15D23F-B872-4FE4-AC81-47A6A939494D}"/>
    <cellStyle name="標準 2 2 50" xfId="988" xr:uid="{69F342D0-2853-40E4-A5AC-46B99B53586A}"/>
    <cellStyle name="標準 2 2 51" xfId="989" xr:uid="{D6DD6159-4C58-4BF1-ACA3-D78A55957F24}"/>
    <cellStyle name="標準 2 2 52" xfId="990" xr:uid="{7464F4F9-7EC9-48DD-9317-65519E79A347}"/>
    <cellStyle name="標準 2 2 53" xfId="991" xr:uid="{A9CC6402-C7DC-4E76-9C36-6366304C8E8D}"/>
    <cellStyle name="標準 2 2 54" xfId="992" xr:uid="{91B2B479-011D-411C-B97C-970FB7764DAE}"/>
    <cellStyle name="標準 2 2 55" xfId="993" xr:uid="{3EDBC394-7041-4F56-8EBD-DE3A6D46D7B3}"/>
    <cellStyle name="標準 2 2 56" xfId="994" xr:uid="{858488E1-4A57-4A92-882C-29A6EDB28B77}"/>
    <cellStyle name="標準 2 2 57" xfId="995" xr:uid="{1C316384-8785-4D50-BE8C-3771C7B325CD}"/>
    <cellStyle name="標準 2 2 58" xfId="996" xr:uid="{231E1EF3-06FD-4D30-87EC-3DA0EDE10F99}"/>
    <cellStyle name="標準 2 2 59" xfId="997" xr:uid="{F8CB4569-4CC9-4E77-8CB3-D50D6A6E3A08}"/>
    <cellStyle name="標準 2 2 6" xfId="998" xr:uid="{C8D6AC94-628E-497C-A605-3F5AFB559155}"/>
    <cellStyle name="標準 2 2 60" xfId="999" xr:uid="{C0050C92-870C-45D8-843D-CF32107EBCBB}"/>
    <cellStyle name="標準 2 2 61" xfId="1000" xr:uid="{349097DF-6720-4F5A-B01C-03E243F658B0}"/>
    <cellStyle name="標準 2 2 62" xfId="1001" xr:uid="{32074C07-2E24-41C0-B6DA-773ABD39AFBC}"/>
    <cellStyle name="標準 2 2 63" xfId="1002" xr:uid="{5237CC8B-F227-4ABC-B028-D8D5C23DD1A1}"/>
    <cellStyle name="標準 2 2 64" xfId="1003" xr:uid="{271B3491-7F46-4B73-A011-F2D73FFE12CF}"/>
    <cellStyle name="標準 2 2 65" xfId="1004" xr:uid="{06A4D0F8-1B3D-4CCC-A218-3098CA9B8410}"/>
    <cellStyle name="標準 2 2 66" xfId="1005" xr:uid="{05F531B9-1921-4355-9371-70AC09235601}"/>
    <cellStyle name="標準 2 2 67" xfId="1006" xr:uid="{26CF218A-6368-4D43-A4CE-E680CFA739B1}"/>
    <cellStyle name="標準 2 2 68" xfId="1007" xr:uid="{B42FAC2E-0E22-465B-A9CB-4748BB9EA0F7}"/>
    <cellStyle name="標準 2 2 69" xfId="1008" xr:uid="{C7402FCD-3280-4673-B8CE-22F32843EFD7}"/>
    <cellStyle name="標準 2 2 7" xfId="1009" xr:uid="{F40B4A44-0830-4724-914C-917E18B08118}"/>
    <cellStyle name="標準 2 2 70" xfId="1010" xr:uid="{4FEB43F1-A5F6-43C0-9FAC-6FD2CCBC2334}"/>
    <cellStyle name="標準 2 2 71" xfId="1011" xr:uid="{39BC6550-7778-488F-8673-F25DEAC3199C}"/>
    <cellStyle name="標準 2 2 72" xfId="1012" xr:uid="{AE374BF9-8C8E-492B-BDCC-E6ED482E78CB}"/>
    <cellStyle name="標準 2 2 73" xfId="1013" xr:uid="{E76DBC9F-7C1A-42E6-A6C2-514D16528663}"/>
    <cellStyle name="標準 2 2 74" xfId="1014" xr:uid="{AAE2AB72-9090-405C-9EA4-B510204D5D38}"/>
    <cellStyle name="標準 2 2 75" xfId="1015" xr:uid="{AE232B05-ED97-4549-8BC9-A7F180339700}"/>
    <cellStyle name="標準 2 2 76" xfId="1016" xr:uid="{7F78912E-2C66-45EA-9DAD-50B53F96BF51}"/>
    <cellStyle name="標準 2 2 77" xfId="1017" xr:uid="{468F1B5B-9A66-454F-99B4-3B581D7F37D3}"/>
    <cellStyle name="標準 2 2 78" xfId="1018" xr:uid="{4E548187-8E66-4EEF-87FD-80488A84137B}"/>
    <cellStyle name="標準 2 2 79" xfId="1019" xr:uid="{05A9F664-686B-4F77-8718-8188B0AC043E}"/>
    <cellStyle name="標準 2 2 8" xfId="1020" xr:uid="{6A8D04CB-1683-48AD-8087-E03896F1973C}"/>
    <cellStyle name="標準 2 2 80" xfId="1021" xr:uid="{C374A757-78C7-409B-9DBE-DB20FB316DDE}"/>
    <cellStyle name="標準 2 2 81" xfId="1022" xr:uid="{E48FB546-1D78-43FD-9B05-567734617C6E}"/>
    <cellStyle name="標準 2 2 82" xfId="1023" xr:uid="{77FABAD6-885A-4C91-8BD6-6CB3E9F95F71}"/>
    <cellStyle name="標準 2 2 83" xfId="1024" xr:uid="{9DAF2B4B-C473-4D5A-90C4-A61682E08D82}"/>
    <cellStyle name="標準 2 2 84" xfId="1025" xr:uid="{5157F077-4772-4917-BFB3-9B37559F450F}"/>
    <cellStyle name="標準 2 2 85" xfId="1026" xr:uid="{CB23ED83-DA4A-427C-AAAA-C71CFA7CF99A}"/>
    <cellStyle name="標準 2 2 86" xfId="1027" xr:uid="{9BC5E847-C679-4918-87C0-1E2057863067}"/>
    <cellStyle name="標準 2 2 87" xfId="1028" xr:uid="{CE5311A8-6662-4D01-AA92-B40669868628}"/>
    <cellStyle name="標準 2 2 88" xfId="1029" xr:uid="{6F795F05-DB1B-4B01-985B-2DEDBC745FCA}"/>
    <cellStyle name="標準 2 2 89" xfId="1030" xr:uid="{B1044807-5ECD-4BDF-9DD6-E26A292CE76B}"/>
    <cellStyle name="標準 2 2 9" xfId="1031" xr:uid="{FA4F8A42-83C7-4E32-B504-563845A4F314}"/>
    <cellStyle name="標準 2 2 90" xfId="1032" xr:uid="{6F937723-F8F6-4285-9219-EFD3D0C56564}"/>
    <cellStyle name="標準 2 2 91" xfId="1033" xr:uid="{B4E9C7AF-B843-4602-889B-785B25DABB4A}"/>
    <cellStyle name="標準 2 2 92" xfId="1034" xr:uid="{07C8B26D-5A88-4F37-B1B5-8A2BC1EF7072}"/>
    <cellStyle name="標準 2 2 93" xfId="1035" xr:uid="{DDDF3510-17F2-4D83-B8CF-431DD9016FF5}"/>
    <cellStyle name="標準 2 2 94" xfId="1036" xr:uid="{C99E6440-44CC-48AD-BDD5-CB1DDA69CC69}"/>
    <cellStyle name="標準 2 2 95" xfId="1037" xr:uid="{42C73434-FC70-41C1-A6C4-88387AB0E380}"/>
    <cellStyle name="標準 2 2 96" xfId="1038" xr:uid="{4857B1FC-C349-4F86-8164-0B44F74953B3}"/>
    <cellStyle name="標準 2 2 97" xfId="1039" xr:uid="{2FD59E06-B6AA-49E5-9B13-613C1A54FCC7}"/>
    <cellStyle name="標準 2 2 98" xfId="1040" xr:uid="{AA08CB07-4E5E-4CCD-BB5E-592FD7303817}"/>
    <cellStyle name="標準 2 2 99" xfId="1041" xr:uid="{40F47E8B-993E-4884-AEFF-FA09DB08E93D}"/>
    <cellStyle name="標準 2 20" xfId="1042" xr:uid="{27ADB139-164C-4C20-BBB8-036D4D7D02EA}"/>
    <cellStyle name="標準 2 21" xfId="1043" xr:uid="{1B05C162-1564-4718-9B56-FC123B832793}"/>
    <cellStyle name="標準 2 21 10" xfId="1044" xr:uid="{41B4B809-BED4-4B38-9679-BB9592CA7CC8}"/>
    <cellStyle name="標準 2 21 11" xfId="1045" xr:uid="{DF96FF51-4A63-440D-AAA0-99D6FA6B1DBB}"/>
    <cellStyle name="標準 2 21 12" xfId="1046" xr:uid="{21E93584-85BA-4DAE-81BE-29A2BA6780A5}"/>
    <cellStyle name="標準 2 21 13" xfId="1047" xr:uid="{2B9AA557-8217-4926-B3F9-4E5BA41C85DE}"/>
    <cellStyle name="標準 2 21 14" xfId="1048" xr:uid="{525270C3-5569-4B9F-8811-C19D32BD8AF3}"/>
    <cellStyle name="標準 2 21 15" xfId="1049" xr:uid="{A5BF0D83-507D-45A2-BF2C-0570E83C8706}"/>
    <cellStyle name="標準 2 21 16" xfId="1050" xr:uid="{31D3CB6A-BF5B-4363-9FE5-14742375D1A9}"/>
    <cellStyle name="標準 2 21 17" xfId="1051" xr:uid="{A0037D76-E960-4904-8F95-CF840FBF98D6}"/>
    <cellStyle name="標準 2 21 18" xfId="1052" xr:uid="{2F173E40-5021-44C8-9D21-36B2B2053F65}"/>
    <cellStyle name="標準 2 21 19" xfId="1053" xr:uid="{604D8825-24E2-4AEC-87F5-BD1192A07722}"/>
    <cellStyle name="標準 2 21 2" xfId="1054" xr:uid="{C8152F29-A052-490A-926D-77B26141B6DF}"/>
    <cellStyle name="標準 2 21 20" xfId="1055" xr:uid="{97B8BBCB-CD4F-475A-8979-FB52FF43F909}"/>
    <cellStyle name="標準 2 21 21" xfId="1056" xr:uid="{F3807522-FD90-424A-A065-6C90550A8790}"/>
    <cellStyle name="標準 2 21 22" xfId="1057" xr:uid="{A39050FD-BB28-4151-AD62-94375E035AE8}"/>
    <cellStyle name="標準 2 21 23" xfId="1058" xr:uid="{7E2F64CB-C366-4828-B910-E6F5091C4335}"/>
    <cellStyle name="標準 2 21 24" xfId="1059" xr:uid="{639AEFA8-265B-4DE9-AC07-04576FFB2A5D}"/>
    <cellStyle name="標準 2 21 25" xfId="1060" xr:uid="{487A2FC5-36A2-478D-AA2C-8A847922D3A8}"/>
    <cellStyle name="標準 2 21 26" xfId="1061" xr:uid="{3BEB3494-0AEC-46F8-85E9-2B5364745D8C}"/>
    <cellStyle name="標準 2 21 27" xfId="1062" xr:uid="{FCE55635-D3DB-4A17-943D-A45DFDD00CDA}"/>
    <cellStyle name="標準 2 21 28" xfId="1063" xr:uid="{3F912C68-41C6-4751-82C2-DBC8B3378E69}"/>
    <cellStyle name="標準 2 21 29" xfId="1064" xr:uid="{D56DF314-DFD9-4F98-8212-111A0C9DBC1C}"/>
    <cellStyle name="標準 2 21 3" xfId="1065" xr:uid="{ABBC8C3A-6046-413C-B0AE-9EA1DA30ADC6}"/>
    <cellStyle name="標準 2 21 30" xfId="1066" xr:uid="{5D591FDC-C0B0-4783-AEBD-E773CE9DF5DF}"/>
    <cellStyle name="標準 2 21 31" xfId="1067" xr:uid="{F614502F-E12C-4A79-82D4-D82F321F9E5D}"/>
    <cellStyle name="標準 2 21 32" xfId="1068" xr:uid="{2861D2CF-8D66-4E28-B63C-16EF27A92ED2}"/>
    <cellStyle name="標準 2 21 33" xfId="1069" xr:uid="{2121E304-7AB0-4264-91C3-3965EB7EA63F}"/>
    <cellStyle name="標準 2 21 34" xfId="1070" xr:uid="{F56BEAE8-57E3-48AD-B502-BF4D4332162F}"/>
    <cellStyle name="標準 2 21 35" xfId="1071" xr:uid="{DCC89D7B-AB83-4347-8D15-08F43B01D953}"/>
    <cellStyle name="標準 2 21 36" xfId="1072" xr:uid="{71EAAD9D-510E-4C9B-9144-61D3F5B0846C}"/>
    <cellStyle name="標準 2 21 37" xfId="1073" xr:uid="{C35F37B8-7137-49FA-A379-25B5CEA2AEDD}"/>
    <cellStyle name="標準 2 21 38" xfId="1074" xr:uid="{7F54D522-6AA8-4E87-BBB6-14EDEB2D4070}"/>
    <cellStyle name="標準 2 21 39" xfId="1075" xr:uid="{3AE25587-DCD3-42C8-9DBA-01483E8873F9}"/>
    <cellStyle name="標準 2 21 4" xfId="1076" xr:uid="{ACA49B70-1EAA-4EE9-81F3-DD73E6E43BB4}"/>
    <cellStyle name="標準 2 21 40" xfId="1077" xr:uid="{112B99AD-3811-41CB-9601-FE5A29DDEE09}"/>
    <cellStyle name="標準 2 21 41" xfId="1078" xr:uid="{83BE5BFC-B495-4073-85C0-348F20367C17}"/>
    <cellStyle name="標準 2 21 42" xfId="1079" xr:uid="{2D484952-E97C-4352-93D6-52FF92E6B802}"/>
    <cellStyle name="標準 2 21 43" xfId="1080" xr:uid="{E6E879A7-68AF-41DA-A64E-9C4A3C9337F9}"/>
    <cellStyle name="標準 2 21 44" xfId="1081" xr:uid="{66DEA4F2-4C9D-42F4-A912-7697EA5494E7}"/>
    <cellStyle name="標準 2 21 45" xfId="1082" xr:uid="{74531F15-5078-4F1E-AD13-CCE4C210FEA8}"/>
    <cellStyle name="標準 2 21 46" xfId="1083" xr:uid="{030A0D3B-961D-4CA2-89A9-D15AF4CF4615}"/>
    <cellStyle name="標準 2 21 47" xfId="1084" xr:uid="{EEB8C156-8F43-4EF4-ABD7-F32D3B7AAC30}"/>
    <cellStyle name="標準 2 21 48" xfId="1085" xr:uid="{999E2794-029C-41F1-B2B3-0D3C5AF0B195}"/>
    <cellStyle name="標準 2 21 49" xfId="1086" xr:uid="{A4DA61EC-4644-4A13-93F1-6D4B7BB3E1EA}"/>
    <cellStyle name="標準 2 21 5" xfId="1087" xr:uid="{83556D3F-C9C9-447E-B317-A38DC4A6825C}"/>
    <cellStyle name="標準 2 21 50" xfId="1088" xr:uid="{5C85B490-3426-46A8-88B1-9D56E9CC3A86}"/>
    <cellStyle name="標準 2 21 51" xfId="1089" xr:uid="{176C290E-D6F3-42DD-8863-6FF366B70155}"/>
    <cellStyle name="標準 2 21 52" xfId="1090" xr:uid="{F7BD973F-D61F-4325-857F-7CC0E32BC758}"/>
    <cellStyle name="標準 2 21 53" xfId="1091" xr:uid="{83AADF8D-CED2-444B-86B6-E61EFB079279}"/>
    <cellStyle name="標準 2 21 54" xfId="1092" xr:uid="{139DB6E3-5025-402E-9D26-D4CF20B1AE3B}"/>
    <cellStyle name="標準 2 21 55" xfId="1093" xr:uid="{40D86F52-951C-40FC-9BA3-4BE8D002B11A}"/>
    <cellStyle name="標準 2 21 56" xfId="1094" xr:uid="{97D7F70A-7408-4C1E-9ACA-0C8BDA43FD02}"/>
    <cellStyle name="標準 2 21 57" xfId="1095" xr:uid="{EE0FC1FF-E091-4255-BE2B-1E27098ED54A}"/>
    <cellStyle name="標準 2 21 58" xfId="1096" xr:uid="{E04C48A5-A25A-4DFF-8B3C-EB6B24BCF632}"/>
    <cellStyle name="標準 2 21 59" xfId="1097" xr:uid="{1C3FD1B7-5EA1-4C92-BA63-211C374252E2}"/>
    <cellStyle name="標準 2 21 6" xfId="1098" xr:uid="{6B88EA8D-E325-4770-A47E-BC59DF959839}"/>
    <cellStyle name="標準 2 21 60" xfId="1099" xr:uid="{5B723D9A-1E62-452D-9F25-7142FAEEA62B}"/>
    <cellStyle name="標準 2 21 61" xfId="1100" xr:uid="{4F3EA8DA-2626-492D-95BA-F2F1E1128887}"/>
    <cellStyle name="標準 2 21 62" xfId="1101" xr:uid="{91C83BDB-C756-4BA2-8325-F767D50120C7}"/>
    <cellStyle name="標準 2 21 63" xfId="1102" xr:uid="{18C7E3D4-AF7C-4D75-9204-9BF20425B626}"/>
    <cellStyle name="標準 2 21 64" xfId="1103" xr:uid="{A985DF01-7BE8-4A8E-A5C7-2441007D560C}"/>
    <cellStyle name="標準 2 21 65" xfId="1104" xr:uid="{7ABB85F2-9568-41DF-83F5-AA84B261C801}"/>
    <cellStyle name="標準 2 21 66" xfId="1105" xr:uid="{43007DDF-43DE-47F5-89DB-EA7F236DED25}"/>
    <cellStyle name="標準 2 21 67" xfId="1106" xr:uid="{4F16A8D5-A6F4-4D14-BDE2-DE4C1848AECF}"/>
    <cellStyle name="標準 2 21 68" xfId="1107" xr:uid="{EFA823C5-9573-4097-AAB5-367D9672A9E4}"/>
    <cellStyle name="標準 2 21 69" xfId="1108" xr:uid="{89AD1C61-4085-4B89-93F6-A066F977E60F}"/>
    <cellStyle name="標準 2 21 7" xfId="1109" xr:uid="{F488F116-A487-49F5-8C1D-43E2A7ED0716}"/>
    <cellStyle name="標準 2 21 70" xfId="1110" xr:uid="{1E19C306-CDEB-44EA-A141-D991F4363E89}"/>
    <cellStyle name="標準 2 21 71" xfId="1111" xr:uid="{A3696D85-2319-4A4D-AAD1-CF7EBB349806}"/>
    <cellStyle name="標準 2 21 72" xfId="1112" xr:uid="{B6D39148-976E-4A8F-B346-C8053154E207}"/>
    <cellStyle name="標準 2 21 73" xfId="1113" xr:uid="{C2321BDF-C4EB-4AE8-B745-1DB01E195222}"/>
    <cellStyle name="標準 2 21 74" xfId="1114" xr:uid="{66867F96-DE70-4CF2-BA0F-3298ABD943BA}"/>
    <cellStyle name="標準 2 21 75" xfId="1115" xr:uid="{EB7F642D-BE86-44EA-AAC8-FBF54817AE36}"/>
    <cellStyle name="標準 2 21 76" xfId="1116" xr:uid="{0096D390-C3C6-4DA6-81C4-AE85F0096808}"/>
    <cellStyle name="標準 2 21 77" xfId="1117" xr:uid="{39DACB56-6B87-4B0E-B2C5-1DD79BC724D6}"/>
    <cellStyle name="標準 2 21 78" xfId="1118" xr:uid="{E6F11023-7A16-4329-A813-4BEE06736A41}"/>
    <cellStyle name="標準 2 21 79" xfId="1119" xr:uid="{C9011797-3882-4B12-B549-FEC4EB4F4512}"/>
    <cellStyle name="標準 2 21 8" xfId="1120" xr:uid="{879FA14F-129B-4D14-9FF5-7AC81642F3CD}"/>
    <cellStyle name="標準 2 21 80" xfId="1121" xr:uid="{7A8E3598-4334-4C74-B4E0-6B54FAE86324}"/>
    <cellStyle name="標準 2 21 81" xfId="1122" xr:uid="{E588E0D6-B8B9-411C-BD9D-ABCE390EB1A4}"/>
    <cellStyle name="標準 2 21 82" xfId="1123" xr:uid="{F146D595-E523-4BF0-A48E-3811700E3B22}"/>
    <cellStyle name="標準 2 21 83" xfId="1124" xr:uid="{B3175742-7337-492C-81B5-2573B5E936AC}"/>
    <cellStyle name="標準 2 21 84" xfId="1125" xr:uid="{84742645-C0FA-4226-8AE6-0E592367BF45}"/>
    <cellStyle name="標準 2 21 9" xfId="1126" xr:uid="{B25E2099-CA7E-4F20-93B6-914314DDD91A}"/>
    <cellStyle name="標準 2 22" xfId="1127" xr:uid="{D4D91F17-CB46-493A-B0DF-1B466D6EB14B}"/>
    <cellStyle name="標準 2 23" xfId="1128" xr:uid="{155942A1-DDE5-4D7B-BCE1-B7E66A1BAF34}"/>
    <cellStyle name="標準 2 24" xfId="1129" xr:uid="{BE287D4D-883C-4ED6-BE35-77AE4DFD9D87}"/>
    <cellStyle name="標準 2 25" xfId="1130" xr:uid="{662ACD39-0495-44F6-8099-5414E81ED0BF}"/>
    <cellStyle name="標準 2 26" xfId="1131" xr:uid="{A6C4ACA7-99D3-4DED-8312-1FD122BB703C}"/>
    <cellStyle name="標準 2 27" xfId="1132" xr:uid="{4D0A8708-231C-4376-AF54-FCF17377AA9B}"/>
    <cellStyle name="標準 2 28" xfId="1133" xr:uid="{BFB6BC8E-FDA1-4C34-A3B2-CE2B151AFAD6}"/>
    <cellStyle name="標準 2 29" xfId="1134" xr:uid="{C85DA468-BE02-4839-AEA7-B94D2CB83D01}"/>
    <cellStyle name="標準 2 3" xfId="1135" xr:uid="{77BD873F-DD81-4D00-B3A0-8428C456480E}"/>
    <cellStyle name="標準 2 30" xfId="1136" xr:uid="{07153631-557B-4CDC-81F6-88CD7B5D07C3}"/>
    <cellStyle name="標準 2 31" xfId="1137" xr:uid="{117A1ABD-0526-4D5C-AD7C-198E6C256E45}"/>
    <cellStyle name="標準 2 32" xfId="1138" xr:uid="{99BAE383-E6CC-43B4-83C0-06719B152207}"/>
    <cellStyle name="標準 2 33" xfId="1139" xr:uid="{E58CFCC3-1B69-4DFF-BABA-8DDCCBDB8E20}"/>
    <cellStyle name="標準 2 34" xfId="1140" xr:uid="{79861D43-0613-453F-9A41-081AB2790AF4}"/>
    <cellStyle name="標準 2 35" xfId="1141" xr:uid="{AD79CC72-7353-47A0-ACAD-40DDB3CA14AD}"/>
    <cellStyle name="標準 2 36" xfId="1142" xr:uid="{02A243F5-7C6D-47CC-A176-75883BDEC17A}"/>
    <cellStyle name="標準 2 37" xfId="1143" xr:uid="{171B490D-0E4F-464C-9630-F046FC0129A4}"/>
    <cellStyle name="標準 2 38" xfId="1144" xr:uid="{BC56F6CC-5FE5-492C-AB01-D20478D2E072}"/>
    <cellStyle name="標準 2 39" xfId="1145" xr:uid="{986588B6-BB74-495C-8DFC-C42B6DADF6EA}"/>
    <cellStyle name="標準 2 4" xfId="1146" xr:uid="{6AF637FE-0891-4BA1-BC36-CE829A494DE5}"/>
    <cellStyle name="標準 2 40" xfId="1147" xr:uid="{1A307DF4-D451-476F-96D9-B9461CB5B60B}"/>
    <cellStyle name="標準 2 41" xfId="1148" xr:uid="{F8517C95-235F-4F11-A56F-5FA0655E5B8A}"/>
    <cellStyle name="標準 2 42" xfId="1149" xr:uid="{5A795B1C-0C1F-4035-9469-9815CACA8D0F}"/>
    <cellStyle name="標準 2 43" xfId="1150" xr:uid="{B1A33E30-40DC-45CB-8852-98534FB1605A}"/>
    <cellStyle name="標準 2 44" xfId="1151" xr:uid="{87A53406-A34C-40D0-8016-0B7D686FE50E}"/>
    <cellStyle name="標準 2 45" xfId="1152" xr:uid="{0C687AE0-2CB9-4F17-BEBA-F0C0FC5E4009}"/>
    <cellStyle name="標準 2 46" xfId="1153" xr:uid="{99297F15-DD6A-4569-83A8-4C705C72CAC1}"/>
    <cellStyle name="標準 2 47" xfId="1154" xr:uid="{957EEF30-579E-4797-A30C-ACDD090DE3C7}"/>
    <cellStyle name="標準 2 48" xfId="1155" xr:uid="{2903FEBF-4665-4720-8648-2C6CDC99268A}"/>
    <cellStyle name="標準 2 49" xfId="1156" xr:uid="{B3C233EA-7130-4A21-8741-33F95B6142DF}"/>
    <cellStyle name="標準 2 5" xfId="1157" xr:uid="{C3EA7F81-B25A-44E0-9C87-5CE17163556B}"/>
    <cellStyle name="標準 2 50" xfId="1158" xr:uid="{DFC5C59A-6DDE-45AB-89BF-BEC0F06F7EBA}"/>
    <cellStyle name="標準 2 51" xfId="1159" xr:uid="{1D01E69F-8C4A-453D-824B-6FDDC756A2EF}"/>
    <cellStyle name="標準 2 52" xfId="1160" xr:uid="{60D853D4-9DCE-4492-9C3C-7F6EDB3DDE07}"/>
    <cellStyle name="標準 2 53" xfId="1161" xr:uid="{65DE6C6A-8DFD-4E4E-86AE-D78E4ABA0BE1}"/>
    <cellStyle name="標準 2 54" xfId="1162" xr:uid="{A82CF750-BBE8-463A-B392-47130B6C72B0}"/>
    <cellStyle name="標準 2 55" xfId="1163" xr:uid="{504A953D-3346-4998-84DB-06191B5542F4}"/>
    <cellStyle name="標準 2 56" xfId="1164" xr:uid="{8726989D-5D86-405D-80EC-8F59F86D6B73}"/>
    <cellStyle name="標準 2 57" xfId="1165" xr:uid="{B3998FB3-A3E3-4BF6-A7EE-124E3F5C11C5}"/>
    <cellStyle name="標準 2 58" xfId="1166" xr:uid="{92B83D3A-2BCC-498D-9CEC-D2242871EE74}"/>
    <cellStyle name="標準 2 59" xfId="1167" xr:uid="{AA7A2985-A438-4220-804D-7CC58E3B8F24}"/>
    <cellStyle name="標準 2 6" xfId="1168" xr:uid="{5D58013E-5718-41C9-AF6B-0E99012385D7}"/>
    <cellStyle name="標準 2 60" xfId="1169" xr:uid="{01661552-E256-4767-97C6-FF3F2812D2FB}"/>
    <cellStyle name="標準 2 61" xfId="1170" xr:uid="{45CA2969-B62D-4F66-B0BB-5BC5A2B74762}"/>
    <cellStyle name="標準 2 62" xfId="1171" xr:uid="{50283358-ECC3-44DE-881C-0C44892F5111}"/>
    <cellStyle name="標準 2 63" xfId="1172" xr:uid="{5337D1AF-E014-4274-95EC-205C3F1343B8}"/>
    <cellStyle name="標準 2 64" xfId="1173" xr:uid="{F330A815-90D5-4F2F-B3B1-EFDFA62BC731}"/>
    <cellStyle name="標準 2 65" xfId="1174" xr:uid="{9885B029-13A7-4676-9590-C5103A4C735F}"/>
    <cellStyle name="標準 2 66" xfId="1175" xr:uid="{911FA2DE-3E13-4561-A9F2-1F3270F909B6}"/>
    <cellStyle name="標準 2 67" xfId="1176" xr:uid="{95BA7441-5045-4F46-9520-4BFE39819041}"/>
    <cellStyle name="標準 2 68" xfId="1177" xr:uid="{E142F156-AB53-44B2-B2F7-272FC8DE23AB}"/>
    <cellStyle name="標準 2 69" xfId="1178" xr:uid="{304DE92B-ED96-463E-8AE4-FEC6FA6D7E26}"/>
    <cellStyle name="標準 2 7" xfId="1179" xr:uid="{A59DDB36-6E37-4B6C-A696-73AFF2D83678}"/>
    <cellStyle name="標準 2 70" xfId="1180" xr:uid="{8C14E9A4-FB95-46D8-88F4-B7E5E94A5325}"/>
    <cellStyle name="標準 2 71" xfId="1181" xr:uid="{51D3BA90-FCD1-4BB3-8EA9-2D4E356AC71D}"/>
    <cellStyle name="標準 2 72" xfId="1182" xr:uid="{8F001606-6DBB-408D-9633-7E3042D7BDF2}"/>
    <cellStyle name="標準 2 73" xfId="1183" xr:uid="{D94C8464-0D5A-4C51-AB56-772DC292B171}"/>
    <cellStyle name="標準 2 74" xfId="1184" xr:uid="{B8F44C07-C59F-4CD2-ABE4-549FE1B1ED83}"/>
    <cellStyle name="標準 2 75" xfId="1185" xr:uid="{5170673E-B1D8-4A8A-8034-1DB6AC86604F}"/>
    <cellStyle name="標準 2 76" xfId="1186" xr:uid="{FFDF8E32-84A2-4226-83A9-B89D5005F3A5}"/>
    <cellStyle name="標準 2 77" xfId="1187" xr:uid="{F670E0ED-2C11-49AE-929C-2640D6CD48B3}"/>
    <cellStyle name="標準 2 78" xfId="1188" xr:uid="{35B763D5-EBD7-4EE1-9B4A-C262E4CF9B96}"/>
    <cellStyle name="標準 2 79" xfId="1189" xr:uid="{6161F827-FC0E-41C0-A404-57B93EC595C5}"/>
    <cellStyle name="標準 2 8" xfId="1190" xr:uid="{8D9A2613-A4EB-467E-99AA-8EA3341A960F}"/>
    <cellStyle name="標準 2 80" xfId="1191" xr:uid="{3E99C342-ACA1-4BA1-BA6E-D6063E3A3E81}"/>
    <cellStyle name="標準 2 81" xfId="1192" xr:uid="{000ABB8E-CE16-44CA-81BF-09A38C155CD4}"/>
    <cellStyle name="標準 2 82" xfId="1193" xr:uid="{D773BAFF-7C61-4E20-B60A-E926AADF2329}"/>
    <cellStyle name="標準 2 83" xfId="1194" xr:uid="{C1153FCE-E183-40DE-8959-DF1B72CA800E}"/>
    <cellStyle name="標準 2 84" xfId="1195" xr:uid="{0FCF2FE1-A575-4D0E-9AF0-047A03FF0258}"/>
    <cellStyle name="標準 2 85" xfId="1196" xr:uid="{AF8CF470-CE2D-4A73-B076-6EA8F031602C}"/>
    <cellStyle name="標準 2 86" xfId="1197" xr:uid="{E17F150E-7D74-429C-A86E-9A7DCE1AAE15}"/>
    <cellStyle name="標準 2 87" xfId="1198" xr:uid="{5E55CCBD-AB8B-40D1-B652-6FC6A94503D9}"/>
    <cellStyle name="標準 2 88" xfId="1199" xr:uid="{B1B0FBE6-77CD-4708-9CDA-208B3B939746}"/>
    <cellStyle name="標準 2 89" xfId="1200" xr:uid="{E5A78FEB-5082-45F6-AB1F-807071692B47}"/>
    <cellStyle name="標準 2 9" xfId="1201" xr:uid="{E0DE6E24-EAD4-40D5-8F4B-F97083A6DF0D}"/>
    <cellStyle name="標準 2 90" xfId="1202" xr:uid="{B73A9759-084E-45DE-B76F-4939CA6CDEE5}"/>
    <cellStyle name="標準 2 91" xfId="1203" xr:uid="{3193CBD3-B95E-42B0-B836-807F353DAEDC}"/>
    <cellStyle name="標準 2 92" xfId="1204" xr:uid="{D5C73509-219D-41D5-8BA3-40DDEB18C84E}"/>
    <cellStyle name="標準 2 93" xfId="1205" xr:uid="{56B74C77-2BFF-42D4-A7DC-6A693358CC12}"/>
    <cellStyle name="標準 2 94" xfId="1206" xr:uid="{D82040CB-9594-4776-BC8A-34835D804E2E}"/>
    <cellStyle name="標準 2 95" xfId="1207" xr:uid="{9927DDAF-C067-4C2D-8481-56CD36F63772}"/>
    <cellStyle name="標準 2 96" xfId="1208" xr:uid="{4C558E66-3918-4069-B616-5AA9FD7BF450}"/>
    <cellStyle name="標準 2 97" xfId="1209" xr:uid="{78000074-29D9-4EBE-8E41-50324A2AE370}"/>
    <cellStyle name="標準 2 98" xfId="1210" xr:uid="{99C69257-15F3-46B9-9C2A-6EAABC83C37E}"/>
    <cellStyle name="標準 2 99" xfId="1211" xr:uid="{144041C0-B3D7-477A-B800-8F11CE293179}"/>
    <cellStyle name="標準 2_【作成中】AMD-DG0808106-E　リアルタイム経過品　総括報告書" xfId="1212" xr:uid="{E4076525-B396-4D4E-9737-3191AAD94C93}"/>
    <cellStyle name="標準 20 2" xfId="1213" xr:uid="{A18D4ACC-008D-468F-A918-7D7D4ECB59DE}"/>
    <cellStyle name="標準 20 3" xfId="1214" xr:uid="{67C184AC-C9A4-4EFE-99BD-ED04B459F954}"/>
    <cellStyle name="標準 21 2" xfId="1215" xr:uid="{F7B9EF63-3448-4D65-A394-D188C311A6FA}"/>
    <cellStyle name="標準 21 3" xfId="1216" xr:uid="{B2D3C905-2B77-498B-8414-7743A9374D97}"/>
    <cellStyle name="標準 22 2" xfId="1217" xr:uid="{003C3161-5C26-4254-AAA5-060E76DC20E7}"/>
    <cellStyle name="標準 22 3" xfId="1218" xr:uid="{CE12476D-09ED-4500-9261-401CDA74D24F}"/>
    <cellStyle name="標準 23 2" xfId="1219" xr:uid="{3224CC13-63AC-494A-A3D1-596A263496CF}"/>
    <cellStyle name="標準 23 3" xfId="1220" xr:uid="{F3B1E578-A1ED-4238-8841-F49D7EFB49E4}"/>
    <cellStyle name="標準 24 2" xfId="1221" xr:uid="{48698171-4A9D-4B4B-B8D6-1F67A0AF7E25}"/>
    <cellStyle name="標準 24 3" xfId="1222" xr:uid="{EFA9BC89-10A4-4EED-9572-603C526FB33A}"/>
    <cellStyle name="標準 25 2" xfId="1223" xr:uid="{66E2605D-523F-42F1-BC15-EB486E99C228}"/>
    <cellStyle name="標準 25 3" xfId="1224" xr:uid="{B772AC47-8F43-4DB4-801D-E90BE25E3073}"/>
    <cellStyle name="標準 26 2" xfId="1225" xr:uid="{FACB09A8-17D4-454C-B94B-BC0FAD5FAFCD}"/>
    <cellStyle name="標準 26 3" xfId="1226" xr:uid="{FFB59E8E-FBEE-420C-8930-5EAEE7DA0D0E}"/>
    <cellStyle name="標準 27 2" xfId="1227" xr:uid="{BAC72E61-60B6-4E73-B23B-65A4FA52AC9A}"/>
    <cellStyle name="標準 27 3" xfId="1228" xr:uid="{257D3200-8823-483C-AEB9-DE7EF2552837}"/>
    <cellStyle name="標準 3" xfId="1229" xr:uid="{89F1A9CE-D55B-48F2-BD13-4F1594C521C1}"/>
    <cellStyle name="標準 3 2" xfId="1230" xr:uid="{CE020C94-4316-44BF-BB60-CE4DC3A712A5}"/>
    <cellStyle name="標準 3 3" xfId="1231" xr:uid="{20FB0016-0845-433C-A0D2-4FFD9BFF4831}"/>
    <cellStyle name="標準 3 4" xfId="1232" xr:uid="{1E9C7308-EE6A-4F12-BCB3-3444727E95C8}"/>
    <cellStyle name="標準 4" xfId="1233" xr:uid="{CD52A5A8-39E5-4154-8A72-BC9688C310E6}"/>
    <cellStyle name="標準 4 2" xfId="1234" xr:uid="{52CF1F6B-AA9F-44DB-85C8-4AA23067B619}"/>
    <cellStyle name="標準 5" xfId="1235" xr:uid="{939F4BC0-F688-4AE0-9108-FA97E8E2BD90}"/>
    <cellStyle name="標準 5 2" xfId="1236" xr:uid="{28104473-BC2B-4D85-9BF1-FC0DED45B786}"/>
    <cellStyle name="標準 6" xfId="1237" xr:uid="{B6B6C7F8-6A07-46C3-B433-757FDF8E5909}"/>
    <cellStyle name="標準 7" xfId="1238" xr:uid="{32FBC31B-339E-4D52-A439-91CF27CC7761}"/>
    <cellStyle name="標準 8" xfId="1239" xr:uid="{58CB16D1-E850-494F-9314-5E22BADB8690}"/>
    <cellStyle name="標準 9" xfId="1240" xr:uid="{3720F05B-9B35-4BDF-9DEA-5920ACA310E3}"/>
    <cellStyle name="標準_●AMD-DG050601-E　Fielder FC再検証に伴うハザードの特定" xfId="1241" xr:uid="{DF7427FD-5D72-4BBE-82DE-B26940464A4A}"/>
    <cellStyle name="良い" xfId="1242" xr:uid="{732F1441-CA1F-493A-9510-E6FCD2AC638F}"/>
    <cellStyle name="良い 2" xfId="1243" xr:uid="{29C2BBF7-399D-48CF-87BB-2667CBF33069}"/>
    <cellStyle name="良い 2 2" xfId="1244" xr:uid="{A9BE1137-A259-4537-AA8B-8606DEB59644}"/>
    <cellStyle name="良い 2 3" xfId="1245" xr:uid="{3F6640D2-EF58-4905-AE18-ACFD4E246F24}"/>
    <cellStyle name="良い 2 4" xfId="1246" xr:uid="{A87F01CA-BB40-42CF-B3D5-FF59DB429301}"/>
    <cellStyle name="良い 3" xfId="1247" xr:uid="{AFF69B3D-730F-4FD8-A716-35E483F2E41B}"/>
    <cellStyle name="良い 4" xfId="1248" xr:uid="{A4473C52-8830-4816-9849-F087D392361A}"/>
    <cellStyle name="良い 5" xfId="1249" xr:uid="{89C85AC9-77E2-471E-82E0-9AA05CEF891F}"/>
    <cellStyle name="良い 6" xfId="1250" xr:uid="{6811D0A1-903B-492D-9232-EB6128EA3E88}"/>
    <cellStyle name="良い 7" xfId="1251" xr:uid="{94248E09-09D3-4A9D-AFB4-05517194627D}"/>
    <cellStyle name="良い 8" xfId="1252" xr:uid="{A28B92E1-D22E-4AB9-ABB1-B634B95B7682}"/>
    <cellStyle name="良い 9" xfId="1253" xr:uid="{82BAD2DA-74E4-4BBC-A071-D5D3E5B99118}"/>
    <cellStyle name="見出し 1" xfId="1254" xr:uid="{5713A222-915A-49E4-880D-744B7188FDFA}"/>
    <cellStyle name="見出し 1 2" xfId="1255" xr:uid="{EA2EEF4C-256C-43B0-BD9B-72109F1D7FCA}"/>
    <cellStyle name="見出し 1 2 2" xfId="1256" xr:uid="{B853FF7B-8140-41C2-8562-DBEA226C2811}"/>
    <cellStyle name="見出し 1 2 3" xfId="1257" xr:uid="{DC43ECAB-6271-49D5-8508-17C4DCE8FFAF}"/>
    <cellStyle name="見出し 1 2 4" xfId="1258" xr:uid="{C6575310-C631-4462-B0FC-51BDEBDD3F5C}"/>
    <cellStyle name="見出し 1 3" xfId="1259" xr:uid="{21B543B2-3F0F-4278-A9E1-10016E8E0114}"/>
    <cellStyle name="見出し 1 4" xfId="1260" xr:uid="{927F8A09-5379-4402-BD1F-2F7DDFE66EB9}"/>
    <cellStyle name="見出し 1 5" xfId="1261" xr:uid="{2A13A10F-36A6-43A3-9BF9-8C552FF9B278}"/>
    <cellStyle name="見出し 1 6" xfId="1262" xr:uid="{A4029729-7F48-4469-8524-C691924A7A94}"/>
    <cellStyle name="見出し 1 7" xfId="1263" xr:uid="{687689D4-DDB7-404B-9BDE-42D6DC3A1513}"/>
    <cellStyle name="見出し 1 8" xfId="1264" xr:uid="{6E568188-2DB2-42B2-AF76-F1B4C73051BD}"/>
    <cellStyle name="見出し 1 9" xfId="1265" xr:uid="{25E450A8-85AA-464A-883B-F9DFC37FB334}"/>
    <cellStyle name="見出し 2" xfId="1266" xr:uid="{13E52A06-5EBE-4CA6-B8CC-C3153E307137}"/>
    <cellStyle name="見出し 2 2" xfId="1267" xr:uid="{56F8F44F-3302-493A-AFBB-35E57949EAC8}"/>
    <cellStyle name="見出し 2 2 2" xfId="1268" xr:uid="{74EFCCA5-0AF7-43E6-A420-383A73758B56}"/>
    <cellStyle name="見出し 2 2 3" xfId="1269" xr:uid="{9DF75BB3-981C-45F8-BA10-A31BAFB5DC6E}"/>
    <cellStyle name="見出し 2 2 4" xfId="1270" xr:uid="{77FC05D8-8A58-4B9F-A69A-F4AACA53B852}"/>
    <cellStyle name="見出し 2 3" xfId="1271" xr:uid="{F012877A-230D-4311-9F7F-6C58F2675C1A}"/>
    <cellStyle name="見出し 2 4" xfId="1272" xr:uid="{41290E60-F0AE-40F3-AB50-D2EF73A004E0}"/>
    <cellStyle name="見出し 2 5" xfId="1273" xr:uid="{82727B22-1B45-438E-B6B6-2BA7B94BCF52}"/>
    <cellStyle name="見出し 2 6" xfId="1274" xr:uid="{5B574E51-9809-48FA-927E-35D21F1A5277}"/>
    <cellStyle name="見出し 2 7" xfId="1275" xr:uid="{29198BCB-F2A7-4232-B91C-B4D29968B869}"/>
    <cellStyle name="見出し 2 8" xfId="1276" xr:uid="{9DBB1EF0-AB47-43CC-909F-36F2849591F2}"/>
    <cellStyle name="見出し 2 9" xfId="1277" xr:uid="{685096C5-D1D3-4C9D-B329-3AED3655D217}"/>
    <cellStyle name="見出し 3" xfId="1278" xr:uid="{00BB9BBD-5222-430F-8B63-5C8439D56376}"/>
    <cellStyle name="見出し 3 2" xfId="1279" xr:uid="{05EDCEBA-40B5-41ED-A27A-723A07C109CA}"/>
    <cellStyle name="見出し 3 2 2" xfId="1280" xr:uid="{2CA42DA9-DB0A-433E-AD5C-8B2FB4C5B4C5}"/>
    <cellStyle name="見出し 3 2 3" xfId="1281" xr:uid="{AA4DAA0F-0BE4-4D1A-9558-DE586BDC453E}"/>
    <cellStyle name="見出し 3 2 4" xfId="1282" xr:uid="{AB8C5EA6-6F14-444C-B41C-2A373ECD1AF5}"/>
    <cellStyle name="見出し 3 3" xfId="1283" xr:uid="{0A3CEA64-E497-4AF3-BD37-5DB01D776605}"/>
    <cellStyle name="見出し 3 4" xfId="1284" xr:uid="{D05AE0FD-7CC0-485B-A05D-850617ECA64F}"/>
    <cellStyle name="見出し 3 5" xfId="1285" xr:uid="{6A18290B-4D62-4747-BF7A-78ECA66FCB08}"/>
    <cellStyle name="見出し 3 6" xfId="1286" xr:uid="{125DA8BC-9B08-4043-A70B-614A149B0694}"/>
    <cellStyle name="見出し 3 7" xfId="1287" xr:uid="{1B61C0D8-D5C1-4223-AC8D-C48C07BB0177}"/>
    <cellStyle name="見出し 3 8" xfId="1288" xr:uid="{84C60692-51FC-4A06-BF3D-0536FE0372A7}"/>
    <cellStyle name="見出し 3 9" xfId="1289" xr:uid="{F708F00E-BD87-4C4A-89E0-CD8C7861CD60}"/>
    <cellStyle name="見出し 4" xfId="1290" xr:uid="{E5B9111F-87F5-43A5-8B04-1B68F4B6E413}"/>
    <cellStyle name="見出し 4 2" xfId="1291" xr:uid="{1A0A0ED5-ADFB-4EAF-A413-6333D5438F0E}"/>
    <cellStyle name="見出し 4 2 2" xfId="1292" xr:uid="{371F2C99-3128-4526-B833-FE60CFBA282C}"/>
    <cellStyle name="見出し 4 2 3" xfId="1293" xr:uid="{80DDE95E-E077-449F-B5CA-ABB5CC07F97E}"/>
    <cellStyle name="見出し 4 2 4" xfId="1294" xr:uid="{A18EF792-89FA-48A3-B71C-DEAF4B407654}"/>
    <cellStyle name="見出し 4 3" xfId="1295" xr:uid="{F159411F-AA05-4AC1-A3CB-0FAC1BDBC60A}"/>
    <cellStyle name="見出し 4 4" xfId="1296" xr:uid="{5C58D92B-BAEE-480B-94A8-D224AD796171}"/>
    <cellStyle name="見出し 4 5" xfId="1297" xr:uid="{E61ADAD6-500D-4C30-B454-446D8BC0A292}"/>
    <cellStyle name="見出し 4 6" xfId="1298" xr:uid="{DCCE15A2-E64B-4853-916F-F1DEE3915ADB}"/>
    <cellStyle name="見出し 4 7" xfId="1299" xr:uid="{46D48AAC-54A6-417F-AFD7-E4FBF9F3077F}"/>
    <cellStyle name="見出し 4 8" xfId="1300" xr:uid="{A46CFED3-B36C-43F3-8432-3F952256E104}"/>
    <cellStyle name="見出し 4 9" xfId="1301" xr:uid="{4520B554-34A1-4F80-B8F7-F127850FA5A1}"/>
    <cellStyle name="計算" xfId="1302" xr:uid="{58D173A4-301B-4501-B02F-895C592711C4}"/>
    <cellStyle name="計算 2" xfId="1303" xr:uid="{A4A42870-6EE1-4F21-AA82-C03F032FB373}"/>
    <cellStyle name="計算 2 2" xfId="1304" xr:uid="{E96ABFF6-6548-46FB-B6D4-B45256AFE028}"/>
    <cellStyle name="計算 2 3" xfId="1305" xr:uid="{CB763ADB-CFB8-4694-BF09-A8A510B8EF5D}"/>
    <cellStyle name="計算 2 4" xfId="1306" xr:uid="{32D7F334-7982-4AD9-BCAA-CB94BFB4DFB1}"/>
    <cellStyle name="計算 3" xfId="1307" xr:uid="{741DA4FA-0448-43DF-9BD2-32B339467BB9}"/>
    <cellStyle name="計算 4" xfId="1308" xr:uid="{18E494EE-2951-4916-A0B3-41AD811E3F14}"/>
    <cellStyle name="計算 5" xfId="1309" xr:uid="{E3777A56-C6F7-48C4-A428-14AD62215B2F}"/>
    <cellStyle name="計算 6" xfId="1310" xr:uid="{156C683A-0F78-424F-82C5-FE12D056BE62}"/>
    <cellStyle name="計算 7" xfId="1311" xr:uid="{D6ED5271-CF93-44FF-9E06-B528E8A12FC8}"/>
    <cellStyle name="計算 8" xfId="1312" xr:uid="{9474B64B-EB0C-4DBD-A8BF-ADE14756505B}"/>
    <cellStyle name="計算 9" xfId="1313" xr:uid="{45D4B941-1B86-428A-AAE5-596A4C127F41}"/>
    <cellStyle name="説明文" xfId="1314" xr:uid="{9356D7F7-39CA-4F9D-8341-6C69FAFC2912}"/>
    <cellStyle name="説明文 2" xfId="1315" xr:uid="{1AA79007-35B9-4505-9A05-2604745A162F}"/>
    <cellStyle name="説明文 2 2" xfId="1316" xr:uid="{8E0FDFE7-23E1-4C39-96F9-9EF68B97AC44}"/>
    <cellStyle name="説明文 2 3" xfId="1317" xr:uid="{80308CBA-0983-482E-9F8B-4F839E752C15}"/>
    <cellStyle name="説明文 2 4" xfId="1318" xr:uid="{20748903-253C-4BEE-B3C6-0019EDFB2F6C}"/>
    <cellStyle name="説明文 3" xfId="1319" xr:uid="{D4488586-F23D-40CC-B6BB-6949898FA975}"/>
    <cellStyle name="説明文 4" xfId="1320" xr:uid="{415F422C-B4C2-4372-945A-FBE9C8159AE3}"/>
    <cellStyle name="説明文 5" xfId="1321" xr:uid="{223839E1-C365-4A59-8C0C-028B1C8C5F03}"/>
    <cellStyle name="説明文 6" xfId="1322" xr:uid="{015987D3-8D49-4DB0-A69C-0A0953181757}"/>
    <cellStyle name="説明文 7" xfId="1323" xr:uid="{36776568-3B09-4742-9963-2E0AEC5D398C}"/>
    <cellStyle name="説明文 8" xfId="1324" xr:uid="{8453430D-28D5-4F4F-A853-E30020D79E84}"/>
    <cellStyle name="説明文 9" xfId="1325" xr:uid="{E1F56854-BF63-44C7-8D2D-91491714F65F}"/>
    <cellStyle name="警告文" xfId="1326" xr:uid="{9F4B7E40-5662-4F63-9C79-6CA32A2F3FFA}"/>
    <cellStyle name="警告文 2" xfId="1327" xr:uid="{6E8D2A75-235B-4823-B996-3A1392E2E795}"/>
    <cellStyle name="警告文 2 2" xfId="1328" xr:uid="{FEA4F8C4-50CF-4F52-B4F7-54DDBD1743DD}"/>
    <cellStyle name="警告文 2 3" xfId="1329" xr:uid="{6ED13F65-CE66-474D-B589-ECB0050DCA2B}"/>
    <cellStyle name="警告文 2 4" xfId="1330" xr:uid="{C3D5DB07-0CF4-4CDC-A39F-8A027DBB52E3}"/>
    <cellStyle name="警告文 3" xfId="1331" xr:uid="{7C7E334C-BD74-44F6-BA83-301D099B1318}"/>
    <cellStyle name="警告文 4" xfId="1332" xr:uid="{CEDCEDBC-EFB8-4C44-A02F-87EC45F7003B}"/>
    <cellStyle name="警告文 5" xfId="1333" xr:uid="{8985BD42-DCAD-46F7-ACEA-E85390DF2FF6}"/>
    <cellStyle name="警告文 6" xfId="1334" xr:uid="{666AB1CF-95ED-4F37-8BAF-243628F972EA}"/>
    <cellStyle name="警告文 7" xfId="1335" xr:uid="{8BAF3C9F-06C8-49C6-9C32-AFB058E47921}"/>
    <cellStyle name="警告文 8" xfId="1336" xr:uid="{BB92935A-6A2F-41BB-A3E1-76EE72952090}"/>
    <cellStyle name="警告文 9" xfId="1337" xr:uid="{1A23F84B-6111-4D6E-8153-F1002F2D9487}"/>
    <cellStyle name="通貨 2" xfId="1338" xr:uid="{C15DBCE2-6128-45EA-9C14-1E9C5A0D5289}"/>
    <cellStyle name="通貨 3" xfId="1339" xr:uid="{D234A48A-F2D9-48D9-B6B8-72CA2FC5C4B0}"/>
    <cellStyle name="通貨 4" xfId="1340" xr:uid="{C696017B-CB12-472E-A9FB-EC8098DB6F9C}"/>
    <cellStyle name="集計" xfId="1341" xr:uid="{D9BC523E-0C37-4C6B-BD69-13C364136EAB}"/>
    <cellStyle name="集計 2" xfId="1342" xr:uid="{48F444F0-3C3A-43BB-AAAA-D00E1A89863D}"/>
    <cellStyle name="集計 2 2" xfId="1343" xr:uid="{A8691F20-071C-4250-BEA8-80515C9D66F2}"/>
    <cellStyle name="集計 2 3" xfId="1344" xr:uid="{D4946043-0484-4882-8CF5-28B7976442C6}"/>
    <cellStyle name="集計 2 4" xfId="1345" xr:uid="{01672971-5D85-40F3-9B4E-3E55FEC7CBF8}"/>
    <cellStyle name="集計 3" xfId="1346" xr:uid="{14264668-2C4F-4C01-AC01-8A8027C5A552}"/>
    <cellStyle name="集計 4" xfId="1347" xr:uid="{9EB701EE-C26C-4147-BBBD-6088074EEFCD}"/>
    <cellStyle name="集計 5" xfId="1348" xr:uid="{182F1674-5C18-4EA8-897E-5D0808EB9077}"/>
    <cellStyle name="集計 6" xfId="1349" xr:uid="{FD2D9626-BE77-4748-926B-D73F0F2D8CF6}"/>
    <cellStyle name="集計 7" xfId="1350" xr:uid="{66EA9719-2E9D-4A64-88B3-DAA87C54177F}"/>
    <cellStyle name="集計 8" xfId="1351" xr:uid="{BD6ED6C9-EEE0-4DE0-8240-9A8667AF603F}"/>
    <cellStyle name="集計 9" xfId="1352" xr:uid="{10A44F8A-D6E7-434F-BEFE-1C5B0254C0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4</xdr:row>
      <xdr:rowOff>82550</xdr:rowOff>
    </xdr:from>
    <xdr:to>
      <xdr:col>1</xdr:col>
      <xdr:colOff>1511300</xdr:colOff>
      <xdr:row>14</xdr:row>
      <xdr:rowOff>55188</xdr:rowOff>
    </xdr:to>
    <xdr:pic>
      <xdr:nvPicPr>
        <xdr:cNvPr id="4" name="Picture 3" descr="Image">
          <a:extLst>
            <a:ext uri="{FF2B5EF4-FFF2-40B4-BE49-F238E27FC236}">
              <a16:creationId xmlns:a16="http://schemas.microsoft.com/office/drawing/2014/main" id="{4420E884-860C-4C7C-8F1A-CA80695F80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13" r="8747" b="3140"/>
        <a:stretch/>
      </xdr:blipFill>
      <xdr:spPr bwMode="auto">
        <a:xfrm>
          <a:off x="838200" y="819150"/>
          <a:ext cx="1384300" cy="1814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88900</xdr:colOff>
      <xdr:row>4</xdr:row>
      <xdr:rowOff>88900</xdr:rowOff>
    </xdr:from>
    <xdr:to>
      <xdr:col>2</xdr:col>
      <xdr:colOff>1562100</xdr:colOff>
      <xdr:row>14</xdr:row>
      <xdr:rowOff>69849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737EDF-F56E-413B-9ADC-D0059F97BE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42" r="22454" b="348"/>
        <a:stretch/>
      </xdr:blipFill>
      <xdr:spPr bwMode="auto">
        <a:xfrm>
          <a:off x="2819400" y="825500"/>
          <a:ext cx="1473200" cy="182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127000</xdr:colOff>
      <xdr:row>4</xdr:row>
      <xdr:rowOff>82550</xdr:rowOff>
    </xdr:from>
    <xdr:to>
      <xdr:col>3</xdr:col>
      <xdr:colOff>1511300</xdr:colOff>
      <xdr:row>14</xdr:row>
      <xdr:rowOff>55188</xdr:rowOff>
    </xdr:to>
    <xdr:pic>
      <xdr:nvPicPr>
        <xdr:cNvPr id="6" name="Picture 5" descr="Image">
          <a:extLst>
            <a:ext uri="{FF2B5EF4-FFF2-40B4-BE49-F238E27FC236}">
              <a16:creationId xmlns:a16="http://schemas.microsoft.com/office/drawing/2014/main" id="{136AFB45-7630-4A01-BAF6-7E8EBCDAF4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13" r="8747" b="3140"/>
        <a:stretch/>
      </xdr:blipFill>
      <xdr:spPr bwMode="auto">
        <a:xfrm>
          <a:off x="4654550" y="819150"/>
          <a:ext cx="1384300" cy="1814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1657350</xdr:colOff>
      <xdr:row>4</xdr:row>
      <xdr:rowOff>76200</xdr:rowOff>
    </xdr:from>
    <xdr:to>
      <xdr:col>3</xdr:col>
      <xdr:colOff>3130550</xdr:colOff>
      <xdr:row>14</xdr:row>
      <xdr:rowOff>57149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250591-F654-490D-8B3E-3D07C0B4C5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42" r="22454" b="348"/>
        <a:stretch/>
      </xdr:blipFill>
      <xdr:spPr bwMode="auto">
        <a:xfrm>
          <a:off x="6184900" y="812800"/>
          <a:ext cx="1473200" cy="182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12700</xdr:colOff>
      <xdr:row>16</xdr:row>
      <xdr:rowOff>25400</xdr:rowOff>
    </xdr:from>
    <xdr:to>
      <xdr:col>2</xdr:col>
      <xdr:colOff>1434617</xdr:colOff>
      <xdr:row>24</xdr:row>
      <xdr:rowOff>120649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933BBE-415F-4FF3-944E-EA86C3DD2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7" r="21065" b="-347"/>
        <a:stretch/>
      </xdr:blipFill>
      <xdr:spPr>
        <a:xfrm>
          <a:off x="2838450" y="3340100"/>
          <a:ext cx="1421917" cy="1568450"/>
        </a:xfrm>
        <a:prstGeom prst="rect">
          <a:avLst/>
        </a:prstGeom>
      </xdr:spPr>
    </xdr:pic>
    <xdr:clientData/>
  </xdr:twoCellAnchor>
  <xdr:twoCellAnchor editAs="oneCell">
    <xdr:from>
      <xdr:col>2</xdr:col>
      <xdr:colOff>1479550</xdr:colOff>
      <xdr:row>16</xdr:row>
      <xdr:rowOff>38100</xdr:rowOff>
    </xdr:from>
    <xdr:to>
      <xdr:col>2</xdr:col>
      <xdr:colOff>2726894</xdr:colOff>
      <xdr:row>24</xdr:row>
      <xdr:rowOff>107949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9D79FD7-7FED-43E6-94F3-6772B46880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42" r="22454" b="348"/>
        <a:stretch/>
      </xdr:blipFill>
      <xdr:spPr bwMode="auto">
        <a:xfrm>
          <a:off x="4305300" y="3352800"/>
          <a:ext cx="1247344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558800</xdr:colOff>
      <xdr:row>16</xdr:row>
      <xdr:rowOff>50800</xdr:rowOff>
    </xdr:from>
    <xdr:to>
      <xdr:col>3</xdr:col>
      <xdr:colOff>2889250</xdr:colOff>
      <xdr:row>24</xdr:row>
      <xdr:rowOff>131232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AD9A566-9D0F-4825-A582-0C9E90E72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3181350"/>
          <a:ext cx="2330450" cy="1553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2994-E578-45FF-AB30-B328DA0E0323}">
  <dimension ref="C5:F17"/>
  <sheetViews>
    <sheetView workbookViewId="0">
      <selection activeCell="D14" sqref="D14"/>
    </sheetView>
  </sheetViews>
  <sheetFormatPr defaultRowHeight="14.5"/>
  <cols>
    <col min="3" max="3" width="21.453125" customWidth="1"/>
    <col min="4" max="4" width="18.54296875" customWidth="1"/>
    <col min="5" max="5" width="16.81640625" customWidth="1"/>
    <col min="6" max="6" width="56.26953125" customWidth="1"/>
  </cols>
  <sheetData>
    <row r="5" spans="3:6" ht="29">
      <c r="C5" s="62" t="s">
        <v>70</v>
      </c>
      <c r="D5" s="62" t="s">
        <v>71</v>
      </c>
      <c r="E5" s="62" t="s">
        <v>72</v>
      </c>
      <c r="F5" s="62" t="s">
        <v>76</v>
      </c>
    </row>
    <row r="6" spans="3:6" ht="33" customHeight="1">
      <c r="C6" s="60" t="s">
        <v>74</v>
      </c>
      <c r="D6" s="60" t="s">
        <v>73</v>
      </c>
      <c r="E6" s="60" t="s">
        <v>73</v>
      </c>
      <c r="F6" s="60" t="s">
        <v>75</v>
      </c>
    </row>
    <row r="7" spans="3:6" ht="33" customHeight="1">
      <c r="C7" s="60" t="s">
        <v>77</v>
      </c>
      <c r="D7" s="60"/>
      <c r="E7" s="60" t="s">
        <v>73</v>
      </c>
      <c r="F7" s="63" t="s">
        <v>78</v>
      </c>
    </row>
    <row r="8" spans="3:6" ht="33" customHeight="1">
      <c r="C8" s="60">
        <v>3</v>
      </c>
      <c r="D8" s="60"/>
      <c r="E8" s="60"/>
      <c r="F8" s="56"/>
    </row>
    <row r="9" spans="3:6" ht="33" customHeight="1">
      <c r="C9" s="60">
        <v>4</v>
      </c>
      <c r="D9" s="60"/>
      <c r="E9" s="60"/>
      <c r="F9" s="56"/>
    </row>
    <row r="10" spans="3:6" ht="33" customHeight="1">
      <c r="C10" s="60">
        <v>5</v>
      </c>
      <c r="D10" s="60"/>
      <c r="E10" s="60"/>
      <c r="F10" s="56"/>
    </row>
    <row r="11" spans="3:6" ht="33" customHeight="1">
      <c r="C11" s="60">
        <v>6</v>
      </c>
      <c r="D11" s="60"/>
      <c r="E11" s="60"/>
      <c r="F11" s="56"/>
    </row>
    <row r="12" spans="3:6" ht="33" customHeight="1">
      <c r="C12" s="60">
        <v>7</v>
      </c>
      <c r="D12" s="60"/>
      <c r="E12" s="60"/>
      <c r="F12" s="56"/>
    </row>
    <row r="13" spans="3:6" ht="33" customHeight="1">
      <c r="C13" s="60">
        <v>8</v>
      </c>
      <c r="D13" s="60"/>
      <c r="E13" s="60"/>
      <c r="F13" s="56"/>
    </row>
    <row r="14" spans="3:6" ht="33" customHeight="1">
      <c r="C14" s="60">
        <v>9</v>
      </c>
      <c r="D14" s="60"/>
      <c r="E14" s="60"/>
      <c r="F14" s="56"/>
    </row>
    <row r="15" spans="3:6" ht="33" customHeight="1">
      <c r="C15" s="60">
        <v>10</v>
      </c>
      <c r="D15" s="60"/>
      <c r="E15" s="60"/>
      <c r="F15" s="56"/>
    </row>
    <row r="16" spans="3:6">
      <c r="C16" s="59"/>
    </row>
    <row r="17" spans="3:3">
      <c r="C17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DE1E-DFAB-4CA9-A304-4E42F02FA9DA}">
  <dimension ref="A3:D26"/>
  <sheetViews>
    <sheetView view="pageBreakPreview" zoomScale="60" zoomScaleNormal="100" workbookViewId="0">
      <selection activeCell="A3" sqref="A3:D3"/>
    </sheetView>
  </sheetViews>
  <sheetFormatPr defaultRowHeight="14.5"/>
  <cols>
    <col min="1" max="1" width="8.7265625" style="57" customWidth="1"/>
    <col min="2" max="2" width="31.7265625" customWidth="1"/>
    <col min="3" max="3" width="39.1796875" customWidth="1"/>
    <col min="4" max="4" width="67.26953125" customWidth="1"/>
  </cols>
  <sheetData>
    <row r="3" spans="1:4" ht="26.15" customHeight="1">
      <c r="A3" s="65" t="s">
        <v>88</v>
      </c>
      <c r="B3" s="66" t="s">
        <v>79</v>
      </c>
      <c r="C3" s="66" t="s">
        <v>81</v>
      </c>
      <c r="D3" s="66" t="s">
        <v>83</v>
      </c>
    </row>
    <row r="4" spans="1:4" ht="14.5" customHeight="1">
      <c r="A4" s="97" t="s">
        <v>80</v>
      </c>
      <c r="B4" s="56" t="s">
        <v>82</v>
      </c>
      <c r="C4" s="56" t="s">
        <v>72</v>
      </c>
      <c r="D4" s="56" t="s">
        <v>84</v>
      </c>
    </row>
    <row r="5" spans="1:4" ht="14.5" customHeight="1">
      <c r="A5" s="98"/>
      <c r="B5" s="100"/>
      <c r="C5" s="100"/>
      <c r="D5" s="100"/>
    </row>
    <row r="6" spans="1:4" ht="14.5" customHeight="1">
      <c r="A6" s="98"/>
      <c r="B6" s="101"/>
      <c r="C6" s="101"/>
      <c r="D6" s="101"/>
    </row>
    <row r="7" spans="1:4" ht="14.5" customHeight="1">
      <c r="A7" s="98"/>
      <c r="B7" s="101"/>
      <c r="C7" s="101"/>
      <c r="D7" s="101"/>
    </row>
    <row r="8" spans="1:4" ht="14.5" customHeight="1">
      <c r="A8" s="98"/>
      <c r="B8" s="101"/>
      <c r="C8" s="101"/>
      <c r="D8" s="101"/>
    </row>
    <row r="9" spans="1:4" ht="14.5" customHeight="1">
      <c r="A9" s="98"/>
      <c r="B9" s="101"/>
      <c r="C9" s="101"/>
      <c r="D9" s="101"/>
    </row>
    <row r="10" spans="1:4" ht="14.5" customHeight="1">
      <c r="A10" s="98"/>
      <c r="B10" s="101"/>
      <c r="C10" s="101"/>
      <c r="D10" s="101"/>
    </row>
    <row r="11" spans="1:4" ht="14.5" customHeight="1">
      <c r="A11" s="98"/>
      <c r="B11" s="101"/>
      <c r="C11" s="101"/>
      <c r="D11" s="101"/>
    </row>
    <row r="12" spans="1:4" ht="14.5" customHeight="1">
      <c r="A12" s="98"/>
      <c r="B12" s="101"/>
      <c r="C12" s="101"/>
      <c r="D12" s="101"/>
    </row>
    <row r="13" spans="1:4" ht="14.5" customHeight="1">
      <c r="A13" s="98"/>
      <c r="B13" s="101"/>
      <c r="C13" s="101"/>
      <c r="D13" s="101"/>
    </row>
    <row r="14" spans="1:4" ht="14.5" customHeight="1">
      <c r="A14" s="98"/>
      <c r="B14" s="101"/>
      <c r="C14" s="101"/>
      <c r="D14" s="101"/>
    </row>
    <row r="15" spans="1:4" ht="14.5" customHeight="1">
      <c r="A15" s="99"/>
      <c r="B15" s="102"/>
      <c r="C15" s="102"/>
      <c r="D15" s="102"/>
    </row>
    <row r="16" spans="1:4" ht="29">
      <c r="A16" s="97" t="s">
        <v>85</v>
      </c>
      <c r="B16" s="94" t="s">
        <v>89</v>
      </c>
      <c r="C16" s="61" t="s">
        <v>87</v>
      </c>
      <c r="D16" s="64" t="s">
        <v>86</v>
      </c>
    </row>
    <row r="17" spans="1:4" ht="14.5" customHeight="1">
      <c r="A17" s="98"/>
      <c r="B17" s="95"/>
      <c r="C17" s="100"/>
      <c r="D17" s="100"/>
    </row>
    <row r="18" spans="1:4" ht="14.5" customHeight="1">
      <c r="A18" s="98"/>
      <c r="B18" s="95"/>
      <c r="C18" s="101"/>
      <c r="D18" s="101"/>
    </row>
    <row r="19" spans="1:4" ht="14.5" customHeight="1">
      <c r="A19" s="98"/>
      <c r="B19" s="95"/>
      <c r="C19" s="101"/>
      <c r="D19" s="101"/>
    </row>
    <row r="20" spans="1:4" ht="14.5" customHeight="1">
      <c r="A20" s="98"/>
      <c r="B20" s="95"/>
      <c r="C20" s="101"/>
      <c r="D20" s="101"/>
    </row>
    <row r="21" spans="1:4" ht="14.5" customHeight="1">
      <c r="A21" s="98"/>
      <c r="B21" s="95"/>
      <c r="C21" s="101"/>
      <c r="D21" s="101"/>
    </row>
    <row r="22" spans="1:4" ht="14.5" customHeight="1">
      <c r="A22" s="98"/>
      <c r="B22" s="95"/>
      <c r="C22" s="101"/>
      <c r="D22" s="101"/>
    </row>
    <row r="23" spans="1:4" ht="14.5" customHeight="1">
      <c r="A23" s="98"/>
      <c r="B23" s="95"/>
      <c r="C23" s="101"/>
      <c r="D23" s="101"/>
    </row>
    <row r="24" spans="1:4" ht="14.5" customHeight="1">
      <c r="A24" s="98"/>
      <c r="B24" s="95"/>
      <c r="C24" s="101"/>
      <c r="D24" s="101"/>
    </row>
    <row r="25" spans="1:4" ht="14.5" customHeight="1">
      <c r="A25" s="98"/>
      <c r="B25" s="95"/>
      <c r="C25" s="101"/>
      <c r="D25" s="101"/>
    </row>
    <row r="26" spans="1:4" ht="14.5" customHeight="1">
      <c r="A26" s="99"/>
      <c r="B26" s="96"/>
      <c r="C26" s="102"/>
      <c r="D26" s="102"/>
    </row>
  </sheetData>
  <mergeCells count="8">
    <mergeCell ref="B16:B26"/>
    <mergeCell ref="A16:A26"/>
    <mergeCell ref="C17:C26"/>
    <mergeCell ref="D17:D26"/>
    <mergeCell ref="A4:A15"/>
    <mergeCell ref="B5:B15"/>
    <mergeCell ref="C5:C15"/>
    <mergeCell ref="D5:D15"/>
  </mergeCells>
  <pageMargins left="0.7" right="0.7" top="0.75" bottom="0.75" header="0.3" footer="0.3"/>
  <pageSetup paperSize="9" scale="8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18C3-EE2B-4935-8640-0C696F10ED70}">
  <dimension ref="B2:K19"/>
  <sheetViews>
    <sheetView workbookViewId="0">
      <selection activeCell="C19" sqref="C19:G19"/>
    </sheetView>
  </sheetViews>
  <sheetFormatPr defaultRowHeight="14.5"/>
  <sheetData>
    <row r="2" spans="2:11">
      <c r="B2" t="s">
        <v>6960</v>
      </c>
    </row>
    <row r="3" spans="2:11">
      <c r="C3" t="s">
        <v>6961</v>
      </c>
      <c r="D3" t="s">
        <v>6962</v>
      </c>
      <c r="E3" t="s">
        <v>6963</v>
      </c>
      <c r="F3" t="s">
        <v>6964</v>
      </c>
      <c r="G3" t="s">
        <v>6965</v>
      </c>
      <c r="H3" t="s">
        <v>6966</v>
      </c>
    </row>
    <row r="6" spans="2:11">
      <c r="B6" t="s">
        <v>6967</v>
      </c>
    </row>
    <row r="7" spans="2:11">
      <c r="C7" t="s">
        <v>6954</v>
      </c>
      <c r="D7" t="s">
        <v>6955</v>
      </c>
      <c r="E7" t="s">
        <v>6956</v>
      </c>
      <c r="F7" t="s">
        <v>6957</v>
      </c>
      <c r="G7" t="s">
        <v>6958</v>
      </c>
      <c r="H7" t="s">
        <v>6959</v>
      </c>
    </row>
    <row r="9" spans="2:11" ht="20">
      <c r="C9" s="75" t="s">
        <v>6968</v>
      </c>
      <c r="D9" s="76"/>
      <c r="E9" s="77"/>
      <c r="F9" s="77"/>
      <c r="G9" s="77"/>
      <c r="H9" s="77"/>
      <c r="I9" s="77"/>
      <c r="J9" s="77"/>
      <c r="K9" s="77"/>
    </row>
    <row r="10" spans="2:11">
      <c r="C10" t="s">
        <v>6969</v>
      </c>
      <c r="D10" t="s">
        <v>6970</v>
      </c>
      <c r="E10" t="s">
        <v>6971</v>
      </c>
      <c r="F10" t="s">
        <v>6972</v>
      </c>
    </row>
    <row r="15" spans="2:11">
      <c r="C15" t="s">
        <v>6973</v>
      </c>
      <c r="E15" t="s">
        <v>6974</v>
      </c>
      <c r="F15" t="s">
        <v>6973</v>
      </c>
    </row>
    <row r="16" spans="2:11">
      <c r="C16" t="s">
        <v>6975</v>
      </c>
      <c r="D16" t="s">
        <v>6974</v>
      </c>
    </row>
    <row r="18" spans="3:7">
      <c r="C18" t="s">
        <v>6981</v>
      </c>
    </row>
    <row r="19" spans="3:7">
      <c r="C19" t="s">
        <v>6976</v>
      </c>
      <c r="D19" t="s">
        <v>6977</v>
      </c>
      <c r="E19" t="s">
        <v>6978</v>
      </c>
      <c r="F19" t="s">
        <v>6979</v>
      </c>
      <c r="G19" t="s">
        <v>6980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B98F-CFD3-4395-9940-A67BF1F459EF}">
  <dimension ref="A1:AR1874"/>
  <sheetViews>
    <sheetView zoomScale="68" zoomScaleNormal="68" workbookViewId="0">
      <pane xSplit="1" ySplit="1" topLeftCell="W2" activePane="bottomRight" state="frozen"/>
      <selection activeCell="O320" sqref="O320"/>
      <selection pane="topRight" activeCell="O320" sqref="O320"/>
      <selection pane="bottomLeft" activeCell="O320" sqref="O320"/>
      <selection pane="bottomRight" activeCell="T1" sqref="T1"/>
    </sheetView>
  </sheetViews>
  <sheetFormatPr defaultColWidth="8.7265625" defaultRowHeight="14.5"/>
  <cols>
    <col min="1" max="1" width="10.54296875" customWidth="1"/>
    <col min="2" max="2" width="16" bestFit="1" customWidth="1"/>
    <col min="3" max="3" width="36.81640625" customWidth="1"/>
    <col min="4" max="4" width="10.54296875" customWidth="1"/>
    <col min="5" max="5" width="14" customWidth="1"/>
    <col min="6" max="8" width="10.54296875" customWidth="1"/>
    <col min="9" max="9" width="15.7265625" customWidth="1"/>
    <col min="10" max="21" width="10.54296875" customWidth="1"/>
    <col min="22" max="22" width="20.26953125" bestFit="1" customWidth="1"/>
    <col min="23" max="44" width="10.54296875" customWidth="1"/>
  </cols>
  <sheetData>
    <row r="1" spans="1:44" s="67" customFormat="1" ht="137.5" customHeight="1">
      <c r="A1" s="68" t="s">
        <v>90</v>
      </c>
      <c r="B1" s="68" t="s">
        <v>91</v>
      </c>
      <c r="C1" s="62" t="s">
        <v>92</v>
      </c>
      <c r="D1" s="62" t="s">
        <v>1471</v>
      </c>
      <c r="E1" s="62" t="s">
        <v>1472</v>
      </c>
      <c r="F1" s="62" t="s">
        <v>1473</v>
      </c>
      <c r="G1" s="62" t="s">
        <v>63</v>
      </c>
      <c r="H1" s="74" t="s">
        <v>6219</v>
      </c>
      <c r="I1" s="62" t="s">
        <v>3944</v>
      </c>
      <c r="J1" s="62" t="s">
        <v>2432</v>
      </c>
      <c r="K1" s="62" t="s">
        <v>2433</v>
      </c>
      <c r="L1" s="62" t="s">
        <v>4288</v>
      </c>
      <c r="M1" s="62" t="s">
        <v>4289</v>
      </c>
      <c r="N1" s="62" t="s">
        <v>4287</v>
      </c>
      <c r="O1" s="62" t="s">
        <v>4285</v>
      </c>
      <c r="P1" s="62" t="s">
        <v>4290</v>
      </c>
      <c r="Q1" s="62" t="s">
        <v>4291</v>
      </c>
      <c r="R1" s="62"/>
      <c r="S1" s="62"/>
      <c r="T1" s="62" t="s">
        <v>2434</v>
      </c>
      <c r="U1" s="62" t="s">
        <v>2435</v>
      </c>
      <c r="V1" s="62" t="s">
        <v>2436</v>
      </c>
      <c r="W1" s="67" t="s">
        <v>4286</v>
      </c>
      <c r="X1" s="67" t="s">
        <v>4292</v>
      </c>
      <c r="Y1" s="71" t="s">
        <v>4293</v>
      </c>
      <c r="Z1" s="71" t="s">
        <v>4294</v>
      </c>
      <c r="AA1" s="71" t="s">
        <v>4295</v>
      </c>
      <c r="AB1" s="71" t="s">
        <v>4303</v>
      </c>
      <c r="AC1" s="71" t="s">
        <v>4304</v>
      </c>
      <c r="AD1" s="71" t="s">
        <v>4305</v>
      </c>
      <c r="AE1" s="72" t="s">
        <v>4296</v>
      </c>
      <c r="AF1" s="72" t="s">
        <v>4297</v>
      </c>
      <c r="AG1" s="72" t="s">
        <v>4298</v>
      </c>
      <c r="AH1" s="72" t="s">
        <v>4296</v>
      </c>
      <c r="AI1" s="72" t="s">
        <v>4297</v>
      </c>
      <c r="AJ1" s="72" t="s">
        <v>4298</v>
      </c>
      <c r="AK1" s="70" t="s">
        <v>4299</v>
      </c>
      <c r="AL1" s="70" t="s">
        <v>4300</v>
      </c>
      <c r="AM1" s="70" t="s">
        <v>4301</v>
      </c>
      <c r="AN1" s="70" t="s">
        <v>4299</v>
      </c>
      <c r="AO1" s="70" t="s">
        <v>4300</v>
      </c>
      <c r="AP1" s="70" t="s">
        <v>4301</v>
      </c>
      <c r="AQ1" s="73" t="s">
        <v>4302</v>
      </c>
      <c r="AR1" s="67" t="s">
        <v>3945</v>
      </c>
    </row>
    <row r="2" spans="1:44">
      <c r="A2">
        <v>11103260</v>
      </c>
      <c r="B2" t="s">
        <v>97</v>
      </c>
      <c r="C2" t="s">
        <v>959</v>
      </c>
      <c r="D2" t="s">
        <v>1478</v>
      </c>
      <c r="E2" t="s">
        <v>1479</v>
      </c>
      <c r="F2" t="s">
        <v>1476</v>
      </c>
      <c r="G2" t="s">
        <v>1477</v>
      </c>
      <c r="H2" t="s">
        <v>2076</v>
      </c>
      <c r="I2" t="s">
        <v>4306</v>
      </c>
      <c r="J2" t="s">
        <v>2438</v>
      </c>
      <c r="K2" t="s">
        <v>2438</v>
      </c>
      <c r="M2">
        <v>55</v>
      </c>
      <c r="N2">
        <v>65</v>
      </c>
      <c r="O2" t="s">
        <v>2437</v>
      </c>
      <c r="P2" t="s">
        <v>2437</v>
      </c>
      <c r="R2" t="s">
        <v>2437</v>
      </c>
      <c r="T2" t="s">
        <v>2437</v>
      </c>
      <c r="U2" t="s">
        <v>2439</v>
      </c>
      <c r="V2" t="s">
        <v>2437</v>
      </c>
      <c r="Y2" t="s">
        <v>6948</v>
      </c>
      <c r="Z2" t="s">
        <v>6949</v>
      </c>
      <c r="AA2" t="s">
        <v>6950</v>
      </c>
      <c r="AB2" t="s">
        <v>6951</v>
      </c>
      <c r="AC2" t="s">
        <v>6952</v>
      </c>
      <c r="AD2" t="s">
        <v>6953</v>
      </c>
      <c r="AE2" t="s">
        <v>6975</v>
      </c>
      <c r="AF2" t="s">
        <v>6974</v>
      </c>
      <c r="AR2" t="s">
        <v>4284</v>
      </c>
    </row>
    <row r="3" spans="1:44">
      <c r="A3">
        <v>11103259</v>
      </c>
      <c r="B3" t="s">
        <v>98</v>
      </c>
      <c r="C3" t="s">
        <v>960</v>
      </c>
      <c r="D3" t="s">
        <v>1478</v>
      </c>
      <c r="E3" t="s">
        <v>1479</v>
      </c>
      <c r="F3" t="s">
        <v>1476</v>
      </c>
      <c r="G3" t="s">
        <v>1477</v>
      </c>
      <c r="H3" t="s">
        <v>2077</v>
      </c>
      <c r="I3" t="s">
        <v>4307</v>
      </c>
      <c r="J3" t="s">
        <v>2440</v>
      </c>
      <c r="K3" t="s">
        <v>2440</v>
      </c>
      <c r="M3">
        <v>55</v>
      </c>
      <c r="N3">
        <v>65</v>
      </c>
      <c r="O3" t="s">
        <v>2437</v>
      </c>
      <c r="P3" t="s">
        <v>2437</v>
      </c>
      <c r="R3" t="s">
        <v>2437</v>
      </c>
      <c r="T3" t="s">
        <v>2437</v>
      </c>
      <c r="U3" t="s">
        <v>2437</v>
      </c>
      <c r="V3" t="s">
        <v>2437</v>
      </c>
      <c r="Y3" t="s">
        <v>6948</v>
      </c>
      <c r="Z3" t="s">
        <v>6949</v>
      </c>
      <c r="AA3" t="s">
        <v>6950</v>
      </c>
      <c r="AB3" t="s">
        <v>6951</v>
      </c>
      <c r="AC3" t="s">
        <v>6952</v>
      </c>
      <c r="AD3" t="s">
        <v>6953</v>
      </c>
      <c r="AE3" t="s">
        <v>6975</v>
      </c>
      <c r="AF3" t="s">
        <v>6974</v>
      </c>
      <c r="AR3" t="s">
        <v>4284</v>
      </c>
    </row>
    <row r="4" spans="1:44">
      <c r="A4">
        <v>11103261</v>
      </c>
      <c r="B4" t="s">
        <v>99</v>
      </c>
      <c r="C4" t="s">
        <v>961</v>
      </c>
      <c r="D4" t="s">
        <v>1478</v>
      </c>
      <c r="E4" t="s">
        <v>1479</v>
      </c>
      <c r="F4" t="s">
        <v>1476</v>
      </c>
      <c r="G4" t="s">
        <v>1477</v>
      </c>
      <c r="H4" t="s">
        <v>2078</v>
      </c>
      <c r="I4" t="s">
        <v>4308</v>
      </c>
      <c r="J4" t="s">
        <v>2441</v>
      </c>
      <c r="K4" t="s">
        <v>2441</v>
      </c>
      <c r="M4">
        <v>55</v>
      </c>
      <c r="N4">
        <v>65</v>
      </c>
      <c r="O4" t="s">
        <v>2437</v>
      </c>
      <c r="P4" t="s">
        <v>2437</v>
      </c>
      <c r="R4" t="s">
        <v>2437</v>
      </c>
      <c r="T4" t="s">
        <v>2437</v>
      </c>
      <c r="U4" t="s">
        <v>2437</v>
      </c>
      <c r="V4" t="s">
        <v>2437</v>
      </c>
      <c r="Y4" t="s">
        <v>6948</v>
      </c>
      <c r="Z4" t="s">
        <v>6949</v>
      </c>
      <c r="AA4" t="s">
        <v>6950</v>
      </c>
      <c r="AB4" t="s">
        <v>6951</v>
      </c>
      <c r="AC4" t="s">
        <v>6952</v>
      </c>
      <c r="AD4" t="s">
        <v>6953</v>
      </c>
      <c r="AE4" t="s">
        <v>6975</v>
      </c>
      <c r="AF4" t="s">
        <v>6974</v>
      </c>
      <c r="AR4" t="s">
        <v>4284</v>
      </c>
    </row>
    <row r="5" spans="1:44">
      <c r="A5">
        <v>11103265</v>
      </c>
      <c r="B5" t="s">
        <v>100</v>
      </c>
      <c r="C5" t="s">
        <v>963</v>
      </c>
      <c r="D5" t="s">
        <v>1480</v>
      </c>
      <c r="E5" t="s">
        <v>1481</v>
      </c>
      <c r="F5" t="s">
        <v>1476</v>
      </c>
      <c r="G5" t="s">
        <v>1477</v>
      </c>
      <c r="H5" t="s">
        <v>2079</v>
      </c>
      <c r="I5" t="s">
        <v>4309</v>
      </c>
      <c r="J5" t="s">
        <v>2442</v>
      </c>
      <c r="K5" t="s">
        <v>2442</v>
      </c>
      <c r="M5">
        <v>55</v>
      </c>
      <c r="N5">
        <v>65</v>
      </c>
      <c r="O5" t="s">
        <v>2437</v>
      </c>
      <c r="P5" t="s">
        <v>2437</v>
      </c>
      <c r="R5" t="s">
        <v>2437</v>
      </c>
      <c r="T5" t="s">
        <v>2437</v>
      </c>
      <c r="U5" t="s">
        <v>2437</v>
      </c>
      <c r="V5" t="s">
        <v>2437</v>
      </c>
      <c r="Y5" t="s">
        <v>6948</v>
      </c>
      <c r="Z5" t="s">
        <v>6949</v>
      </c>
      <c r="AA5" t="s">
        <v>6950</v>
      </c>
      <c r="AB5" t="s">
        <v>6951</v>
      </c>
      <c r="AC5" t="s">
        <v>6952</v>
      </c>
      <c r="AD5" t="s">
        <v>6953</v>
      </c>
      <c r="AE5" t="s">
        <v>6975</v>
      </c>
      <c r="AF5" t="s">
        <v>6974</v>
      </c>
      <c r="AR5" t="s">
        <v>4284</v>
      </c>
    </row>
    <row r="6" spans="1:44">
      <c r="A6">
        <v>11103266</v>
      </c>
      <c r="B6" t="s">
        <v>101</v>
      </c>
      <c r="C6" t="s">
        <v>964</v>
      </c>
      <c r="D6" t="s">
        <v>1480</v>
      </c>
      <c r="E6" t="s">
        <v>1481</v>
      </c>
      <c r="F6" t="s">
        <v>1476</v>
      </c>
      <c r="G6" t="s">
        <v>1477</v>
      </c>
      <c r="H6" t="s">
        <v>2080</v>
      </c>
      <c r="I6" t="s">
        <v>4310</v>
      </c>
      <c r="J6" t="s">
        <v>2443</v>
      </c>
      <c r="K6" t="s">
        <v>2443</v>
      </c>
      <c r="M6">
        <v>55</v>
      </c>
      <c r="N6">
        <v>65</v>
      </c>
      <c r="O6" t="s">
        <v>2437</v>
      </c>
      <c r="P6" t="s">
        <v>2437</v>
      </c>
      <c r="R6" t="s">
        <v>2437</v>
      </c>
      <c r="T6" t="s">
        <v>2437</v>
      </c>
      <c r="U6" t="s">
        <v>2437</v>
      </c>
      <c r="V6" t="s">
        <v>2437</v>
      </c>
      <c r="Y6" t="s">
        <v>6948</v>
      </c>
      <c r="Z6" t="s">
        <v>6949</v>
      </c>
      <c r="AA6" t="s">
        <v>6950</v>
      </c>
      <c r="AB6" t="s">
        <v>6951</v>
      </c>
      <c r="AC6" t="s">
        <v>6952</v>
      </c>
      <c r="AD6" t="s">
        <v>6953</v>
      </c>
      <c r="AE6" t="s">
        <v>6975</v>
      </c>
      <c r="AF6" t="s">
        <v>6974</v>
      </c>
      <c r="AR6" t="s">
        <v>4284</v>
      </c>
    </row>
    <row r="7" spans="1:44">
      <c r="A7">
        <v>11000955</v>
      </c>
      <c r="B7" t="s">
        <v>102</v>
      </c>
      <c r="C7" t="s">
        <v>965</v>
      </c>
      <c r="D7" t="s">
        <v>1484</v>
      </c>
      <c r="E7" t="s">
        <v>1485</v>
      </c>
      <c r="F7" t="s">
        <v>1486</v>
      </c>
      <c r="G7" t="s">
        <v>1487</v>
      </c>
      <c r="H7" t="s">
        <v>2082</v>
      </c>
      <c r="I7" t="s">
        <v>4311</v>
      </c>
      <c r="J7" t="s">
        <v>2445</v>
      </c>
      <c r="K7" t="s">
        <v>2446</v>
      </c>
      <c r="M7">
        <v>50</v>
      </c>
      <c r="N7">
        <v>70</v>
      </c>
      <c r="O7" t="s">
        <v>2437</v>
      </c>
      <c r="P7" t="s">
        <v>2437</v>
      </c>
      <c r="R7" t="s">
        <v>2437</v>
      </c>
      <c r="T7" t="s">
        <v>2447</v>
      </c>
      <c r="U7" t="s">
        <v>2448</v>
      </c>
      <c r="V7" t="s">
        <v>2437</v>
      </c>
      <c r="Y7" t="s">
        <v>6948</v>
      </c>
      <c r="Z7" t="s">
        <v>6949</v>
      </c>
      <c r="AA7" t="s">
        <v>6950</v>
      </c>
      <c r="AB7" t="s">
        <v>6951</v>
      </c>
      <c r="AC7" t="s">
        <v>6952</v>
      </c>
      <c r="AD7" t="s">
        <v>6953</v>
      </c>
      <c r="AE7" t="s">
        <v>6954</v>
      </c>
      <c r="AF7" t="s">
        <v>6955</v>
      </c>
      <c r="AG7" t="s">
        <v>6956</v>
      </c>
      <c r="AH7" t="s">
        <v>6957</v>
      </c>
      <c r="AI7" t="s">
        <v>6958</v>
      </c>
      <c r="AJ7" t="s">
        <v>6959</v>
      </c>
      <c r="AR7" t="s">
        <v>4284</v>
      </c>
    </row>
    <row r="8" spans="1:44">
      <c r="A8">
        <v>11000913</v>
      </c>
      <c r="B8" t="s">
        <v>103</v>
      </c>
      <c r="C8" t="s">
        <v>966</v>
      </c>
      <c r="D8" t="s">
        <v>1488</v>
      </c>
      <c r="E8" t="s">
        <v>1489</v>
      </c>
      <c r="F8" t="s">
        <v>1476</v>
      </c>
      <c r="G8" t="s">
        <v>1477</v>
      </c>
      <c r="H8" t="s">
        <v>2083</v>
      </c>
      <c r="I8" t="s">
        <v>4312</v>
      </c>
      <c r="J8" t="s">
        <v>2449</v>
      </c>
      <c r="K8" t="s">
        <v>2450</v>
      </c>
      <c r="M8">
        <v>60</v>
      </c>
      <c r="N8">
        <v>70</v>
      </c>
      <c r="O8">
        <v>68</v>
      </c>
      <c r="P8">
        <v>105</v>
      </c>
      <c r="R8" t="s">
        <v>2437</v>
      </c>
      <c r="T8" t="s">
        <v>2451</v>
      </c>
      <c r="U8" t="s">
        <v>2452</v>
      </c>
      <c r="V8" t="s">
        <v>2437</v>
      </c>
      <c r="Y8" t="s">
        <v>6948</v>
      </c>
      <c r="Z8" t="s">
        <v>6949</v>
      </c>
      <c r="AA8" t="s">
        <v>6950</v>
      </c>
      <c r="AB8" t="s">
        <v>6951</v>
      </c>
      <c r="AC8" t="s">
        <v>6952</v>
      </c>
      <c r="AD8" t="s">
        <v>6953</v>
      </c>
      <c r="AE8" t="s">
        <v>6961</v>
      </c>
      <c r="AF8" t="s">
        <v>6962</v>
      </c>
      <c r="AG8" t="s">
        <v>6963</v>
      </c>
      <c r="AH8" t="s">
        <v>6964</v>
      </c>
      <c r="AI8" t="s">
        <v>6965</v>
      </c>
      <c r="AJ8" t="s">
        <v>6966</v>
      </c>
      <c r="AK8" t="s">
        <v>6969</v>
      </c>
      <c r="AL8" t="s">
        <v>6970</v>
      </c>
      <c r="AM8" t="s">
        <v>6971</v>
      </c>
      <c r="AN8" t="s">
        <v>6972</v>
      </c>
      <c r="AR8" t="s">
        <v>4284</v>
      </c>
    </row>
    <row r="9" spans="1:44">
      <c r="A9">
        <v>11000912</v>
      </c>
      <c r="B9" t="s">
        <v>104</v>
      </c>
      <c r="C9" t="s">
        <v>968</v>
      </c>
      <c r="D9" t="s">
        <v>1488</v>
      </c>
      <c r="E9" t="s">
        <v>1489</v>
      </c>
      <c r="F9" t="s">
        <v>1476</v>
      </c>
      <c r="G9" t="s">
        <v>1477</v>
      </c>
      <c r="H9" t="s">
        <v>2085</v>
      </c>
      <c r="I9" t="s">
        <v>4313</v>
      </c>
      <c r="J9" t="s">
        <v>2457</v>
      </c>
      <c r="K9" t="s">
        <v>2458</v>
      </c>
      <c r="M9">
        <v>60</v>
      </c>
      <c r="N9">
        <v>70</v>
      </c>
      <c r="O9">
        <v>68</v>
      </c>
      <c r="P9">
        <v>105</v>
      </c>
      <c r="R9" t="s">
        <v>2437</v>
      </c>
      <c r="T9" t="s">
        <v>2459</v>
      </c>
      <c r="U9" t="s">
        <v>2460</v>
      </c>
      <c r="V9" t="s">
        <v>2437</v>
      </c>
      <c r="Y9" t="s">
        <v>6948</v>
      </c>
      <c r="Z9" t="s">
        <v>6949</v>
      </c>
      <c r="AA9" t="s">
        <v>6950</v>
      </c>
      <c r="AB9" t="s">
        <v>6951</v>
      </c>
      <c r="AC9" t="s">
        <v>6952</v>
      </c>
      <c r="AD9" t="s">
        <v>6953</v>
      </c>
      <c r="AE9" t="s">
        <v>6961</v>
      </c>
      <c r="AF9" t="s">
        <v>6962</v>
      </c>
      <c r="AG9" t="s">
        <v>6963</v>
      </c>
      <c r="AH9" t="s">
        <v>6964</v>
      </c>
      <c r="AI9" t="s">
        <v>6965</v>
      </c>
      <c r="AJ9" t="s">
        <v>6966</v>
      </c>
      <c r="AK9" t="s">
        <v>6969</v>
      </c>
      <c r="AL9" t="s">
        <v>6970</v>
      </c>
      <c r="AM9" t="s">
        <v>6971</v>
      </c>
      <c r="AN9" t="s">
        <v>6972</v>
      </c>
      <c r="AR9" t="s">
        <v>4284</v>
      </c>
    </row>
    <row r="10" spans="1:44">
      <c r="A10">
        <v>11000918</v>
      </c>
      <c r="B10" t="s">
        <v>105</v>
      </c>
      <c r="C10" t="s">
        <v>967</v>
      </c>
      <c r="D10" t="s">
        <v>1490</v>
      </c>
      <c r="E10" t="s">
        <v>1491</v>
      </c>
      <c r="F10" t="s">
        <v>1476</v>
      </c>
      <c r="G10" t="s">
        <v>1477</v>
      </c>
      <c r="H10" t="s">
        <v>2084</v>
      </c>
      <c r="I10" t="s">
        <v>2437</v>
      </c>
      <c r="J10" t="s">
        <v>2453</v>
      </c>
      <c r="K10" t="s">
        <v>2454</v>
      </c>
      <c r="M10">
        <v>60</v>
      </c>
      <c r="N10">
        <v>70</v>
      </c>
      <c r="O10">
        <v>68</v>
      </c>
      <c r="P10">
        <v>105</v>
      </c>
      <c r="R10" t="s">
        <v>2437</v>
      </c>
      <c r="T10" t="s">
        <v>2455</v>
      </c>
      <c r="U10" t="s">
        <v>2456</v>
      </c>
      <c r="V10" t="s">
        <v>2437</v>
      </c>
      <c r="Y10" t="s">
        <v>6948</v>
      </c>
      <c r="Z10" t="s">
        <v>6949</v>
      </c>
      <c r="AA10" t="s">
        <v>6950</v>
      </c>
      <c r="AB10" t="s">
        <v>6951</v>
      </c>
      <c r="AC10" t="s">
        <v>6952</v>
      </c>
      <c r="AD10" t="s">
        <v>6953</v>
      </c>
      <c r="AE10" t="s">
        <v>6961</v>
      </c>
      <c r="AF10" t="s">
        <v>6962</v>
      </c>
      <c r="AG10" t="s">
        <v>6963</v>
      </c>
      <c r="AH10" t="s">
        <v>6964</v>
      </c>
      <c r="AI10" t="s">
        <v>6965</v>
      </c>
      <c r="AJ10" t="s">
        <v>6966</v>
      </c>
      <c r="AK10" t="s">
        <v>6969</v>
      </c>
      <c r="AL10" t="s">
        <v>6970</v>
      </c>
      <c r="AM10" t="s">
        <v>6971</v>
      </c>
      <c r="AN10" t="s">
        <v>6972</v>
      </c>
      <c r="AR10" t="s">
        <v>4284</v>
      </c>
    </row>
    <row r="11" spans="1:44">
      <c r="A11">
        <v>11000919</v>
      </c>
      <c r="B11" t="s">
        <v>106</v>
      </c>
      <c r="C11" t="s">
        <v>969</v>
      </c>
      <c r="D11" t="s">
        <v>1490</v>
      </c>
      <c r="E11" t="s">
        <v>1491</v>
      </c>
      <c r="F11" t="s">
        <v>1476</v>
      </c>
      <c r="G11" t="s">
        <v>1477</v>
      </c>
      <c r="H11" t="s">
        <v>2086</v>
      </c>
      <c r="I11" t="s">
        <v>2437</v>
      </c>
      <c r="J11" t="s">
        <v>2461</v>
      </c>
      <c r="K11" t="s">
        <v>2462</v>
      </c>
      <c r="M11">
        <v>60</v>
      </c>
      <c r="N11">
        <v>70</v>
      </c>
      <c r="O11">
        <v>68</v>
      </c>
      <c r="P11">
        <v>105</v>
      </c>
      <c r="R11" t="s">
        <v>2437</v>
      </c>
      <c r="T11" t="s">
        <v>2463</v>
      </c>
      <c r="U11" t="s">
        <v>2464</v>
      </c>
      <c r="V11" t="s">
        <v>2437</v>
      </c>
      <c r="Y11" t="s">
        <v>6948</v>
      </c>
      <c r="Z11" t="s">
        <v>6949</v>
      </c>
      <c r="AA11" t="s">
        <v>6950</v>
      </c>
      <c r="AB11" t="s">
        <v>6951</v>
      </c>
      <c r="AC11" t="s">
        <v>6952</v>
      </c>
      <c r="AD11" t="s">
        <v>6953</v>
      </c>
      <c r="AE11" t="s">
        <v>6961</v>
      </c>
      <c r="AF11" t="s">
        <v>6962</v>
      </c>
      <c r="AG11" t="s">
        <v>6963</v>
      </c>
      <c r="AH11" t="s">
        <v>6964</v>
      </c>
      <c r="AI11" t="s">
        <v>6965</v>
      </c>
      <c r="AJ11" t="s">
        <v>6966</v>
      </c>
      <c r="AK11" t="s">
        <v>6969</v>
      </c>
      <c r="AL11" t="s">
        <v>6970</v>
      </c>
      <c r="AM11" t="s">
        <v>6971</v>
      </c>
      <c r="AN11" t="s">
        <v>6972</v>
      </c>
      <c r="AR11" t="s">
        <v>4284</v>
      </c>
    </row>
    <row r="12" spans="1:44">
      <c r="A12">
        <v>11000917</v>
      </c>
      <c r="B12" t="s">
        <v>107</v>
      </c>
      <c r="C12" t="s">
        <v>970</v>
      </c>
      <c r="D12" t="s">
        <v>1488</v>
      </c>
      <c r="E12" t="s">
        <v>1489</v>
      </c>
      <c r="F12" t="s">
        <v>1476</v>
      </c>
      <c r="G12" t="s">
        <v>1477</v>
      </c>
      <c r="H12" t="s">
        <v>2087</v>
      </c>
      <c r="I12" t="s">
        <v>4314</v>
      </c>
      <c r="J12" t="s">
        <v>2465</v>
      </c>
      <c r="K12" t="s">
        <v>2466</v>
      </c>
      <c r="M12">
        <v>60</v>
      </c>
      <c r="N12">
        <v>70</v>
      </c>
      <c r="O12">
        <v>68</v>
      </c>
      <c r="P12">
        <v>105</v>
      </c>
      <c r="R12" t="s">
        <v>2437</v>
      </c>
      <c r="T12" t="s">
        <v>2467</v>
      </c>
      <c r="U12" t="s">
        <v>2468</v>
      </c>
      <c r="V12" t="s">
        <v>2437</v>
      </c>
      <c r="Y12" t="s">
        <v>6948</v>
      </c>
      <c r="Z12" t="s">
        <v>6949</v>
      </c>
      <c r="AA12" t="s">
        <v>6950</v>
      </c>
      <c r="AB12" t="s">
        <v>6951</v>
      </c>
      <c r="AC12" t="s">
        <v>6952</v>
      </c>
      <c r="AD12" t="s">
        <v>6953</v>
      </c>
      <c r="AE12" t="s">
        <v>6961</v>
      </c>
      <c r="AF12" t="s">
        <v>6962</v>
      </c>
      <c r="AG12" t="s">
        <v>6963</v>
      </c>
      <c r="AH12" t="s">
        <v>6964</v>
      </c>
      <c r="AI12" t="s">
        <v>6965</v>
      </c>
      <c r="AJ12" t="s">
        <v>6966</v>
      </c>
      <c r="AK12" t="s">
        <v>6969</v>
      </c>
      <c r="AL12" t="s">
        <v>6970</v>
      </c>
      <c r="AM12" t="s">
        <v>6971</v>
      </c>
      <c r="AN12" t="s">
        <v>6972</v>
      </c>
      <c r="AR12" t="s">
        <v>4284</v>
      </c>
    </row>
    <row r="13" spans="1:44">
      <c r="A13">
        <v>11000920</v>
      </c>
      <c r="B13" t="s">
        <v>108</v>
      </c>
      <c r="C13" t="s">
        <v>971</v>
      </c>
      <c r="D13" t="s">
        <v>1490</v>
      </c>
      <c r="E13" t="s">
        <v>1491</v>
      </c>
      <c r="F13" t="s">
        <v>1476</v>
      </c>
      <c r="G13" t="s">
        <v>1477</v>
      </c>
      <c r="H13" t="s">
        <v>2088</v>
      </c>
      <c r="I13" t="s">
        <v>2437</v>
      </c>
      <c r="J13" t="s">
        <v>2469</v>
      </c>
      <c r="K13" t="s">
        <v>2470</v>
      </c>
      <c r="M13">
        <v>60</v>
      </c>
      <c r="N13">
        <v>70</v>
      </c>
      <c r="O13">
        <v>68</v>
      </c>
      <c r="P13">
        <v>105</v>
      </c>
      <c r="R13" t="s">
        <v>2437</v>
      </c>
      <c r="T13" t="s">
        <v>2471</v>
      </c>
      <c r="U13" t="s">
        <v>2472</v>
      </c>
      <c r="V13" t="s">
        <v>2437</v>
      </c>
      <c r="Y13" t="s">
        <v>6948</v>
      </c>
      <c r="Z13" t="s">
        <v>6949</v>
      </c>
      <c r="AA13" t="s">
        <v>6950</v>
      </c>
      <c r="AB13" t="s">
        <v>6951</v>
      </c>
      <c r="AC13" t="s">
        <v>6952</v>
      </c>
      <c r="AD13" t="s">
        <v>6953</v>
      </c>
      <c r="AE13" t="s">
        <v>6961</v>
      </c>
      <c r="AF13" t="s">
        <v>6962</v>
      </c>
      <c r="AG13" t="s">
        <v>6963</v>
      </c>
      <c r="AH13" t="s">
        <v>6964</v>
      </c>
      <c r="AI13" t="s">
        <v>6965</v>
      </c>
      <c r="AJ13" t="s">
        <v>6966</v>
      </c>
      <c r="AK13" t="s">
        <v>6969</v>
      </c>
      <c r="AL13" t="s">
        <v>6970</v>
      </c>
      <c r="AM13" t="s">
        <v>6971</v>
      </c>
      <c r="AN13" t="s">
        <v>6972</v>
      </c>
      <c r="AR13" t="s">
        <v>4284</v>
      </c>
    </row>
    <row r="14" spans="1:44">
      <c r="A14">
        <v>11000916</v>
      </c>
      <c r="B14" t="s">
        <v>109</v>
      </c>
      <c r="C14" t="s">
        <v>972</v>
      </c>
      <c r="D14" t="s">
        <v>1488</v>
      </c>
      <c r="E14" t="s">
        <v>1489</v>
      </c>
      <c r="F14" t="s">
        <v>1476</v>
      </c>
      <c r="G14" t="s">
        <v>1477</v>
      </c>
      <c r="H14" t="s">
        <v>2089</v>
      </c>
      <c r="I14" t="s">
        <v>4315</v>
      </c>
      <c r="J14" t="s">
        <v>2473</v>
      </c>
      <c r="K14" t="s">
        <v>2474</v>
      </c>
      <c r="M14">
        <v>60</v>
      </c>
      <c r="N14">
        <v>70</v>
      </c>
      <c r="O14">
        <v>68</v>
      </c>
      <c r="P14">
        <v>105</v>
      </c>
      <c r="R14" t="s">
        <v>2437</v>
      </c>
      <c r="T14" t="s">
        <v>2475</v>
      </c>
      <c r="U14" t="s">
        <v>2476</v>
      </c>
      <c r="V14" t="s">
        <v>2437</v>
      </c>
      <c r="Y14" t="s">
        <v>6948</v>
      </c>
      <c r="Z14" t="s">
        <v>6949</v>
      </c>
      <c r="AA14" t="s">
        <v>6950</v>
      </c>
      <c r="AB14" t="s">
        <v>6951</v>
      </c>
      <c r="AC14" t="s">
        <v>6952</v>
      </c>
      <c r="AD14" t="s">
        <v>6953</v>
      </c>
      <c r="AE14" t="s">
        <v>6961</v>
      </c>
      <c r="AF14" t="s">
        <v>6962</v>
      </c>
      <c r="AG14" t="s">
        <v>6963</v>
      </c>
      <c r="AH14" t="s">
        <v>6964</v>
      </c>
      <c r="AI14" t="s">
        <v>6965</v>
      </c>
      <c r="AJ14" t="s">
        <v>6966</v>
      </c>
      <c r="AK14" t="s">
        <v>6969</v>
      </c>
      <c r="AL14" t="s">
        <v>6970</v>
      </c>
      <c r="AM14" t="s">
        <v>6971</v>
      </c>
      <c r="AN14" t="s">
        <v>6972</v>
      </c>
      <c r="AR14" t="s">
        <v>4284</v>
      </c>
    </row>
    <row r="15" spans="1:44">
      <c r="A15">
        <v>11000915</v>
      </c>
      <c r="B15" t="s">
        <v>110</v>
      </c>
      <c r="C15" t="s">
        <v>973</v>
      </c>
      <c r="D15" t="s">
        <v>1488</v>
      </c>
      <c r="E15" t="s">
        <v>1489</v>
      </c>
      <c r="F15" t="s">
        <v>1476</v>
      </c>
      <c r="G15" t="s">
        <v>1477</v>
      </c>
      <c r="H15" t="s">
        <v>2090</v>
      </c>
      <c r="I15" t="s">
        <v>4316</v>
      </c>
      <c r="J15" t="s">
        <v>2477</v>
      </c>
      <c r="K15" t="s">
        <v>2478</v>
      </c>
      <c r="M15">
        <v>60</v>
      </c>
      <c r="N15">
        <v>70</v>
      </c>
      <c r="O15">
        <v>68</v>
      </c>
      <c r="P15">
        <v>105</v>
      </c>
      <c r="R15" t="s">
        <v>2437</v>
      </c>
      <c r="T15" t="s">
        <v>2479</v>
      </c>
      <c r="U15" t="s">
        <v>2480</v>
      </c>
      <c r="V15" t="s">
        <v>2437</v>
      </c>
      <c r="Y15" t="s">
        <v>6948</v>
      </c>
      <c r="Z15" t="s">
        <v>6949</v>
      </c>
      <c r="AA15" t="s">
        <v>6950</v>
      </c>
      <c r="AB15" t="s">
        <v>6951</v>
      </c>
      <c r="AC15" t="s">
        <v>6952</v>
      </c>
      <c r="AD15" t="s">
        <v>6953</v>
      </c>
      <c r="AE15" t="s">
        <v>6961</v>
      </c>
      <c r="AF15" t="s">
        <v>6962</v>
      </c>
      <c r="AG15" t="s">
        <v>6963</v>
      </c>
      <c r="AH15" t="s">
        <v>6964</v>
      </c>
      <c r="AI15" t="s">
        <v>6965</v>
      </c>
      <c r="AJ15" t="s">
        <v>6966</v>
      </c>
      <c r="AK15" t="s">
        <v>6969</v>
      </c>
      <c r="AL15" t="s">
        <v>6970</v>
      </c>
      <c r="AM15" t="s">
        <v>6971</v>
      </c>
      <c r="AN15" t="s">
        <v>6972</v>
      </c>
      <c r="AR15" t="s">
        <v>4284</v>
      </c>
    </row>
    <row r="16" spans="1:44">
      <c r="A16">
        <v>11000914</v>
      </c>
      <c r="B16" t="s">
        <v>111</v>
      </c>
      <c r="C16" t="s">
        <v>974</v>
      </c>
      <c r="D16" t="s">
        <v>1488</v>
      </c>
      <c r="E16" t="s">
        <v>1489</v>
      </c>
      <c r="F16" t="s">
        <v>1476</v>
      </c>
      <c r="G16" t="s">
        <v>1477</v>
      </c>
      <c r="H16" t="s">
        <v>2091</v>
      </c>
      <c r="I16" t="s">
        <v>4317</v>
      </c>
      <c r="J16" t="s">
        <v>2481</v>
      </c>
      <c r="K16" t="s">
        <v>2482</v>
      </c>
      <c r="M16">
        <v>60</v>
      </c>
      <c r="N16">
        <v>70</v>
      </c>
      <c r="O16">
        <v>68</v>
      </c>
      <c r="P16">
        <v>105</v>
      </c>
      <c r="R16" t="s">
        <v>2437</v>
      </c>
      <c r="T16" t="s">
        <v>2483</v>
      </c>
      <c r="U16" t="s">
        <v>2484</v>
      </c>
      <c r="V16" t="s">
        <v>2437</v>
      </c>
      <c r="Y16" t="s">
        <v>6948</v>
      </c>
      <c r="Z16" t="s">
        <v>6949</v>
      </c>
      <c r="AA16" t="s">
        <v>6950</v>
      </c>
      <c r="AB16" t="s">
        <v>6951</v>
      </c>
      <c r="AC16" t="s">
        <v>6952</v>
      </c>
      <c r="AD16" t="s">
        <v>6953</v>
      </c>
      <c r="AE16" t="s">
        <v>6961</v>
      </c>
      <c r="AF16" t="s">
        <v>6962</v>
      </c>
      <c r="AG16" t="s">
        <v>6963</v>
      </c>
      <c r="AH16" t="s">
        <v>6964</v>
      </c>
      <c r="AI16" t="s">
        <v>6965</v>
      </c>
      <c r="AJ16" t="s">
        <v>6966</v>
      </c>
      <c r="AK16" t="s">
        <v>6969</v>
      </c>
      <c r="AL16" t="s">
        <v>6970</v>
      </c>
      <c r="AM16" t="s">
        <v>6971</v>
      </c>
      <c r="AN16" t="s">
        <v>6972</v>
      </c>
      <c r="AR16" t="s">
        <v>4284</v>
      </c>
    </row>
    <row r="17" spans="1:44">
      <c r="A17">
        <v>11003330</v>
      </c>
      <c r="B17" t="s">
        <v>112</v>
      </c>
      <c r="C17" t="s">
        <v>975</v>
      </c>
      <c r="D17" t="s">
        <v>1492</v>
      </c>
      <c r="E17" t="s">
        <v>1493</v>
      </c>
      <c r="F17" t="s">
        <v>1486</v>
      </c>
      <c r="G17" t="s">
        <v>1487</v>
      </c>
      <c r="H17" t="s">
        <v>2092</v>
      </c>
      <c r="I17" t="s">
        <v>4318</v>
      </c>
      <c r="J17" t="s">
        <v>2485</v>
      </c>
      <c r="K17" t="s">
        <v>2486</v>
      </c>
      <c r="M17">
        <v>50</v>
      </c>
      <c r="N17">
        <v>70</v>
      </c>
      <c r="O17" t="s">
        <v>2437</v>
      </c>
      <c r="P17" t="s">
        <v>2437</v>
      </c>
      <c r="R17">
        <v>24</v>
      </c>
      <c r="T17" t="s">
        <v>2437</v>
      </c>
      <c r="U17" t="s">
        <v>2437</v>
      </c>
      <c r="V17" t="s">
        <v>2437</v>
      </c>
      <c r="Y17" t="s">
        <v>6948</v>
      </c>
      <c r="Z17" t="s">
        <v>6949</v>
      </c>
      <c r="AA17" t="s">
        <v>6950</v>
      </c>
      <c r="AB17" t="s">
        <v>6951</v>
      </c>
      <c r="AC17" t="s">
        <v>6952</v>
      </c>
      <c r="AD17" t="s">
        <v>6953</v>
      </c>
      <c r="AE17" t="s">
        <v>6954</v>
      </c>
      <c r="AF17" t="s">
        <v>6955</v>
      </c>
      <c r="AG17" t="s">
        <v>6956</v>
      </c>
      <c r="AH17" t="s">
        <v>6957</v>
      </c>
      <c r="AI17" t="s">
        <v>6958</v>
      </c>
      <c r="AJ17" t="s">
        <v>6959</v>
      </c>
      <c r="AK17" t="s">
        <v>6976</v>
      </c>
      <c r="AL17" t="s">
        <v>6977</v>
      </c>
      <c r="AM17" t="s">
        <v>6978</v>
      </c>
      <c r="AN17" t="s">
        <v>6979</v>
      </c>
      <c r="AO17" t="s">
        <v>6980</v>
      </c>
      <c r="AR17" t="s">
        <v>4284</v>
      </c>
    </row>
    <row r="18" spans="1:44">
      <c r="A18">
        <v>11000952</v>
      </c>
      <c r="B18" t="s">
        <v>113</v>
      </c>
      <c r="C18" t="s">
        <v>976</v>
      </c>
      <c r="D18" t="s">
        <v>1484</v>
      </c>
      <c r="E18" t="s">
        <v>1485</v>
      </c>
      <c r="F18" t="s">
        <v>1486</v>
      </c>
      <c r="G18" t="s">
        <v>1487</v>
      </c>
      <c r="H18" t="s">
        <v>2093</v>
      </c>
      <c r="I18" t="s">
        <v>4319</v>
      </c>
      <c r="J18" t="s">
        <v>2487</v>
      </c>
      <c r="K18" t="s">
        <v>2488</v>
      </c>
      <c r="M18">
        <v>50</v>
      </c>
      <c r="N18">
        <v>70</v>
      </c>
      <c r="O18" t="s">
        <v>2437</v>
      </c>
      <c r="P18" t="s">
        <v>2437</v>
      </c>
      <c r="R18" t="s">
        <v>2437</v>
      </c>
      <c r="T18" t="s">
        <v>2489</v>
      </c>
      <c r="U18" t="s">
        <v>2490</v>
      </c>
      <c r="V18" t="s">
        <v>2437</v>
      </c>
      <c r="Y18" t="s">
        <v>6948</v>
      </c>
      <c r="Z18" t="s">
        <v>6949</v>
      </c>
      <c r="AA18" t="s">
        <v>6950</v>
      </c>
      <c r="AB18" t="s">
        <v>6951</v>
      </c>
      <c r="AC18" t="s">
        <v>6952</v>
      </c>
      <c r="AD18" t="s">
        <v>6953</v>
      </c>
      <c r="AE18" t="s">
        <v>6954</v>
      </c>
      <c r="AF18" t="s">
        <v>6955</v>
      </c>
      <c r="AG18" t="s">
        <v>6956</v>
      </c>
      <c r="AH18" t="s">
        <v>6957</v>
      </c>
      <c r="AI18" t="s">
        <v>6958</v>
      </c>
      <c r="AJ18" t="s">
        <v>6959</v>
      </c>
      <c r="AR18" t="s">
        <v>4284</v>
      </c>
    </row>
    <row r="19" spans="1:44">
      <c r="A19">
        <v>11000953</v>
      </c>
      <c r="B19" t="s">
        <v>114</v>
      </c>
      <c r="C19" t="s">
        <v>977</v>
      </c>
      <c r="D19" t="s">
        <v>1484</v>
      </c>
      <c r="E19" t="s">
        <v>1485</v>
      </c>
      <c r="F19" t="s">
        <v>1486</v>
      </c>
      <c r="G19" t="s">
        <v>1487</v>
      </c>
      <c r="H19" t="s">
        <v>2094</v>
      </c>
      <c r="I19" t="s">
        <v>4320</v>
      </c>
      <c r="J19" t="s">
        <v>2491</v>
      </c>
      <c r="K19" t="s">
        <v>2492</v>
      </c>
      <c r="M19">
        <v>50</v>
      </c>
      <c r="N19">
        <v>70</v>
      </c>
      <c r="O19" t="s">
        <v>2437</v>
      </c>
      <c r="P19" t="s">
        <v>2437</v>
      </c>
      <c r="R19" t="s">
        <v>2437</v>
      </c>
      <c r="T19" t="s">
        <v>2493</v>
      </c>
      <c r="U19" t="s">
        <v>2494</v>
      </c>
      <c r="V19" t="s">
        <v>2437</v>
      </c>
      <c r="Y19" t="s">
        <v>6948</v>
      </c>
      <c r="Z19" t="s">
        <v>6949</v>
      </c>
      <c r="AA19" t="s">
        <v>6950</v>
      </c>
      <c r="AB19" t="s">
        <v>6951</v>
      </c>
      <c r="AC19" t="s">
        <v>6952</v>
      </c>
      <c r="AD19" t="s">
        <v>6953</v>
      </c>
      <c r="AE19" t="s">
        <v>6954</v>
      </c>
      <c r="AF19" t="s">
        <v>6955</v>
      </c>
      <c r="AG19" t="s">
        <v>6956</v>
      </c>
      <c r="AH19" t="s">
        <v>6957</v>
      </c>
      <c r="AI19" t="s">
        <v>6958</v>
      </c>
      <c r="AJ19" t="s">
        <v>6959</v>
      </c>
      <c r="AR19" t="s">
        <v>4284</v>
      </c>
    </row>
    <row r="20" spans="1:44">
      <c r="A20">
        <v>11000954</v>
      </c>
      <c r="B20" t="s">
        <v>115</v>
      </c>
      <c r="C20" t="s">
        <v>978</v>
      </c>
      <c r="D20" t="s">
        <v>1484</v>
      </c>
      <c r="E20" t="s">
        <v>1485</v>
      </c>
      <c r="F20" t="s">
        <v>1486</v>
      </c>
      <c r="G20" t="s">
        <v>1487</v>
      </c>
      <c r="H20" t="s">
        <v>2095</v>
      </c>
      <c r="I20" t="s">
        <v>4321</v>
      </c>
      <c r="J20" t="s">
        <v>2495</v>
      </c>
      <c r="K20" t="s">
        <v>2496</v>
      </c>
      <c r="M20">
        <v>50</v>
      </c>
      <c r="N20">
        <v>70</v>
      </c>
      <c r="O20" t="s">
        <v>2437</v>
      </c>
      <c r="P20" t="s">
        <v>2437</v>
      </c>
      <c r="R20" t="s">
        <v>2437</v>
      </c>
      <c r="T20" t="s">
        <v>2497</v>
      </c>
      <c r="U20" t="s">
        <v>2498</v>
      </c>
      <c r="V20" t="s">
        <v>2437</v>
      </c>
      <c r="Y20" t="s">
        <v>6948</v>
      </c>
      <c r="Z20" t="s">
        <v>6949</v>
      </c>
      <c r="AA20" t="s">
        <v>6950</v>
      </c>
      <c r="AB20" t="s">
        <v>6951</v>
      </c>
      <c r="AC20" t="s">
        <v>6952</v>
      </c>
      <c r="AD20" t="s">
        <v>6953</v>
      </c>
      <c r="AE20" t="s">
        <v>6954</v>
      </c>
      <c r="AF20" t="s">
        <v>6955</v>
      </c>
      <c r="AG20" t="s">
        <v>6956</v>
      </c>
      <c r="AH20" t="s">
        <v>6957</v>
      </c>
      <c r="AI20" t="s">
        <v>6958</v>
      </c>
      <c r="AJ20" t="s">
        <v>6959</v>
      </c>
      <c r="AR20" t="s">
        <v>4284</v>
      </c>
    </row>
    <row r="21" spans="1:44">
      <c r="A21">
        <v>11000947</v>
      </c>
      <c r="B21" t="s">
        <v>116</v>
      </c>
      <c r="C21" t="s">
        <v>981</v>
      </c>
      <c r="D21" t="s">
        <v>1494</v>
      </c>
      <c r="E21" t="s">
        <v>1495</v>
      </c>
      <c r="F21" t="s">
        <v>1496</v>
      </c>
      <c r="G21" t="s">
        <v>1497</v>
      </c>
      <c r="H21" t="s">
        <v>2096</v>
      </c>
      <c r="I21" t="s">
        <v>4322</v>
      </c>
      <c r="J21" t="s">
        <v>2499</v>
      </c>
      <c r="K21" t="s">
        <v>2500</v>
      </c>
      <c r="M21">
        <v>50</v>
      </c>
      <c r="N21">
        <v>70</v>
      </c>
      <c r="O21" t="s">
        <v>2437</v>
      </c>
      <c r="P21" t="s">
        <v>2437</v>
      </c>
      <c r="R21">
        <v>24</v>
      </c>
      <c r="T21" t="s">
        <v>2437</v>
      </c>
      <c r="U21" t="s">
        <v>2437</v>
      </c>
      <c r="V21" t="s">
        <v>2437</v>
      </c>
      <c r="Y21" t="s">
        <v>6948</v>
      </c>
      <c r="Z21" t="s">
        <v>6949</v>
      </c>
      <c r="AA21" t="s">
        <v>6950</v>
      </c>
      <c r="AB21" t="s">
        <v>6951</v>
      </c>
      <c r="AC21" t="s">
        <v>6952</v>
      </c>
      <c r="AD21" t="s">
        <v>6953</v>
      </c>
      <c r="AE21" t="s">
        <v>6954</v>
      </c>
      <c r="AF21" t="s">
        <v>6955</v>
      </c>
      <c r="AG21" t="s">
        <v>6956</v>
      </c>
      <c r="AH21" t="s">
        <v>6957</v>
      </c>
      <c r="AI21" t="s">
        <v>6958</v>
      </c>
      <c r="AJ21" t="s">
        <v>6959</v>
      </c>
      <c r="AK21" t="s">
        <v>6976</v>
      </c>
      <c r="AL21" t="s">
        <v>6977</v>
      </c>
      <c r="AM21" t="s">
        <v>6978</v>
      </c>
      <c r="AN21" t="s">
        <v>6979</v>
      </c>
      <c r="AO21" t="s">
        <v>6980</v>
      </c>
      <c r="AR21" t="s">
        <v>4284</v>
      </c>
    </row>
    <row r="22" spans="1:44">
      <c r="A22">
        <v>11103435</v>
      </c>
      <c r="B22" t="s">
        <v>117</v>
      </c>
      <c r="C22" t="s">
        <v>983</v>
      </c>
      <c r="D22" t="s">
        <v>1498</v>
      </c>
      <c r="E22" t="s">
        <v>1499</v>
      </c>
      <c r="F22" t="s">
        <v>1500</v>
      </c>
      <c r="G22" t="s">
        <v>1501</v>
      </c>
      <c r="H22" t="s">
        <v>2098</v>
      </c>
      <c r="I22" t="s">
        <v>4323</v>
      </c>
      <c r="J22" t="s">
        <v>2501</v>
      </c>
      <c r="K22" t="s">
        <v>2502</v>
      </c>
      <c r="M22" t="e">
        <v>#N/A</v>
      </c>
      <c r="N22" t="e">
        <v>#N/A</v>
      </c>
      <c r="O22" t="e">
        <v>#N/A</v>
      </c>
      <c r="P22" t="e">
        <v>#N/A</v>
      </c>
      <c r="R22" t="e">
        <v>#N/A</v>
      </c>
      <c r="T22" t="s">
        <v>2437</v>
      </c>
      <c r="U22" t="s">
        <v>2437</v>
      </c>
      <c r="V22" t="s">
        <v>2437</v>
      </c>
      <c r="AR22" t="s">
        <v>4284</v>
      </c>
    </row>
    <row r="23" spans="1:44">
      <c r="A23">
        <v>11103433</v>
      </c>
      <c r="B23" t="s">
        <v>118</v>
      </c>
      <c r="C23" t="s">
        <v>984</v>
      </c>
      <c r="D23" t="s">
        <v>1502</v>
      </c>
      <c r="E23" t="s">
        <v>1503</v>
      </c>
      <c r="F23" t="s">
        <v>1500</v>
      </c>
      <c r="G23" t="s">
        <v>1501</v>
      </c>
      <c r="H23" t="s">
        <v>2100</v>
      </c>
      <c r="I23" t="s">
        <v>4324</v>
      </c>
      <c r="J23" t="s">
        <v>2503</v>
      </c>
      <c r="K23" t="s">
        <v>2503</v>
      </c>
      <c r="M23" t="e">
        <v>#N/A</v>
      </c>
      <c r="N23" t="e">
        <v>#N/A</v>
      </c>
      <c r="O23" t="e">
        <v>#N/A</v>
      </c>
      <c r="P23" t="e">
        <v>#N/A</v>
      </c>
      <c r="R23" t="e">
        <v>#N/A</v>
      </c>
      <c r="T23" t="s">
        <v>2437</v>
      </c>
      <c r="U23" t="s">
        <v>2437</v>
      </c>
      <c r="V23" t="s">
        <v>2437</v>
      </c>
      <c r="AR23" t="s">
        <v>4284</v>
      </c>
    </row>
    <row r="24" spans="1:44">
      <c r="A24">
        <v>11103434</v>
      </c>
      <c r="B24" t="s">
        <v>119</v>
      </c>
      <c r="C24" t="s">
        <v>985</v>
      </c>
      <c r="D24" t="s">
        <v>1502</v>
      </c>
      <c r="E24" t="s">
        <v>1503</v>
      </c>
      <c r="F24" t="s">
        <v>1500</v>
      </c>
      <c r="G24" t="s">
        <v>1501</v>
      </c>
      <c r="H24" t="s">
        <v>2101</v>
      </c>
      <c r="I24" t="s">
        <v>4325</v>
      </c>
      <c r="J24" t="s">
        <v>2504</v>
      </c>
      <c r="K24" t="s">
        <v>2504</v>
      </c>
      <c r="M24" t="e">
        <v>#N/A</v>
      </c>
      <c r="N24" t="e">
        <v>#N/A</v>
      </c>
      <c r="O24" t="e">
        <v>#N/A</v>
      </c>
      <c r="P24" t="e">
        <v>#N/A</v>
      </c>
      <c r="R24" t="e">
        <v>#N/A</v>
      </c>
      <c r="T24" t="s">
        <v>2437</v>
      </c>
      <c r="U24" t="s">
        <v>2437</v>
      </c>
      <c r="V24" t="s">
        <v>2437</v>
      </c>
      <c r="AR24" t="s">
        <v>4284</v>
      </c>
    </row>
    <row r="25" spans="1:44">
      <c r="A25">
        <v>11103402</v>
      </c>
      <c r="B25" t="s">
        <v>120</v>
      </c>
      <c r="C25" t="s">
        <v>986</v>
      </c>
      <c r="D25" t="s">
        <v>1502</v>
      </c>
      <c r="E25" t="s">
        <v>1503</v>
      </c>
      <c r="F25" t="s">
        <v>1500</v>
      </c>
      <c r="G25" t="s">
        <v>1501</v>
      </c>
      <c r="H25" t="s">
        <v>2102</v>
      </c>
      <c r="I25" t="s">
        <v>4326</v>
      </c>
      <c r="J25" t="s">
        <v>2505</v>
      </c>
      <c r="K25" t="s">
        <v>2505</v>
      </c>
      <c r="M25" t="e">
        <v>#N/A</v>
      </c>
      <c r="N25" t="e">
        <v>#N/A</v>
      </c>
      <c r="O25" t="e">
        <v>#N/A</v>
      </c>
      <c r="P25" t="e">
        <v>#N/A</v>
      </c>
      <c r="R25" t="e">
        <v>#N/A</v>
      </c>
      <c r="T25" t="s">
        <v>2437</v>
      </c>
      <c r="U25" t="s">
        <v>2437</v>
      </c>
      <c r="V25" t="s">
        <v>2437</v>
      </c>
      <c r="AR25" t="s">
        <v>4284</v>
      </c>
    </row>
    <row r="26" spans="1:44">
      <c r="A26">
        <v>11000945</v>
      </c>
      <c r="B26" t="s">
        <v>121</v>
      </c>
      <c r="C26" t="s">
        <v>981</v>
      </c>
      <c r="D26" t="s">
        <v>1494</v>
      </c>
      <c r="E26" t="s">
        <v>1495</v>
      </c>
      <c r="F26" t="s">
        <v>1496</v>
      </c>
      <c r="G26" t="s">
        <v>1497</v>
      </c>
      <c r="H26" t="s">
        <v>2103</v>
      </c>
      <c r="I26" t="s">
        <v>4327</v>
      </c>
      <c r="J26" t="s">
        <v>2499</v>
      </c>
      <c r="K26" t="s">
        <v>2500</v>
      </c>
      <c r="M26">
        <v>50</v>
      </c>
      <c r="N26">
        <v>70</v>
      </c>
      <c r="O26" t="s">
        <v>2437</v>
      </c>
      <c r="P26" t="s">
        <v>2437</v>
      </c>
      <c r="R26">
        <v>24</v>
      </c>
      <c r="T26" t="s">
        <v>2437</v>
      </c>
      <c r="U26" t="s">
        <v>2437</v>
      </c>
      <c r="V26" t="s">
        <v>2437</v>
      </c>
      <c r="Y26" t="s">
        <v>6948</v>
      </c>
      <c r="Z26" t="s">
        <v>6949</v>
      </c>
      <c r="AA26" t="s">
        <v>6950</v>
      </c>
      <c r="AB26" t="s">
        <v>6951</v>
      </c>
      <c r="AC26" t="s">
        <v>6952</v>
      </c>
      <c r="AD26" t="s">
        <v>6953</v>
      </c>
      <c r="AE26" t="s">
        <v>6954</v>
      </c>
      <c r="AF26" t="s">
        <v>6955</v>
      </c>
      <c r="AG26" t="s">
        <v>6956</v>
      </c>
      <c r="AH26" t="s">
        <v>6957</v>
      </c>
      <c r="AI26" t="s">
        <v>6958</v>
      </c>
      <c r="AJ26" t="s">
        <v>6959</v>
      </c>
      <c r="AK26" t="s">
        <v>6976</v>
      </c>
      <c r="AL26" t="s">
        <v>6977</v>
      </c>
      <c r="AM26" t="s">
        <v>6978</v>
      </c>
      <c r="AN26" t="s">
        <v>6979</v>
      </c>
      <c r="AO26" t="s">
        <v>6980</v>
      </c>
      <c r="AR26" t="s">
        <v>4284</v>
      </c>
    </row>
    <row r="27" spans="1:44">
      <c r="A27">
        <v>11015189</v>
      </c>
      <c r="B27" t="s">
        <v>122</v>
      </c>
      <c r="C27" t="s">
        <v>987</v>
      </c>
      <c r="D27" t="s">
        <v>1504</v>
      </c>
      <c r="E27" t="s">
        <v>1505</v>
      </c>
      <c r="F27" t="s">
        <v>1486</v>
      </c>
      <c r="G27" t="s">
        <v>1487</v>
      </c>
      <c r="H27" t="s">
        <v>2104</v>
      </c>
      <c r="I27" t="s">
        <v>4328</v>
      </c>
      <c r="J27" t="s">
        <v>2506</v>
      </c>
      <c r="K27" t="s">
        <v>2507</v>
      </c>
      <c r="M27">
        <v>50</v>
      </c>
      <c r="N27">
        <v>70</v>
      </c>
      <c r="O27" t="s">
        <v>2437</v>
      </c>
      <c r="P27" t="s">
        <v>2437</v>
      </c>
      <c r="R27" t="s">
        <v>2437</v>
      </c>
      <c r="T27" t="s">
        <v>2437</v>
      </c>
      <c r="U27" t="s">
        <v>2437</v>
      </c>
      <c r="V27" t="s">
        <v>2437</v>
      </c>
      <c r="Y27" t="s">
        <v>6948</v>
      </c>
      <c r="Z27" t="s">
        <v>6949</v>
      </c>
      <c r="AA27" t="s">
        <v>6950</v>
      </c>
      <c r="AB27" t="s">
        <v>6951</v>
      </c>
      <c r="AC27" t="s">
        <v>6952</v>
      </c>
      <c r="AD27" t="s">
        <v>6953</v>
      </c>
      <c r="AE27" t="s">
        <v>6954</v>
      </c>
      <c r="AF27" t="s">
        <v>6955</v>
      </c>
      <c r="AG27" t="s">
        <v>6956</v>
      </c>
      <c r="AH27" t="s">
        <v>6957</v>
      </c>
      <c r="AI27" t="s">
        <v>6958</v>
      </c>
      <c r="AJ27" t="s">
        <v>6959</v>
      </c>
      <c r="AR27" t="s">
        <v>4284</v>
      </c>
    </row>
    <row r="28" spans="1:44">
      <c r="A28">
        <v>11000962</v>
      </c>
      <c r="B28" t="s">
        <v>123</v>
      </c>
      <c r="C28" t="s">
        <v>988</v>
      </c>
      <c r="D28" t="s">
        <v>1506</v>
      </c>
      <c r="E28" t="s">
        <v>1507</v>
      </c>
      <c r="F28" t="s">
        <v>1486</v>
      </c>
      <c r="G28" t="s">
        <v>1487</v>
      </c>
      <c r="H28" t="s">
        <v>2105</v>
      </c>
      <c r="I28" t="s">
        <v>4329</v>
      </c>
      <c r="J28" t="s">
        <v>2508</v>
      </c>
      <c r="K28" t="s">
        <v>2509</v>
      </c>
      <c r="M28">
        <v>50</v>
      </c>
      <c r="N28">
        <v>70</v>
      </c>
      <c r="O28" t="s">
        <v>2437</v>
      </c>
      <c r="P28" t="s">
        <v>2437</v>
      </c>
      <c r="R28" t="s">
        <v>2437</v>
      </c>
      <c r="T28" t="s">
        <v>2437</v>
      </c>
      <c r="U28" t="s">
        <v>2437</v>
      </c>
      <c r="V28" t="s">
        <v>2437</v>
      </c>
      <c r="Y28" t="s">
        <v>6948</v>
      </c>
      <c r="Z28" t="s">
        <v>6949</v>
      </c>
      <c r="AA28" t="s">
        <v>6950</v>
      </c>
      <c r="AB28" t="s">
        <v>6951</v>
      </c>
      <c r="AC28" t="s">
        <v>6952</v>
      </c>
      <c r="AD28" t="s">
        <v>6953</v>
      </c>
      <c r="AE28" t="s">
        <v>6954</v>
      </c>
      <c r="AF28" t="s">
        <v>6955</v>
      </c>
      <c r="AG28" t="s">
        <v>6956</v>
      </c>
      <c r="AH28" t="s">
        <v>6957</v>
      </c>
      <c r="AI28" t="s">
        <v>6958</v>
      </c>
      <c r="AJ28" t="s">
        <v>6959</v>
      </c>
      <c r="AR28" t="s">
        <v>4284</v>
      </c>
    </row>
    <row r="29" spans="1:44">
      <c r="A29">
        <v>11103122</v>
      </c>
      <c r="B29" t="s">
        <v>124</v>
      </c>
      <c r="C29" t="s">
        <v>989</v>
      </c>
      <c r="D29" t="s">
        <v>1506</v>
      </c>
      <c r="E29" t="s">
        <v>1507</v>
      </c>
      <c r="F29" t="s">
        <v>1486</v>
      </c>
      <c r="G29" t="s">
        <v>1487</v>
      </c>
      <c r="H29" t="s">
        <v>2106</v>
      </c>
      <c r="I29" t="s">
        <v>4330</v>
      </c>
      <c r="J29" t="s">
        <v>2510</v>
      </c>
      <c r="K29" t="s">
        <v>2511</v>
      </c>
      <c r="M29">
        <v>50</v>
      </c>
      <c r="N29">
        <v>70</v>
      </c>
      <c r="O29" t="s">
        <v>2437</v>
      </c>
      <c r="P29" t="s">
        <v>2437</v>
      </c>
      <c r="R29" t="s">
        <v>2437</v>
      </c>
      <c r="T29" t="s">
        <v>2437</v>
      </c>
      <c r="U29" t="s">
        <v>2437</v>
      </c>
      <c r="V29" t="s">
        <v>2437</v>
      </c>
      <c r="Y29" t="s">
        <v>6948</v>
      </c>
      <c r="Z29" t="s">
        <v>6949</v>
      </c>
      <c r="AA29" t="s">
        <v>6950</v>
      </c>
      <c r="AB29" t="s">
        <v>6951</v>
      </c>
      <c r="AC29" t="s">
        <v>6952</v>
      </c>
      <c r="AD29" t="s">
        <v>6953</v>
      </c>
      <c r="AE29" t="s">
        <v>6954</v>
      </c>
      <c r="AF29" t="s">
        <v>6955</v>
      </c>
      <c r="AG29" t="s">
        <v>6956</v>
      </c>
      <c r="AH29" t="s">
        <v>6957</v>
      </c>
      <c r="AI29" t="s">
        <v>6958</v>
      </c>
      <c r="AJ29" t="s">
        <v>6959</v>
      </c>
      <c r="AR29" t="s">
        <v>4284</v>
      </c>
    </row>
    <row r="30" spans="1:44">
      <c r="A30">
        <v>11015228</v>
      </c>
      <c r="B30" t="s">
        <v>125</v>
      </c>
      <c r="C30" t="s">
        <v>990</v>
      </c>
      <c r="D30" t="s">
        <v>1506</v>
      </c>
      <c r="E30" t="s">
        <v>1507</v>
      </c>
      <c r="F30" t="s">
        <v>1486</v>
      </c>
      <c r="G30" t="s">
        <v>1487</v>
      </c>
      <c r="H30" t="s">
        <v>2097</v>
      </c>
      <c r="I30" t="s">
        <v>4331</v>
      </c>
      <c r="J30" t="s">
        <v>2512</v>
      </c>
      <c r="K30" t="s">
        <v>2513</v>
      </c>
      <c r="M30">
        <v>50</v>
      </c>
      <c r="N30">
        <v>70</v>
      </c>
      <c r="O30" t="s">
        <v>2437</v>
      </c>
      <c r="P30" t="s">
        <v>2437</v>
      </c>
      <c r="R30" t="s">
        <v>2437</v>
      </c>
      <c r="T30" t="s">
        <v>2437</v>
      </c>
      <c r="U30" t="s">
        <v>2437</v>
      </c>
      <c r="V30" t="s">
        <v>2437</v>
      </c>
      <c r="Y30" t="s">
        <v>6948</v>
      </c>
      <c r="Z30" t="s">
        <v>6949</v>
      </c>
      <c r="AA30" t="s">
        <v>6950</v>
      </c>
      <c r="AB30" t="s">
        <v>6951</v>
      </c>
      <c r="AC30" t="s">
        <v>6952</v>
      </c>
      <c r="AD30" t="s">
        <v>6953</v>
      </c>
      <c r="AE30" t="s">
        <v>6954</v>
      </c>
      <c r="AF30" t="s">
        <v>6955</v>
      </c>
      <c r="AG30" t="s">
        <v>6956</v>
      </c>
      <c r="AH30" t="s">
        <v>6957</v>
      </c>
      <c r="AI30" t="s">
        <v>6958</v>
      </c>
      <c r="AJ30" t="s">
        <v>6959</v>
      </c>
      <c r="AR30" t="s">
        <v>4284</v>
      </c>
    </row>
    <row r="31" spans="1:44">
      <c r="A31">
        <v>11015227</v>
      </c>
      <c r="B31" t="s">
        <v>126</v>
      </c>
      <c r="C31" t="s">
        <v>991</v>
      </c>
      <c r="D31" t="s">
        <v>1506</v>
      </c>
      <c r="E31" t="s">
        <v>1507</v>
      </c>
      <c r="F31" t="s">
        <v>1486</v>
      </c>
      <c r="G31" t="s">
        <v>1487</v>
      </c>
      <c r="H31" t="s">
        <v>2107</v>
      </c>
      <c r="I31" t="s">
        <v>4332</v>
      </c>
      <c r="J31" t="s">
        <v>2514</v>
      </c>
      <c r="K31" t="s">
        <v>2515</v>
      </c>
      <c r="M31">
        <v>50</v>
      </c>
      <c r="N31">
        <v>70</v>
      </c>
      <c r="O31" t="s">
        <v>2437</v>
      </c>
      <c r="P31" t="s">
        <v>2437</v>
      </c>
      <c r="R31" t="s">
        <v>2437</v>
      </c>
      <c r="T31" t="s">
        <v>2437</v>
      </c>
      <c r="U31" t="s">
        <v>2437</v>
      </c>
      <c r="V31" t="s">
        <v>2437</v>
      </c>
      <c r="Y31" t="s">
        <v>6948</v>
      </c>
      <c r="Z31" t="s">
        <v>6949</v>
      </c>
      <c r="AA31" t="s">
        <v>6950</v>
      </c>
      <c r="AB31" t="s">
        <v>6951</v>
      </c>
      <c r="AC31" t="s">
        <v>6952</v>
      </c>
      <c r="AD31" t="s">
        <v>6953</v>
      </c>
      <c r="AE31" t="s">
        <v>6954</v>
      </c>
      <c r="AF31" t="s">
        <v>6955</v>
      </c>
      <c r="AG31" t="s">
        <v>6956</v>
      </c>
      <c r="AH31" t="s">
        <v>6957</v>
      </c>
      <c r="AI31" t="s">
        <v>6958</v>
      </c>
      <c r="AJ31" t="s">
        <v>6959</v>
      </c>
      <c r="AR31" t="s">
        <v>4284</v>
      </c>
    </row>
    <row r="32" spans="1:44">
      <c r="A32">
        <v>11015226</v>
      </c>
      <c r="B32" t="s">
        <v>127</v>
      </c>
      <c r="C32" t="s">
        <v>992</v>
      </c>
      <c r="D32" t="s">
        <v>1506</v>
      </c>
      <c r="E32" t="s">
        <v>1507</v>
      </c>
      <c r="F32" t="s">
        <v>1486</v>
      </c>
      <c r="G32" t="s">
        <v>1487</v>
      </c>
      <c r="H32" t="s">
        <v>2108</v>
      </c>
      <c r="I32" t="s">
        <v>4333</v>
      </c>
      <c r="J32" t="s">
        <v>2516</v>
      </c>
      <c r="K32" t="s">
        <v>2517</v>
      </c>
      <c r="M32">
        <v>50</v>
      </c>
      <c r="N32">
        <v>70</v>
      </c>
      <c r="O32" t="s">
        <v>2437</v>
      </c>
      <c r="P32" t="s">
        <v>2437</v>
      </c>
      <c r="R32" t="s">
        <v>2437</v>
      </c>
      <c r="T32" t="s">
        <v>2437</v>
      </c>
      <c r="U32" t="s">
        <v>2437</v>
      </c>
      <c r="V32" t="s">
        <v>2437</v>
      </c>
      <c r="Y32" t="s">
        <v>6948</v>
      </c>
      <c r="Z32" t="s">
        <v>6949</v>
      </c>
      <c r="AA32" t="s">
        <v>6950</v>
      </c>
      <c r="AB32" t="s">
        <v>6951</v>
      </c>
      <c r="AC32" t="s">
        <v>6952</v>
      </c>
      <c r="AD32" t="s">
        <v>6953</v>
      </c>
      <c r="AE32" t="s">
        <v>6954</v>
      </c>
      <c r="AF32" t="s">
        <v>6955</v>
      </c>
      <c r="AG32" t="s">
        <v>6956</v>
      </c>
      <c r="AH32" t="s">
        <v>6957</v>
      </c>
      <c r="AI32" t="s">
        <v>6958</v>
      </c>
      <c r="AJ32" t="s">
        <v>6959</v>
      </c>
      <c r="AR32" t="s">
        <v>4284</v>
      </c>
    </row>
    <row r="33" spans="1:44">
      <c r="A33">
        <v>11000963</v>
      </c>
      <c r="B33" t="s">
        <v>128</v>
      </c>
      <c r="C33" t="s">
        <v>993</v>
      </c>
      <c r="D33" t="s">
        <v>1506</v>
      </c>
      <c r="E33" t="s">
        <v>1507</v>
      </c>
      <c r="F33" t="s">
        <v>1486</v>
      </c>
      <c r="G33" t="s">
        <v>1487</v>
      </c>
      <c r="H33" t="s">
        <v>2109</v>
      </c>
      <c r="I33" t="s">
        <v>4334</v>
      </c>
      <c r="J33" t="s">
        <v>2518</v>
      </c>
      <c r="K33" t="s">
        <v>2519</v>
      </c>
      <c r="M33">
        <v>50</v>
      </c>
      <c r="N33">
        <v>70</v>
      </c>
      <c r="O33" t="s">
        <v>2437</v>
      </c>
      <c r="P33" t="s">
        <v>2437</v>
      </c>
      <c r="R33" t="s">
        <v>2437</v>
      </c>
      <c r="T33" t="s">
        <v>2437</v>
      </c>
      <c r="U33" t="s">
        <v>2437</v>
      </c>
      <c r="V33" t="s">
        <v>2437</v>
      </c>
      <c r="Y33" t="s">
        <v>6948</v>
      </c>
      <c r="Z33" t="s">
        <v>6949</v>
      </c>
      <c r="AA33" t="s">
        <v>6950</v>
      </c>
      <c r="AB33" t="s">
        <v>6951</v>
      </c>
      <c r="AC33" t="s">
        <v>6952</v>
      </c>
      <c r="AD33" t="s">
        <v>6953</v>
      </c>
      <c r="AE33" t="s">
        <v>6954</v>
      </c>
      <c r="AF33" t="s">
        <v>6955</v>
      </c>
      <c r="AG33" t="s">
        <v>6956</v>
      </c>
      <c r="AH33" t="s">
        <v>6957</v>
      </c>
      <c r="AI33" t="s">
        <v>6958</v>
      </c>
      <c r="AJ33" t="s">
        <v>6959</v>
      </c>
      <c r="AR33" t="s">
        <v>4284</v>
      </c>
    </row>
    <row r="34" spans="1:44">
      <c r="A34">
        <v>11000961</v>
      </c>
      <c r="B34" t="s">
        <v>129</v>
      </c>
      <c r="C34" t="s">
        <v>994</v>
      </c>
      <c r="D34" t="s">
        <v>1506</v>
      </c>
      <c r="E34" t="s">
        <v>1507</v>
      </c>
      <c r="F34" t="s">
        <v>1486</v>
      </c>
      <c r="G34" t="s">
        <v>1487</v>
      </c>
      <c r="H34" t="s">
        <v>2110</v>
      </c>
      <c r="I34" t="s">
        <v>4335</v>
      </c>
      <c r="J34" t="s">
        <v>2520</v>
      </c>
      <c r="K34" t="s">
        <v>2521</v>
      </c>
      <c r="M34">
        <v>50</v>
      </c>
      <c r="N34">
        <v>70</v>
      </c>
      <c r="O34" t="s">
        <v>2437</v>
      </c>
      <c r="P34" t="s">
        <v>2437</v>
      </c>
      <c r="R34" t="s">
        <v>2437</v>
      </c>
      <c r="T34" t="s">
        <v>2437</v>
      </c>
      <c r="U34" t="s">
        <v>2437</v>
      </c>
      <c r="V34" t="s">
        <v>2437</v>
      </c>
      <c r="Y34" t="s">
        <v>6948</v>
      </c>
      <c r="Z34" t="s">
        <v>6949</v>
      </c>
      <c r="AA34" t="s">
        <v>6950</v>
      </c>
      <c r="AB34" t="s">
        <v>6951</v>
      </c>
      <c r="AC34" t="s">
        <v>6952</v>
      </c>
      <c r="AD34" t="s">
        <v>6953</v>
      </c>
      <c r="AE34" t="s">
        <v>6954</v>
      </c>
      <c r="AF34" t="s">
        <v>6955</v>
      </c>
      <c r="AG34" t="s">
        <v>6956</v>
      </c>
      <c r="AH34" t="s">
        <v>6957</v>
      </c>
      <c r="AI34" t="s">
        <v>6958</v>
      </c>
      <c r="AJ34" t="s">
        <v>6959</v>
      </c>
      <c r="AR34" t="s">
        <v>4284</v>
      </c>
    </row>
    <row r="35" spans="1:44">
      <c r="A35">
        <v>11000960</v>
      </c>
      <c r="B35" t="s">
        <v>130</v>
      </c>
      <c r="C35" t="s">
        <v>995</v>
      </c>
      <c r="D35" t="s">
        <v>1506</v>
      </c>
      <c r="E35" t="s">
        <v>1507</v>
      </c>
      <c r="F35" t="s">
        <v>1486</v>
      </c>
      <c r="G35" t="s">
        <v>1487</v>
      </c>
      <c r="H35" t="s">
        <v>2111</v>
      </c>
      <c r="I35" t="s">
        <v>4336</v>
      </c>
      <c r="J35" t="s">
        <v>2522</v>
      </c>
      <c r="K35" t="s">
        <v>2523</v>
      </c>
      <c r="M35">
        <v>50</v>
      </c>
      <c r="N35">
        <v>70</v>
      </c>
      <c r="O35" t="s">
        <v>2437</v>
      </c>
      <c r="P35" t="s">
        <v>2437</v>
      </c>
      <c r="R35" t="s">
        <v>2437</v>
      </c>
      <c r="T35" t="s">
        <v>2437</v>
      </c>
      <c r="U35" t="s">
        <v>2437</v>
      </c>
      <c r="V35" t="s">
        <v>2437</v>
      </c>
      <c r="Y35" t="s">
        <v>6948</v>
      </c>
      <c r="Z35" t="s">
        <v>6949</v>
      </c>
      <c r="AA35" t="s">
        <v>6950</v>
      </c>
      <c r="AB35" t="s">
        <v>6951</v>
      </c>
      <c r="AC35" t="s">
        <v>6952</v>
      </c>
      <c r="AD35" t="s">
        <v>6953</v>
      </c>
      <c r="AE35" t="s">
        <v>6954</v>
      </c>
      <c r="AF35" t="s">
        <v>6955</v>
      </c>
      <c r="AG35" t="s">
        <v>6956</v>
      </c>
      <c r="AH35" t="s">
        <v>6957</v>
      </c>
      <c r="AI35" t="s">
        <v>6958</v>
      </c>
      <c r="AJ35" t="s">
        <v>6959</v>
      </c>
      <c r="AR35" t="s">
        <v>4284</v>
      </c>
    </row>
    <row r="36" spans="1:44">
      <c r="A36">
        <v>11003228</v>
      </c>
      <c r="B36" t="s">
        <v>131</v>
      </c>
      <c r="C36" t="s">
        <v>979</v>
      </c>
      <c r="D36" t="s">
        <v>1504</v>
      </c>
      <c r="E36" t="s">
        <v>1505</v>
      </c>
      <c r="F36" t="s">
        <v>1486</v>
      </c>
      <c r="G36" t="s">
        <v>1487</v>
      </c>
      <c r="H36" t="s">
        <v>2112</v>
      </c>
      <c r="I36" t="s">
        <v>4337</v>
      </c>
      <c r="J36" t="s">
        <v>2526</v>
      </c>
      <c r="K36" t="s">
        <v>2527</v>
      </c>
      <c r="M36">
        <v>50</v>
      </c>
      <c r="N36">
        <v>70</v>
      </c>
      <c r="O36" t="s">
        <v>2437</v>
      </c>
      <c r="P36" t="s">
        <v>2437</v>
      </c>
      <c r="R36" t="s">
        <v>2437</v>
      </c>
      <c r="T36" t="s">
        <v>2437</v>
      </c>
      <c r="U36" t="s">
        <v>2437</v>
      </c>
      <c r="V36" t="s">
        <v>2437</v>
      </c>
      <c r="Y36" t="s">
        <v>6948</v>
      </c>
      <c r="Z36" t="s">
        <v>6949</v>
      </c>
      <c r="AA36" t="s">
        <v>6950</v>
      </c>
      <c r="AB36" t="s">
        <v>6951</v>
      </c>
      <c r="AC36" t="s">
        <v>6952</v>
      </c>
      <c r="AD36" t="s">
        <v>6953</v>
      </c>
      <c r="AE36" t="s">
        <v>6954</v>
      </c>
      <c r="AF36" t="s">
        <v>6955</v>
      </c>
      <c r="AG36" t="s">
        <v>6956</v>
      </c>
      <c r="AH36" t="s">
        <v>6957</v>
      </c>
      <c r="AI36" t="s">
        <v>6958</v>
      </c>
      <c r="AJ36" t="s">
        <v>6959</v>
      </c>
      <c r="AR36" t="s">
        <v>4284</v>
      </c>
    </row>
    <row r="37" spans="1:44">
      <c r="A37">
        <v>11003226</v>
      </c>
      <c r="B37" t="s">
        <v>132</v>
      </c>
      <c r="C37" t="s">
        <v>980</v>
      </c>
      <c r="D37" t="s">
        <v>1504</v>
      </c>
      <c r="E37" t="s">
        <v>1505</v>
      </c>
      <c r="F37" t="s">
        <v>1486</v>
      </c>
      <c r="G37" t="s">
        <v>1487</v>
      </c>
      <c r="H37" t="s">
        <v>2113</v>
      </c>
      <c r="I37" t="s">
        <v>4338</v>
      </c>
      <c r="J37" t="s">
        <v>2528</v>
      </c>
      <c r="K37" t="s">
        <v>2529</v>
      </c>
      <c r="M37">
        <v>50</v>
      </c>
      <c r="N37">
        <v>70</v>
      </c>
      <c r="O37" t="s">
        <v>2437</v>
      </c>
      <c r="P37" t="s">
        <v>2437</v>
      </c>
      <c r="R37" t="s">
        <v>2437</v>
      </c>
      <c r="T37" t="s">
        <v>2437</v>
      </c>
      <c r="U37" t="s">
        <v>2437</v>
      </c>
      <c r="V37" t="s">
        <v>2437</v>
      </c>
      <c r="Y37" t="s">
        <v>6948</v>
      </c>
      <c r="Z37" t="s">
        <v>6949</v>
      </c>
      <c r="AA37" t="s">
        <v>6950</v>
      </c>
      <c r="AB37" t="s">
        <v>6951</v>
      </c>
      <c r="AC37" t="s">
        <v>6952</v>
      </c>
      <c r="AD37" t="s">
        <v>6953</v>
      </c>
      <c r="AE37" t="s">
        <v>6954</v>
      </c>
      <c r="AF37" t="s">
        <v>6955</v>
      </c>
      <c r="AG37" t="s">
        <v>6956</v>
      </c>
      <c r="AH37" t="s">
        <v>6957</v>
      </c>
      <c r="AI37" t="s">
        <v>6958</v>
      </c>
      <c r="AJ37" t="s">
        <v>6959</v>
      </c>
      <c r="AR37" t="s">
        <v>4284</v>
      </c>
    </row>
    <row r="38" spans="1:44">
      <c r="A38">
        <v>11015190</v>
      </c>
      <c r="B38" t="s">
        <v>133</v>
      </c>
      <c r="C38" t="s">
        <v>998</v>
      </c>
      <c r="D38" t="s">
        <v>1504</v>
      </c>
      <c r="E38" t="s">
        <v>1505</v>
      </c>
      <c r="F38" t="s">
        <v>1486</v>
      </c>
      <c r="G38" t="s">
        <v>1487</v>
      </c>
      <c r="H38" t="s">
        <v>2114</v>
      </c>
      <c r="I38" t="s">
        <v>4339</v>
      </c>
      <c r="J38" t="s">
        <v>2530</v>
      </c>
      <c r="K38" t="s">
        <v>2531</v>
      </c>
      <c r="M38">
        <v>50</v>
      </c>
      <c r="N38">
        <v>70</v>
      </c>
      <c r="O38" t="s">
        <v>2437</v>
      </c>
      <c r="P38" t="s">
        <v>2437</v>
      </c>
      <c r="R38" t="s">
        <v>2437</v>
      </c>
      <c r="T38" t="s">
        <v>2437</v>
      </c>
      <c r="U38" t="s">
        <v>2437</v>
      </c>
      <c r="V38" t="s">
        <v>2437</v>
      </c>
      <c r="Y38" t="s">
        <v>6948</v>
      </c>
      <c r="Z38" t="s">
        <v>6949</v>
      </c>
      <c r="AA38" t="s">
        <v>6950</v>
      </c>
      <c r="AB38" t="s">
        <v>6951</v>
      </c>
      <c r="AC38" t="s">
        <v>6952</v>
      </c>
      <c r="AD38" t="s">
        <v>6953</v>
      </c>
      <c r="AE38" t="s">
        <v>6954</v>
      </c>
      <c r="AF38" t="s">
        <v>6955</v>
      </c>
      <c r="AG38" t="s">
        <v>6956</v>
      </c>
      <c r="AH38" t="s">
        <v>6957</v>
      </c>
      <c r="AI38" t="s">
        <v>6958</v>
      </c>
      <c r="AJ38" t="s">
        <v>6959</v>
      </c>
      <c r="AR38" t="s">
        <v>4284</v>
      </c>
    </row>
    <row r="39" spans="1:44">
      <c r="A39">
        <v>11000974</v>
      </c>
      <c r="B39" t="s">
        <v>134</v>
      </c>
      <c r="C39" t="s">
        <v>965</v>
      </c>
      <c r="D39" t="s">
        <v>1508</v>
      </c>
      <c r="E39" t="s">
        <v>1509</v>
      </c>
      <c r="F39" t="s">
        <v>1486</v>
      </c>
      <c r="G39" t="s">
        <v>1487</v>
      </c>
      <c r="H39" t="s">
        <v>2082</v>
      </c>
      <c r="I39" t="s">
        <v>4311</v>
      </c>
      <c r="J39" t="s">
        <v>2536</v>
      </c>
      <c r="K39" t="s">
        <v>2537</v>
      </c>
      <c r="M39">
        <v>50</v>
      </c>
      <c r="N39">
        <v>70</v>
      </c>
      <c r="O39" t="s">
        <v>2437</v>
      </c>
      <c r="P39" t="s">
        <v>2437</v>
      </c>
      <c r="R39" t="s">
        <v>2437</v>
      </c>
      <c r="T39" t="s">
        <v>2437</v>
      </c>
      <c r="U39" t="s">
        <v>2437</v>
      </c>
      <c r="V39" t="s">
        <v>2538</v>
      </c>
      <c r="Y39" t="s">
        <v>6948</v>
      </c>
      <c r="Z39" t="s">
        <v>6949</v>
      </c>
      <c r="AA39" t="s">
        <v>6950</v>
      </c>
      <c r="AB39" t="s">
        <v>6951</v>
      </c>
      <c r="AC39" t="s">
        <v>6952</v>
      </c>
      <c r="AD39" t="s">
        <v>6953</v>
      </c>
      <c r="AE39" t="s">
        <v>6954</v>
      </c>
      <c r="AF39" t="s">
        <v>6955</v>
      </c>
      <c r="AG39" t="s">
        <v>6956</v>
      </c>
      <c r="AH39" t="s">
        <v>6957</v>
      </c>
      <c r="AI39" t="s">
        <v>6958</v>
      </c>
      <c r="AJ39" t="s">
        <v>6959</v>
      </c>
      <c r="AR39" t="s">
        <v>4284</v>
      </c>
    </row>
    <row r="40" spans="1:44">
      <c r="A40">
        <v>11000523</v>
      </c>
      <c r="B40" t="s">
        <v>135</v>
      </c>
      <c r="C40" t="s">
        <v>999</v>
      </c>
      <c r="D40" t="s">
        <v>1510</v>
      </c>
      <c r="E40" t="s">
        <v>1511</v>
      </c>
      <c r="F40" t="s">
        <v>1512</v>
      </c>
      <c r="G40" t="s">
        <v>1513</v>
      </c>
      <c r="H40" t="s">
        <v>2115</v>
      </c>
      <c r="I40" t="s">
        <v>4340</v>
      </c>
      <c r="J40" t="s">
        <v>2539</v>
      </c>
      <c r="K40" t="s">
        <v>2540</v>
      </c>
      <c r="M40">
        <v>50</v>
      </c>
      <c r="N40">
        <v>70</v>
      </c>
      <c r="O40" t="s">
        <v>2437</v>
      </c>
      <c r="P40" t="s">
        <v>2437</v>
      </c>
      <c r="R40" t="s">
        <v>2437</v>
      </c>
      <c r="T40" t="s">
        <v>2437</v>
      </c>
      <c r="U40" t="s">
        <v>2437</v>
      </c>
      <c r="V40" t="s">
        <v>2437</v>
      </c>
      <c r="Y40" t="s">
        <v>6948</v>
      </c>
      <c r="Z40" t="s">
        <v>6949</v>
      </c>
      <c r="AA40" t="s">
        <v>6950</v>
      </c>
      <c r="AB40" t="s">
        <v>6951</v>
      </c>
      <c r="AC40" t="s">
        <v>6952</v>
      </c>
      <c r="AD40" t="s">
        <v>6953</v>
      </c>
      <c r="AE40" t="s">
        <v>6954</v>
      </c>
      <c r="AF40" t="s">
        <v>6955</v>
      </c>
      <c r="AG40" t="s">
        <v>6956</v>
      </c>
      <c r="AH40" t="s">
        <v>6957</v>
      </c>
      <c r="AI40" t="s">
        <v>6958</v>
      </c>
      <c r="AJ40" t="s">
        <v>6959</v>
      </c>
      <c r="AR40" t="s">
        <v>4284</v>
      </c>
    </row>
    <row r="41" spans="1:44">
      <c r="A41">
        <v>11000526</v>
      </c>
      <c r="B41" t="s">
        <v>136</v>
      </c>
      <c r="C41" t="s">
        <v>1001</v>
      </c>
      <c r="D41" t="s">
        <v>1510</v>
      </c>
      <c r="E41" t="s">
        <v>1511</v>
      </c>
      <c r="F41" t="s">
        <v>1512</v>
      </c>
      <c r="G41" t="s">
        <v>1513</v>
      </c>
      <c r="H41" t="s">
        <v>2117</v>
      </c>
      <c r="I41" t="s">
        <v>4341</v>
      </c>
      <c r="J41" t="s">
        <v>2552</v>
      </c>
      <c r="K41" t="s">
        <v>2553</v>
      </c>
      <c r="M41">
        <v>50</v>
      </c>
      <c r="N41">
        <v>70</v>
      </c>
      <c r="O41" t="s">
        <v>2437</v>
      </c>
      <c r="P41" t="s">
        <v>2437</v>
      </c>
      <c r="R41" t="s">
        <v>2437</v>
      </c>
      <c r="T41" t="s">
        <v>2437</v>
      </c>
      <c r="U41" t="s">
        <v>2437</v>
      </c>
      <c r="V41" t="s">
        <v>2437</v>
      </c>
      <c r="Y41" t="s">
        <v>6948</v>
      </c>
      <c r="Z41" t="s">
        <v>6949</v>
      </c>
      <c r="AA41" t="s">
        <v>6950</v>
      </c>
      <c r="AB41" t="s">
        <v>6951</v>
      </c>
      <c r="AC41" t="s">
        <v>6952</v>
      </c>
      <c r="AD41" t="s">
        <v>6953</v>
      </c>
      <c r="AE41" t="s">
        <v>6954</v>
      </c>
      <c r="AF41" t="s">
        <v>6955</v>
      </c>
      <c r="AG41" t="s">
        <v>6956</v>
      </c>
      <c r="AH41" t="s">
        <v>6957</v>
      </c>
      <c r="AI41" t="s">
        <v>6958</v>
      </c>
      <c r="AJ41" t="s">
        <v>6959</v>
      </c>
      <c r="AR41" t="s">
        <v>4284</v>
      </c>
    </row>
    <row r="42" spans="1:44">
      <c r="A42">
        <v>11000522</v>
      </c>
      <c r="B42" t="s">
        <v>137</v>
      </c>
      <c r="C42" t="s">
        <v>1002</v>
      </c>
      <c r="D42" t="s">
        <v>1510</v>
      </c>
      <c r="E42" t="s">
        <v>1511</v>
      </c>
      <c r="F42" t="s">
        <v>1512</v>
      </c>
      <c r="G42" t="s">
        <v>1513</v>
      </c>
      <c r="H42" t="s">
        <v>2118</v>
      </c>
      <c r="I42" t="s">
        <v>4342</v>
      </c>
      <c r="J42" t="s">
        <v>2554</v>
      </c>
      <c r="K42" t="s">
        <v>2555</v>
      </c>
      <c r="M42">
        <v>50</v>
      </c>
      <c r="N42">
        <v>70</v>
      </c>
      <c r="O42" t="s">
        <v>2437</v>
      </c>
      <c r="P42" t="s">
        <v>2437</v>
      </c>
      <c r="R42" t="s">
        <v>2437</v>
      </c>
      <c r="T42" t="s">
        <v>2439</v>
      </c>
      <c r="U42" t="s">
        <v>2437</v>
      </c>
      <c r="V42" t="s">
        <v>2437</v>
      </c>
      <c r="Y42" t="s">
        <v>6948</v>
      </c>
      <c r="Z42" t="s">
        <v>6949</v>
      </c>
      <c r="AA42" t="s">
        <v>6950</v>
      </c>
      <c r="AB42" t="s">
        <v>6951</v>
      </c>
      <c r="AC42" t="s">
        <v>6952</v>
      </c>
      <c r="AD42" t="s">
        <v>6953</v>
      </c>
      <c r="AE42" t="s">
        <v>6954</v>
      </c>
      <c r="AF42" t="s">
        <v>6955</v>
      </c>
      <c r="AG42" t="s">
        <v>6956</v>
      </c>
      <c r="AH42" t="s">
        <v>6957</v>
      </c>
      <c r="AI42" t="s">
        <v>6958</v>
      </c>
      <c r="AJ42" t="s">
        <v>6959</v>
      </c>
      <c r="AR42" t="s">
        <v>4284</v>
      </c>
    </row>
    <row r="43" spans="1:44">
      <c r="A43">
        <v>11005074</v>
      </c>
      <c r="B43" t="s">
        <v>138</v>
      </c>
      <c r="C43" t="s">
        <v>1003</v>
      </c>
      <c r="D43" t="s">
        <v>1519</v>
      </c>
      <c r="E43" t="s">
        <v>1520</v>
      </c>
      <c r="F43" t="s">
        <v>1476</v>
      </c>
      <c r="G43" t="s">
        <v>1477</v>
      </c>
      <c r="H43" t="s">
        <v>2076</v>
      </c>
      <c r="I43" t="s">
        <v>4306</v>
      </c>
      <c r="J43" t="s">
        <v>2556</v>
      </c>
      <c r="K43" t="s">
        <v>2556</v>
      </c>
      <c r="M43">
        <v>55</v>
      </c>
      <c r="N43">
        <v>65</v>
      </c>
      <c r="O43" t="s">
        <v>2437</v>
      </c>
      <c r="P43" t="s">
        <v>2437</v>
      </c>
      <c r="R43" t="s">
        <v>89</v>
      </c>
      <c r="T43" t="s">
        <v>2437</v>
      </c>
      <c r="U43" t="s">
        <v>2437</v>
      </c>
      <c r="V43" t="s">
        <v>2557</v>
      </c>
      <c r="Y43" t="s">
        <v>6948</v>
      </c>
      <c r="Z43" t="s">
        <v>6949</v>
      </c>
      <c r="AA43" t="s">
        <v>6950</v>
      </c>
      <c r="AB43" t="s">
        <v>6951</v>
      </c>
      <c r="AC43" t="s">
        <v>6952</v>
      </c>
      <c r="AD43" t="s">
        <v>6953</v>
      </c>
      <c r="AE43" t="s">
        <v>6975</v>
      </c>
      <c r="AF43" t="s">
        <v>6974</v>
      </c>
      <c r="AR43" t="s">
        <v>4284</v>
      </c>
    </row>
    <row r="44" spans="1:44">
      <c r="A44">
        <v>11005070</v>
      </c>
      <c r="B44" t="s">
        <v>139</v>
      </c>
      <c r="C44" t="s">
        <v>1004</v>
      </c>
      <c r="D44" t="s">
        <v>1519</v>
      </c>
      <c r="E44" t="s">
        <v>1520</v>
      </c>
      <c r="F44" t="s">
        <v>1476</v>
      </c>
      <c r="G44" t="s">
        <v>1477</v>
      </c>
      <c r="H44" t="s">
        <v>2077</v>
      </c>
      <c r="I44" t="s">
        <v>4307</v>
      </c>
      <c r="J44" t="s">
        <v>2558</v>
      </c>
      <c r="K44" t="s">
        <v>2558</v>
      </c>
      <c r="M44">
        <v>55</v>
      </c>
      <c r="N44">
        <v>65</v>
      </c>
      <c r="O44" t="s">
        <v>2437</v>
      </c>
      <c r="P44" t="s">
        <v>2437</v>
      </c>
      <c r="R44" t="s">
        <v>89</v>
      </c>
      <c r="T44" t="s">
        <v>2437</v>
      </c>
      <c r="U44" t="s">
        <v>2437</v>
      </c>
      <c r="V44" t="s">
        <v>2557</v>
      </c>
      <c r="Y44" t="s">
        <v>6948</v>
      </c>
      <c r="Z44" t="s">
        <v>6949</v>
      </c>
      <c r="AA44" t="s">
        <v>6950</v>
      </c>
      <c r="AB44" t="s">
        <v>6951</v>
      </c>
      <c r="AC44" t="s">
        <v>6952</v>
      </c>
      <c r="AD44" t="s">
        <v>6953</v>
      </c>
      <c r="AE44" t="s">
        <v>6975</v>
      </c>
      <c r="AF44" t="s">
        <v>6974</v>
      </c>
      <c r="AR44" t="s">
        <v>4284</v>
      </c>
    </row>
    <row r="45" spans="1:44">
      <c r="A45">
        <v>11101866</v>
      </c>
      <c r="B45" t="s">
        <v>140</v>
      </c>
      <c r="C45" t="s">
        <v>1061</v>
      </c>
      <c r="D45" t="s">
        <v>1525</v>
      </c>
      <c r="E45" t="s">
        <v>1491</v>
      </c>
      <c r="F45" t="s">
        <v>1526</v>
      </c>
      <c r="G45" t="s">
        <v>1527</v>
      </c>
      <c r="H45" t="s">
        <v>2122</v>
      </c>
      <c r="I45" t="s">
        <v>4343</v>
      </c>
      <c r="J45" t="s">
        <v>2563</v>
      </c>
      <c r="K45" t="s">
        <v>2564</v>
      </c>
      <c r="M45">
        <v>60</v>
      </c>
      <c r="N45">
        <v>70</v>
      </c>
      <c r="O45">
        <v>68</v>
      </c>
      <c r="P45">
        <v>105</v>
      </c>
      <c r="R45" t="s">
        <v>2437</v>
      </c>
      <c r="T45" t="s">
        <v>2565</v>
      </c>
      <c r="U45" t="s">
        <v>2566</v>
      </c>
      <c r="V45" t="s">
        <v>2437</v>
      </c>
      <c r="Y45" t="s">
        <v>6948</v>
      </c>
      <c r="Z45" t="s">
        <v>6949</v>
      </c>
      <c r="AA45" t="s">
        <v>6950</v>
      </c>
      <c r="AB45" t="s">
        <v>6951</v>
      </c>
      <c r="AC45" t="s">
        <v>6952</v>
      </c>
      <c r="AD45" t="s">
        <v>6953</v>
      </c>
      <c r="AE45" t="s">
        <v>6961</v>
      </c>
      <c r="AF45" t="s">
        <v>6962</v>
      </c>
      <c r="AG45" t="s">
        <v>6963</v>
      </c>
      <c r="AH45" t="s">
        <v>6964</v>
      </c>
      <c r="AI45" t="s">
        <v>6965</v>
      </c>
      <c r="AJ45" t="s">
        <v>6966</v>
      </c>
      <c r="AK45" t="s">
        <v>6969</v>
      </c>
      <c r="AL45" t="s">
        <v>6970</v>
      </c>
      <c r="AM45" t="s">
        <v>6971</v>
      </c>
      <c r="AN45" t="s">
        <v>6972</v>
      </c>
      <c r="AR45" t="s">
        <v>4284</v>
      </c>
    </row>
    <row r="46" spans="1:44">
      <c r="A46">
        <v>11101867</v>
      </c>
      <c r="B46" t="s">
        <v>141</v>
      </c>
      <c r="C46" t="s">
        <v>970</v>
      </c>
      <c r="D46" t="s">
        <v>1528</v>
      </c>
      <c r="E46" t="s">
        <v>1489</v>
      </c>
      <c r="F46" t="s">
        <v>1476</v>
      </c>
      <c r="G46" t="s">
        <v>1477</v>
      </c>
      <c r="H46" t="s">
        <v>2087</v>
      </c>
      <c r="I46" t="s">
        <v>4314</v>
      </c>
      <c r="J46" t="s">
        <v>2567</v>
      </c>
      <c r="K46" t="s">
        <v>2568</v>
      </c>
      <c r="M46">
        <v>60</v>
      </c>
      <c r="N46">
        <v>70</v>
      </c>
      <c r="O46">
        <v>68</v>
      </c>
      <c r="P46">
        <v>105</v>
      </c>
      <c r="R46" t="s">
        <v>2437</v>
      </c>
      <c r="T46" t="s">
        <v>2569</v>
      </c>
      <c r="U46" t="s">
        <v>2570</v>
      </c>
      <c r="V46" t="s">
        <v>89</v>
      </c>
      <c r="Y46" t="s">
        <v>6948</v>
      </c>
      <c r="Z46" t="s">
        <v>6949</v>
      </c>
      <c r="AA46" t="s">
        <v>6950</v>
      </c>
      <c r="AB46" t="s">
        <v>6951</v>
      </c>
      <c r="AC46" t="s">
        <v>6952</v>
      </c>
      <c r="AD46" t="s">
        <v>6953</v>
      </c>
      <c r="AE46" t="s">
        <v>6961</v>
      </c>
      <c r="AF46" t="s">
        <v>6962</v>
      </c>
      <c r="AG46" t="s">
        <v>6963</v>
      </c>
      <c r="AH46" t="s">
        <v>6964</v>
      </c>
      <c r="AI46" t="s">
        <v>6965</v>
      </c>
      <c r="AJ46" t="s">
        <v>6966</v>
      </c>
      <c r="AK46" t="s">
        <v>6969</v>
      </c>
      <c r="AL46" t="s">
        <v>6970</v>
      </c>
      <c r="AM46" t="s">
        <v>6971</v>
      </c>
      <c r="AN46" t="s">
        <v>6972</v>
      </c>
      <c r="AR46" t="s">
        <v>4284</v>
      </c>
    </row>
    <row r="47" spans="1:44">
      <c r="A47">
        <v>11101868</v>
      </c>
      <c r="B47" t="s">
        <v>142</v>
      </c>
      <c r="C47" t="s">
        <v>1062</v>
      </c>
      <c r="D47" t="s">
        <v>1528</v>
      </c>
      <c r="E47" t="s">
        <v>1489</v>
      </c>
      <c r="F47" t="s">
        <v>1476</v>
      </c>
      <c r="G47" t="s">
        <v>1477</v>
      </c>
      <c r="H47" t="s">
        <v>2089</v>
      </c>
      <c r="I47" t="s">
        <v>4315</v>
      </c>
      <c r="J47" t="s">
        <v>2571</v>
      </c>
      <c r="K47" t="s">
        <v>2572</v>
      </c>
      <c r="M47">
        <v>60</v>
      </c>
      <c r="N47">
        <v>70</v>
      </c>
      <c r="O47">
        <v>68</v>
      </c>
      <c r="P47">
        <v>105</v>
      </c>
      <c r="R47" t="s">
        <v>2437</v>
      </c>
      <c r="T47" t="s">
        <v>2573</v>
      </c>
      <c r="U47" t="s">
        <v>2574</v>
      </c>
      <c r="V47" t="s">
        <v>89</v>
      </c>
      <c r="Y47" t="s">
        <v>6948</v>
      </c>
      <c r="Z47" t="s">
        <v>6949</v>
      </c>
      <c r="AA47" t="s">
        <v>6950</v>
      </c>
      <c r="AB47" t="s">
        <v>6951</v>
      </c>
      <c r="AC47" t="s">
        <v>6952</v>
      </c>
      <c r="AD47" t="s">
        <v>6953</v>
      </c>
      <c r="AE47" t="s">
        <v>6961</v>
      </c>
      <c r="AF47" t="s">
        <v>6962</v>
      </c>
      <c r="AG47" t="s">
        <v>6963</v>
      </c>
      <c r="AH47" t="s">
        <v>6964</v>
      </c>
      <c r="AI47" t="s">
        <v>6965</v>
      </c>
      <c r="AJ47" t="s">
        <v>6966</v>
      </c>
      <c r="AK47" t="s">
        <v>6969</v>
      </c>
      <c r="AL47" t="s">
        <v>6970</v>
      </c>
      <c r="AM47" t="s">
        <v>6971</v>
      </c>
      <c r="AN47" t="s">
        <v>6972</v>
      </c>
      <c r="AR47" t="s">
        <v>4284</v>
      </c>
    </row>
    <row r="48" spans="1:44">
      <c r="A48">
        <v>11101869</v>
      </c>
      <c r="B48" t="s">
        <v>143</v>
      </c>
      <c r="C48" t="s">
        <v>973</v>
      </c>
      <c r="D48" t="s">
        <v>1528</v>
      </c>
      <c r="E48" t="s">
        <v>1489</v>
      </c>
      <c r="F48" t="s">
        <v>1476</v>
      </c>
      <c r="G48" t="s">
        <v>1477</v>
      </c>
      <c r="H48" t="s">
        <v>2090</v>
      </c>
      <c r="I48" t="s">
        <v>4316</v>
      </c>
      <c r="J48" t="s">
        <v>2575</v>
      </c>
      <c r="K48" t="s">
        <v>2576</v>
      </c>
      <c r="M48">
        <v>60</v>
      </c>
      <c r="N48">
        <v>70</v>
      </c>
      <c r="O48">
        <v>68</v>
      </c>
      <c r="P48">
        <v>105</v>
      </c>
      <c r="R48" t="s">
        <v>2437</v>
      </c>
      <c r="T48" t="s">
        <v>2577</v>
      </c>
      <c r="U48" t="s">
        <v>2578</v>
      </c>
      <c r="V48" t="s">
        <v>89</v>
      </c>
      <c r="Y48" t="s">
        <v>6948</v>
      </c>
      <c r="Z48" t="s">
        <v>6949</v>
      </c>
      <c r="AA48" t="s">
        <v>6950</v>
      </c>
      <c r="AB48" t="s">
        <v>6951</v>
      </c>
      <c r="AC48" t="s">
        <v>6952</v>
      </c>
      <c r="AD48" t="s">
        <v>6953</v>
      </c>
      <c r="AE48" t="s">
        <v>6961</v>
      </c>
      <c r="AF48" t="s">
        <v>6962</v>
      </c>
      <c r="AG48" t="s">
        <v>6963</v>
      </c>
      <c r="AH48" t="s">
        <v>6964</v>
      </c>
      <c r="AI48" t="s">
        <v>6965</v>
      </c>
      <c r="AJ48" t="s">
        <v>6966</v>
      </c>
      <c r="AK48" t="s">
        <v>6969</v>
      </c>
      <c r="AL48" t="s">
        <v>6970</v>
      </c>
      <c r="AM48" t="s">
        <v>6971</v>
      </c>
      <c r="AN48" t="s">
        <v>6972</v>
      </c>
      <c r="AR48" t="s">
        <v>4284</v>
      </c>
    </row>
    <row r="49" spans="1:44">
      <c r="A49">
        <v>11101870</v>
      </c>
      <c r="B49" t="s">
        <v>144</v>
      </c>
      <c r="C49" t="s">
        <v>1063</v>
      </c>
      <c r="D49" t="s">
        <v>1528</v>
      </c>
      <c r="E49" t="s">
        <v>1489</v>
      </c>
      <c r="F49" t="s">
        <v>1476</v>
      </c>
      <c r="G49" t="s">
        <v>1477</v>
      </c>
      <c r="H49" t="s">
        <v>2091</v>
      </c>
      <c r="I49" t="s">
        <v>4317</v>
      </c>
      <c r="J49" t="s">
        <v>2579</v>
      </c>
      <c r="K49" t="s">
        <v>2580</v>
      </c>
      <c r="M49">
        <v>60</v>
      </c>
      <c r="N49">
        <v>70</v>
      </c>
      <c r="O49">
        <v>68</v>
      </c>
      <c r="P49">
        <v>105</v>
      </c>
      <c r="R49" t="s">
        <v>2437</v>
      </c>
      <c r="T49" t="s">
        <v>2581</v>
      </c>
      <c r="U49" t="s">
        <v>2582</v>
      </c>
      <c r="V49" t="s">
        <v>89</v>
      </c>
      <c r="Y49" t="s">
        <v>6948</v>
      </c>
      <c r="Z49" t="s">
        <v>6949</v>
      </c>
      <c r="AA49" t="s">
        <v>6950</v>
      </c>
      <c r="AB49" t="s">
        <v>6951</v>
      </c>
      <c r="AC49" t="s">
        <v>6952</v>
      </c>
      <c r="AD49" t="s">
        <v>6953</v>
      </c>
      <c r="AE49" t="s">
        <v>6961</v>
      </c>
      <c r="AF49" t="s">
        <v>6962</v>
      </c>
      <c r="AG49" t="s">
        <v>6963</v>
      </c>
      <c r="AH49" t="s">
        <v>6964</v>
      </c>
      <c r="AI49" t="s">
        <v>6965</v>
      </c>
      <c r="AJ49" t="s">
        <v>6966</v>
      </c>
      <c r="AK49" t="s">
        <v>6969</v>
      </c>
      <c r="AL49" t="s">
        <v>6970</v>
      </c>
      <c r="AM49" t="s">
        <v>6971</v>
      </c>
      <c r="AN49" t="s">
        <v>6972</v>
      </c>
      <c r="AR49" t="s">
        <v>4284</v>
      </c>
    </row>
    <row r="50" spans="1:44">
      <c r="A50">
        <v>11101871</v>
      </c>
      <c r="B50" t="s">
        <v>145</v>
      </c>
      <c r="C50" t="s">
        <v>1064</v>
      </c>
      <c r="D50" t="s">
        <v>1528</v>
      </c>
      <c r="E50" t="s">
        <v>1489</v>
      </c>
      <c r="F50" t="s">
        <v>1476</v>
      </c>
      <c r="G50" t="s">
        <v>1477</v>
      </c>
      <c r="H50" t="s">
        <v>2083</v>
      </c>
      <c r="I50" t="s">
        <v>4312</v>
      </c>
      <c r="J50" t="s">
        <v>2583</v>
      </c>
      <c r="K50" t="s">
        <v>2584</v>
      </c>
      <c r="M50">
        <v>60</v>
      </c>
      <c r="N50">
        <v>70</v>
      </c>
      <c r="O50">
        <v>68</v>
      </c>
      <c r="P50">
        <v>105</v>
      </c>
      <c r="R50" t="s">
        <v>2437</v>
      </c>
      <c r="T50" t="s">
        <v>2585</v>
      </c>
      <c r="U50" t="s">
        <v>2586</v>
      </c>
      <c r="V50" t="s">
        <v>89</v>
      </c>
      <c r="Y50" t="s">
        <v>6948</v>
      </c>
      <c r="Z50" t="s">
        <v>6949</v>
      </c>
      <c r="AA50" t="s">
        <v>6950</v>
      </c>
      <c r="AB50" t="s">
        <v>6951</v>
      </c>
      <c r="AC50" t="s">
        <v>6952</v>
      </c>
      <c r="AD50" t="s">
        <v>6953</v>
      </c>
      <c r="AE50" t="s">
        <v>6961</v>
      </c>
      <c r="AF50" t="s">
        <v>6962</v>
      </c>
      <c r="AG50" t="s">
        <v>6963</v>
      </c>
      <c r="AH50" t="s">
        <v>6964</v>
      </c>
      <c r="AI50" t="s">
        <v>6965</v>
      </c>
      <c r="AJ50" t="s">
        <v>6966</v>
      </c>
      <c r="AK50" t="s">
        <v>6969</v>
      </c>
      <c r="AL50" t="s">
        <v>6970</v>
      </c>
      <c r="AM50" t="s">
        <v>6971</v>
      </c>
      <c r="AN50" t="s">
        <v>6972</v>
      </c>
      <c r="AR50" t="s">
        <v>4284</v>
      </c>
    </row>
    <row r="51" spans="1:44">
      <c r="A51">
        <v>11101872</v>
      </c>
      <c r="B51" t="s">
        <v>146</v>
      </c>
      <c r="C51" t="s">
        <v>1065</v>
      </c>
      <c r="D51" t="s">
        <v>1528</v>
      </c>
      <c r="E51" t="s">
        <v>1489</v>
      </c>
      <c r="F51" t="s">
        <v>1476</v>
      </c>
      <c r="G51" t="s">
        <v>1477</v>
      </c>
      <c r="H51" t="s">
        <v>2085</v>
      </c>
      <c r="I51" t="s">
        <v>4313</v>
      </c>
      <c r="J51" t="s">
        <v>2587</v>
      </c>
      <c r="K51" t="s">
        <v>2588</v>
      </c>
      <c r="M51">
        <v>60</v>
      </c>
      <c r="N51">
        <v>70</v>
      </c>
      <c r="O51">
        <v>68</v>
      </c>
      <c r="P51">
        <v>105</v>
      </c>
      <c r="R51" t="s">
        <v>2437</v>
      </c>
      <c r="T51" t="s">
        <v>2589</v>
      </c>
      <c r="U51" t="s">
        <v>2590</v>
      </c>
      <c r="V51" t="s">
        <v>89</v>
      </c>
      <c r="Y51" t="s">
        <v>6948</v>
      </c>
      <c r="Z51" t="s">
        <v>6949</v>
      </c>
      <c r="AA51" t="s">
        <v>6950</v>
      </c>
      <c r="AB51" t="s">
        <v>6951</v>
      </c>
      <c r="AC51" t="s">
        <v>6952</v>
      </c>
      <c r="AD51" t="s">
        <v>6953</v>
      </c>
      <c r="AE51" t="s">
        <v>6961</v>
      </c>
      <c r="AF51" t="s">
        <v>6962</v>
      </c>
      <c r="AG51" t="s">
        <v>6963</v>
      </c>
      <c r="AH51" t="s">
        <v>6964</v>
      </c>
      <c r="AI51" t="s">
        <v>6965</v>
      </c>
      <c r="AJ51" t="s">
        <v>6966</v>
      </c>
      <c r="AK51" t="s">
        <v>6969</v>
      </c>
      <c r="AL51" t="s">
        <v>6970</v>
      </c>
      <c r="AM51" t="s">
        <v>6971</v>
      </c>
      <c r="AN51" t="s">
        <v>6972</v>
      </c>
      <c r="AR51" t="s">
        <v>4284</v>
      </c>
    </row>
    <row r="52" spans="1:44">
      <c r="A52">
        <v>11103121</v>
      </c>
      <c r="B52" t="s">
        <v>147</v>
      </c>
      <c r="C52" t="s">
        <v>1068</v>
      </c>
      <c r="D52" t="s">
        <v>1529</v>
      </c>
      <c r="E52" t="s">
        <v>1530</v>
      </c>
      <c r="F52" t="s">
        <v>1531</v>
      </c>
      <c r="G52" t="s">
        <v>1532</v>
      </c>
      <c r="H52" t="s">
        <v>2123</v>
      </c>
      <c r="I52" t="s">
        <v>4344</v>
      </c>
      <c r="J52" t="s">
        <v>2591</v>
      </c>
      <c r="K52" t="s">
        <v>2592</v>
      </c>
      <c r="M52">
        <v>50</v>
      </c>
      <c r="N52">
        <v>70</v>
      </c>
      <c r="O52" t="s">
        <v>2437</v>
      </c>
      <c r="P52" t="s">
        <v>2437</v>
      </c>
      <c r="R52" t="s">
        <v>2437</v>
      </c>
      <c r="T52" t="s">
        <v>2437</v>
      </c>
      <c r="U52" t="s">
        <v>2437</v>
      </c>
      <c r="V52" t="s">
        <v>2437</v>
      </c>
      <c r="Y52" t="s">
        <v>6948</v>
      </c>
      <c r="Z52" t="s">
        <v>6949</v>
      </c>
      <c r="AA52" t="s">
        <v>6950</v>
      </c>
      <c r="AB52" t="s">
        <v>6951</v>
      </c>
      <c r="AC52" t="s">
        <v>6952</v>
      </c>
      <c r="AD52" t="s">
        <v>6953</v>
      </c>
      <c r="AE52" t="s">
        <v>6954</v>
      </c>
      <c r="AF52" t="s">
        <v>6955</v>
      </c>
      <c r="AG52" t="s">
        <v>6956</v>
      </c>
      <c r="AH52" t="s">
        <v>6957</v>
      </c>
      <c r="AI52" t="s">
        <v>6958</v>
      </c>
      <c r="AJ52" t="s">
        <v>6959</v>
      </c>
      <c r="AR52" t="s">
        <v>4284</v>
      </c>
    </row>
    <row r="53" spans="1:44">
      <c r="A53">
        <v>11103208</v>
      </c>
      <c r="B53" t="s">
        <v>148</v>
      </c>
      <c r="C53" t="s">
        <v>1069</v>
      </c>
      <c r="D53" t="s">
        <v>1529</v>
      </c>
      <c r="E53" t="s">
        <v>1530</v>
      </c>
      <c r="F53" t="s">
        <v>1531</v>
      </c>
      <c r="G53" t="s">
        <v>1532</v>
      </c>
      <c r="H53" t="s">
        <v>2124</v>
      </c>
      <c r="I53" t="s">
        <v>4345</v>
      </c>
      <c r="J53" t="s">
        <v>2593</v>
      </c>
      <c r="K53" t="s">
        <v>2594</v>
      </c>
      <c r="M53">
        <v>50</v>
      </c>
      <c r="N53">
        <v>70</v>
      </c>
      <c r="O53" t="s">
        <v>2437</v>
      </c>
      <c r="P53" t="s">
        <v>2437</v>
      </c>
      <c r="R53" t="s">
        <v>2437</v>
      </c>
      <c r="T53" t="s">
        <v>2437</v>
      </c>
      <c r="U53" t="s">
        <v>2437</v>
      </c>
      <c r="V53" t="s">
        <v>2437</v>
      </c>
      <c r="Y53" t="s">
        <v>6948</v>
      </c>
      <c r="Z53" t="s">
        <v>6949</v>
      </c>
      <c r="AA53" t="s">
        <v>6950</v>
      </c>
      <c r="AB53" t="s">
        <v>6951</v>
      </c>
      <c r="AC53" t="s">
        <v>6952</v>
      </c>
      <c r="AD53" t="s">
        <v>6953</v>
      </c>
      <c r="AE53" t="s">
        <v>6954</v>
      </c>
      <c r="AF53" t="s">
        <v>6955</v>
      </c>
      <c r="AG53" t="s">
        <v>6956</v>
      </c>
      <c r="AH53" t="s">
        <v>6957</v>
      </c>
      <c r="AI53" t="s">
        <v>6958</v>
      </c>
      <c r="AJ53" t="s">
        <v>6959</v>
      </c>
      <c r="AR53" t="s">
        <v>4284</v>
      </c>
    </row>
    <row r="54" spans="1:44">
      <c r="A54">
        <v>11103209</v>
      </c>
      <c r="B54" t="s">
        <v>149</v>
      </c>
      <c r="C54" t="s">
        <v>1070</v>
      </c>
      <c r="D54" t="s">
        <v>1533</v>
      </c>
      <c r="E54" t="s">
        <v>1534</v>
      </c>
      <c r="F54" t="s">
        <v>1486</v>
      </c>
      <c r="G54" t="s">
        <v>1487</v>
      </c>
      <c r="H54" t="s">
        <v>2125</v>
      </c>
      <c r="I54" t="s">
        <v>4346</v>
      </c>
      <c r="J54" t="s">
        <v>2595</v>
      </c>
      <c r="K54" t="s">
        <v>2596</v>
      </c>
      <c r="M54">
        <v>50</v>
      </c>
      <c r="N54">
        <v>70</v>
      </c>
      <c r="O54" t="s">
        <v>2437</v>
      </c>
      <c r="P54" t="s">
        <v>2437</v>
      </c>
      <c r="R54" t="s">
        <v>2437</v>
      </c>
      <c r="T54" t="s">
        <v>2437</v>
      </c>
      <c r="U54" t="s">
        <v>2437</v>
      </c>
      <c r="V54" t="s">
        <v>2437</v>
      </c>
      <c r="Y54" t="s">
        <v>6948</v>
      </c>
      <c r="Z54" t="s">
        <v>6949</v>
      </c>
      <c r="AA54" t="s">
        <v>6950</v>
      </c>
      <c r="AB54" t="s">
        <v>6951</v>
      </c>
      <c r="AC54" t="s">
        <v>6952</v>
      </c>
      <c r="AD54" t="s">
        <v>6953</v>
      </c>
      <c r="AE54" t="s">
        <v>6954</v>
      </c>
      <c r="AF54" t="s">
        <v>6955</v>
      </c>
      <c r="AG54" t="s">
        <v>6956</v>
      </c>
      <c r="AH54" t="s">
        <v>6957</v>
      </c>
      <c r="AI54" t="s">
        <v>6958</v>
      </c>
      <c r="AJ54" t="s">
        <v>6959</v>
      </c>
      <c r="AR54" t="s">
        <v>4284</v>
      </c>
    </row>
    <row r="55" spans="1:44">
      <c r="A55">
        <v>11103210</v>
      </c>
      <c r="B55" t="s">
        <v>150</v>
      </c>
      <c r="C55" t="s">
        <v>1071</v>
      </c>
      <c r="D55" t="s">
        <v>1535</v>
      </c>
      <c r="E55" t="s">
        <v>1536</v>
      </c>
      <c r="F55" t="s">
        <v>1537</v>
      </c>
      <c r="G55" t="s">
        <v>1538</v>
      </c>
      <c r="H55" t="s">
        <v>2126</v>
      </c>
      <c r="I55" t="s">
        <v>4347</v>
      </c>
      <c r="J55" t="s">
        <v>2597</v>
      </c>
      <c r="K55" t="s">
        <v>2598</v>
      </c>
      <c r="M55">
        <v>50</v>
      </c>
      <c r="N55">
        <v>70</v>
      </c>
      <c r="O55" t="s">
        <v>2437</v>
      </c>
      <c r="P55" t="s">
        <v>2437</v>
      </c>
      <c r="R55">
        <v>24</v>
      </c>
      <c r="T55" t="s">
        <v>2437</v>
      </c>
      <c r="U55" t="s">
        <v>2437</v>
      </c>
      <c r="V55" t="s">
        <v>2437</v>
      </c>
      <c r="Y55" t="s">
        <v>6948</v>
      </c>
      <c r="Z55" t="s">
        <v>6949</v>
      </c>
      <c r="AA55" t="s">
        <v>6950</v>
      </c>
      <c r="AB55" t="s">
        <v>6951</v>
      </c>
      <c r="AC55" t="s">
        <v>6952</v>
      </c>
      <c r="AD55" t="s">
        <v>6953</v>
      </c>
      <c r="AE55" t="s">
        <v>6954</v>
      </c>
      <c r="AF55" t="s">
        <v>6955</v>
      </c>
      <c r="AG55" t="s">
        <v>6956</v>
      </c>
      <c r="AH55" t="s">
        <v>6957</v>
      </c>
      <c r="AI55" t="s">
        <v>6958</v>
      </c>
      <c r="AJ55" t="s">
        <v>6959</v>
      </c>
      <c r="AK55" t="s">
        <v>6976</v>
      </c>
      <c r="AL55" t="s">
        <v>6977</v>
      </c>
      <c r="AM55" t="s">
        <v>6978</v>
      </c>
      <c r="AN55" t="s">
        <v>6979</v>
      </c>
      <c r="AO55" t="s">
        <v>6980</v>
      </c>
      <c r="AR55" t="s">
        <v>4284</v>
      </c>
    </row>
    <row r="56" spans="1:44">
      <c r="A56">
        <v>11103211</v>
      </c>
      <c r="B56" t="s">
        <v>151</v>
      </c>
      <c r="C56" t="s">
        <v>1072</v>
      </c>
      <c r="D56" t="s">
        <v>1535</v>
      </c>
      <c r="E56" t="s">
        <v>1536</v>
      </c>
      <c r="F56" t="s">
        <v>1539</v>
      </c>
      <c r="G56" t="s">
        <v>1540</v>
      </c>
      <c r="H56" t="s">
        <v>2127</v>
      </c>
      <c r="I56" t="s">
        <v>4348</v>
      </c>
      <c r="J56" t="s">
        <v>2599</v>
      </c>
      <c r="K56" t="s">
        <v>2600</v>
      </c>
      <c r="M56">
        <v>50</v>
      </c>
      <c r="N56">
        <v>70</v>
      </c>
      <c r="O56" t="s">
        <v>2437</v>
      </c>
      <c r="P56" t="s">
        <v>2437</v>
      </c>
      <c r="R56">
        <v>24</v>
      </c>
      <c r="T56" t="s">
        <v>2437</v>
      </c>
      <c r="U56" t="s">
        <v>2437</v>
      </c>
      <c r="V56" t="s">
        <v>2437</v>
      </c>
      <c r="Y56" t="s">
        <v>6948</v>
      </c>
      <c r="Z56" t="s">
        <v>6949</v>
      </c>
      <c r="AA56" t="s">
        <v>6950</v>
      </c>
      <c r="AB56" t="s">
        <v>6951</v>
      </c>
      <c r="AC56" t="s">
        <v>6952</v>
      </c>
      <c r="AD56" t="s">
        <v>6953</v>
      </c>
      <c r="AE56" t="s">
        <v>6954</v>
      </c>
      <c r="AF56" t="s">
        <v>6955</v>
      </c>
      <c r="AG56" t="s">
        <v>6956</v>
      </c>
      <c r="AH56" t="s">
        <v>6957</v>
      </c>
      <c r="AI56" t="s">
        <v>6958</v>
      </c>
      <c r="AJ56" t="s">
        <v>6959</v>
      </c>
      <c r="AK56" t="s">
        <v>6976</v>
      </c>
      <c r="AL56" t="s">
        <v>6977</v>
      </c>
      <c r="AM56" t="s">
        <v>6978</v>
      </c>
      <c r="AN56" t="s">
        <v>6979</v>
      </c>
      <c r="AO56" t="s">
        <v>6980</v>
      </c>
      <c r="AR56" t="s">
        <v>4284</v>
      </c>
    </row>
    <row r="57" spans="1:44">
      <c r="A57">
        <v>11103212</v>
      </c>
      <c r="B57" t="s">
        <v>152</v>
      </c>
      <c r="C57" t="s">
        <v>1073</v>
      </c>
      <c r="D57" t="s">
        <v>1535</v>
      </c>
      <c r="E57" t="s">
        <v>1536</v>
      </c>
      <c r="F57" t="s">
        <v>1541</v>
      </c>
      <c r="G57" t="s">
        <v>1542</v>
      </c>
      <c r="H57" t="s">
        <v>2128</v>
      </c>
      <c r="I57" t="s">
        <v>4349</v>
      </c>
      <c r="J57" t="s">
        <v>2601</v>
      </c>
      <c r="K57" t="s">
        <v>2602</v>
      </c>
      <c r="M57">
        <v>50</v>
      </c>
      <c r="N57">
        <v>70</v>
      </c>
      <c r="O57" t="s">
        <v>2437</v>
      </c>
      <c r="P57" t="s">
        <v>2437</v>
      </c>
      <c r="R57">
        <v>24</v>
      </c>
      <c r="T57" t="s">
        <v>2437</v>
      </c>
      <c r="U57" t="s">
        <v>2437</v>
      </c>
      <c r="V57" t="s">
        <v>2437</v>
      </c>
      <c r="Y57" t="s">
        <v>6948</v>
      </c>
      <c r="Z57" t="s">
        <v>6949</v>
      </c>
      <c r="AA57" t="s">
        <v>6950</v>
      </c>
      <c r="AB57" t="s">
        <v>6951</v>
      </c>
      <c r="AC57" t="s">
        <v>6952</v>
      </c>
      <c r="AD57" t="s">
        <v>6953</v>
      </c>
      <c r="AE57" t="s">
        <v>6954</v>
      </c>
      <c r="AF57" t="s">
        <v>6955</v>
      </c>
      <c r="AG57" t="s">
        <v>6956</v>
      </c>
      <c r="AH57" t="s">
        <v>6957</v>
      </c>
      <c r="AI57" t="s">
        <v>6958</v>
      </c>
      <c r="AJ57" t="s">
        <v>6959</v>
      </c>
      <c r="AK57" t="s">
        <v>6976</v>
      </c>
      <c r="AL57" t="s">
        <v>6977</v>
      </c>
      <c r="AM57" t="s">
        <v>6978</v>
      </c>
      <c r="AN57" t="s">
        <v>6979</v>
      </c>
      <c r="AO57" t="s">
        <v>6980</v>
      </c>
      <c r="AR57" t="s">
        <v>4284</v>
      </c>
    </row>
    <row r="58" spans="1:44">
      <c r="A58">
        <v>11103213</v>
      </c>
      <c r="B58" t="s">
        <v>153</v>
      </c>
      <c r="C58" t="s">
        <v>1074</v>
      </c>
      <c r="D58" t="s">
        <v>1535</v>
      </c>
      <c r="E58" t="s">
        <v>1536</v>
      </c>
      <c r="F58" t="s">
        <v>1537</v>
      </c>
      <c r="G58" t="s">
        <v>1538</v>
      </c>
      <c r="H58" t="s">
        <v>2129</v>
      </c>
      <c r="I58" t="s">
        <v>4350</v>
      </c>
      <c r="J58" t="s">
        <v>2603</v>
      </c>
      <c r="K58" t="s">
        <v>2604</v>
      </c>
      <c r="M58">
        <v>50</v>
      </c>
      <c r="N58">
        <v>70</v>
      </c>
      <c r="O58" t="s">
        <v>2437</v>
      </c>
      <c r="P58" t="s">
        <v>2437</v>
      </c>
      <c r="R58">
        <v>24</v>
      </c>
      <c r="T58" t="s">
        <v>2439</v>
      </c>
      <c r="U58" t="s">
        <v>2437</v>
      </c>
      <c r="V58" t="s">
        <v>2437</v>
      </c>
      <c r="Y58" t="s">
        <v>6948</v>
      </c>
      <c r="Z58" t="s">
        <v>6949</v>
      </c>
      <c r="AA58" t="s">
        <v>6950</v>
      </c>
      <c r="AB58" t="s">
        <v>6951</v>
      </c>
      <c r="AC58" t="s">
        <v>6952</v>
      </c>
      <c r="AD58" t="s">
        <v>6953</v>
      </c>
      <c r="AE58" t="s">
        <v>6954</v>
      </c>
      <c r="AF58" t="s">
        <v>6955</v>
      </c>
      <c r="AG58" t="s">
        <v>6956</v>
      </c>
      <c r="AH58" t="s">
        <v>6957</v>
      </c>
      <c r="AI58" t="s">
        <v>6958</v>
      </c>
      <c r="AJ58" t="s">
        <v>6959</v>
      </c>
      <c r="AK58" t="s">
        <v>6976</v>
      </c>
      <c r="AL58" t="s">
        <v>6977</v>
      </c>
      <c r="AM58" t="s">
        <v>6978</v>
      </c>
      <c r="AN58" t="s">
        <v>6979</v>
      </c>
      <c r="AO58" t="s">
        <v>6980</v>
      </c>
      <c r="AR58" t="s">
        <v>4284</v>
      </c>
    </row>
    <row r="59" spans="1:44">
      <c r="A59">
        <v>11103214</v>
      </c>
      <c r="B59" t="s">
        <v>154</v>
      </c>
      <c r="C59" t="s">
        <v>1075</v>
      </c>
      <c r="D59" t="s">
        <v>1535</v>
      </c>
      <c r="E59" t="s">
        <v>1536</v>
      </c>
      <c r="F59" t="s">
        <v>1539</v>
      </c>
      <c r="G59" t="s">
        <v>1540</v>
      </c>
      <c r="H59" t="s">
        <v>2130</v>
      </c>
      <c r="I59" t="s">
        <v>4351</v>
      </c>
      <c r="J59" t="s">
        <v>2605</v>
      </c>
      <c r="K59" t="s">
        <v>2606</v>
      </c>
      <c r="M59">
        <v>50</v>
      </c>
      <c r="N59">
        <v>70</v>
      </c>
      <c r="O59" t="s">
        <v>2437</v>
      </c>
      <c r="P59" t="s">
        <v>2437</v>
      </c>
      <c r="R59">
        <v>24</v>
      </c>
      <c r="T59" t="s">
        <v>2437</v>
      </c>
      <c r="U59" t="s">
        <v>2437</v>
      </c>
      <c r="V59" t="s">
        <v>2437</v>
      </c>
      <c r="Y59" t="s">
        <v>6948</v>
      </c>
      <c r="Z59" t="s">
        <v>6949</v>
      </c>
      <c r="AA59" t="s">
        <v>6950</v>
      </c>
      <c r="AB59" t="s">
        <v>6951</v>
      </c>
      <c r="AC59" t="s">
        <v>6952</v>
      </c>
      <c r="AD59" t="s">
        <v>6953</v>
      </c>
      <c r="AE59" t="s">
        <v>6954</v>
      </c>
      <c r="AF59" t="s">
        <v>6955</v>
      </c>
      <c r="AG59" t="s">
        <v>6956</v>
      </c>
      <c r="AH59" t="s">
        <v>6957</v>
      </c>
      <c r="AI59" t="s">
        <v>6958</v>
      </c>
      <c r="AJ59" t="s">
        <v>6959</v>
      </c>
      <c r="AK59" t="s">
        <v>6976</v>
      </c>
      <c r="AL59" t="s">
        <v>6977</v>
      </c>
      <c r="AM59" t="s">
        <v>6978</v>
      </c>
      <c r="AN59" t="s">
        <v>6979</v>
      </c>
      <c r="AO59" t="s">
        <v>6980</v>
      </c>
      <c r="AR59" t="s">
        <v>4284</v>
      </c>
    </row>
    <row r="60" spans="1:44">
      <c r="A60">
        <v>11103215</v>
      </c>
      <c r="B60" t="s">
        <v>155</v>
      </c>
      <c r="C60" t="s">
        <v>1076</v>
      </c>
      <c r="D60" t="s">
        <v>1535</v>
      </c>
      <c r="E60" t="s">
        <v>1536</v>
      </c>
      <c r="F60" t="s">
        <v>1541</v>
      </c>
      <c r="G60" t="s">
        <v>1542</v>
      </c>
      <c r="H60" t="s">
        <v>2131</v>
      </c>
      <c r="I60" t="s">
        <v>4352</v>
      </c>
      <c r="J60" t="s">
        <v>2607</v>
      </c>
      <c r="K60" t="s">
        <v>2608</v>
      </c>
      <c r="M60">
        <v>50</v>
      </c>
      <c r="N60">
        <v>70</v>
      </c>
      <c r="O60" t="s">
        <v>2437</v>
      </c>
      <c r="P60" t="s">
        <v>2437</v>
      </c>
      <c r="R60">
        <v>24</v>
      </c>
      <c r="T60" t="s">
        <v>2437</v>
      </c>
      <c r="U60" t="s">
        <v>2437</v>
      </c>
      <c r="V60" t="s">
        <v>2437</v>
      </c>
      <c r="Y60" t="s">
        <v>6948</v>
      </c>
      <c r="Z60" t="s">
        <v>6949</v>
      </c>
      <c r="AA60" t="s">
        <v>6950</v>
      </c>
      <c r="AB60" t="s">
        <v>6951</v>
      </c>
      <c r="AC60" t="s">
        <v>6952</v>
      </c>
      <c r="AD60" t="s">
        <v>6953</v>
      </c>
      <c r="AE60" t="s">
        <v>6954</v>
      </c>
      <c r="AF60" t="s">
        <v>6955</v>
      </c>
      <c r="AG60" t="s">
        <v>6956</v>
      </c>
      <c r="AH60" t="s">
        <v>6957</v>
      </c>
      <c r="AI60" t="s">
        <v>6958</v>
      </c>
      <c r="AJ60" t="s">
        <v>6959</v>
      </c>
      <c r="AK60" t="s">
        <v>6976</v>
      </c>
      <c r="AL60" t="s">
        <v>6977</v>
      </c>
      <c r="AM60" t="s">
        <v>6978</v>
      </c>
      <c r="AN60" t="s">
        <v>6979</v>
      </c>
      <c r="AO60" t="s">
        <v>6980</v>
      </c>
      <c r="AR60" t="s">
        <v>4284</v>
      </c>
    </row>
    <row r="61" spans="1:44">
      <c r="A61">
        <v>11103203</v>
      </c>
      <c r="B61" t="s">
        <v>156</v>
      </c>
      <c r="C61" t="s">
        <v>1077</v>
      </c>
      <c r="D61" t="s">
        <v>1529</v>
      </c>
      <c r="E61" t="s">
        <v>1530</v>
      </c>
      <c r="F61" t="s">
        <v>1531</v>
      </c>
      <c r="G61" t="s">
        <v>1532</v>
      </c>
      <c r="H61" t="s">
        <v>2132</v>
      </c>
      <c r="I61" t="s">
        <v>4353</v>
      </c>
      <c r="J61" t="s">
        <v>2609</v>
      </c>
      <c r="K61" t="s">
        <v>2610</v>
      </c>
      <c r="M61">
        <v>50</v>
      </c>
      <c r="N61">
        <v>70</v>
      </c>
      <c r="O61" t="s">
        <v>2437</v>
      </c>
      <c r="P61" t="s">
        <v>2437</v>
      </c>
      <c r="R61" t="s">
        <v>2437</v>
      </c>
      <c r="T61" t="s">
        <v>2437</v>
      </c>
      <c r="U61" t="s">
        <v>2437</v>
      </c>
      <c r="V61" t="s">
        <v>2437</v>
      </c>
      <c r="Y61" t="s">
        <v>6948</v>
      </c>
      <c r="Z61" t="s">
        <v>6949</v>
      </c>
      <c r="AA61" t="s">
        <v>6950</v>
      </c>
      <c r="AB61" t="s">
        <v>6951</v>
      </c>
      <c r="AC61" t="s">
        <v>6952</v>
      </c>
      <c r="AD61" t="s">
        <v>6953</v>
      </c>
      <c r="AE61" t="s">
        <v>6954</v>
      </c>
      <c r="AF61" t="s">
        <v>6955</v>
      </c>
      <c r="AG61" t="s">
        <v>6956</v>
      </c>
      <c r="AH61" t="s">
        <v>6957</v>
      </c>
      <c r="AI61" t="s">
        <v>6958</v>
      </c>
      <c r="AJ61" t="s">
        <v>6959</v>
      </c>
      <c r="AR61" t="s">
        <v>4284</v>
      </c>
    </row>
    <row r="62" spans="1:44">
      <c r="A62">
        <v>11107151</v>
      </c>
      <c r="B62" t="s">
        <v>157</v>
      </c>
      <c r="C62" t="s">
        <v>1078</v>
      </c>
      <c r="D62" t="s">
        <v>1543</v>
      </c>
      <c r="E62" t="s">
        <v>1522</v>
      </c>
      <c r="F62" t="s">
        <v>1486</v>
      </c>
      <c r="G62" t="s">
        <v>1487</v>
      </c>
      <c r="H62" t="s">
        <v>2133</v>
      </c>
      <c r="I62" t="s">
        <v>4354</v>
      </c>
      <c r="J62" t="s">
        <v>2611</v>
      </c>
      <c r="K62" t="s">
        <v>2612</v>
      </c>
      <c r="M62">
        <v>50</v>
      </c>
      <c r="N62">
        <v>70</v>
      </c>
      <c r="O62" t="s">
        <v>2437</v>
      </c>
      <c r="P62" t="s">
        <v>2437</v>
      </c>
      <c r="R62" t="s">
        <v>2437</v>
      </c>
      <c r="T62" t="s">
        <v>89</v>
      </c>
      <c r="U62" t="s">
        <v>89</v>
      </c>
      <c r="V62" t="s">
        <v>2562</v>
      </c>
      <c r="Y62" t="s">
        <v>6948</v>
      </c>
      <c r="Z62" t="s">
        <v>6949</v>
      </c>
      <c r="AA62" t="s">
        <v>6950</v>
      </c>
      <c r="AB62" t="s">
        <v>6951</v>
      </c>
      <c r="AC62" t="s">
        <v>6952</v>
      </c>
      <c r="AD62" t="s">
        <v>6953</v>
      </c>
      <c r="AE62" t="s">
        <v>6954</v>
      </c>
      <c r="AF62" t="s">
        <v>6955</v>
      </c>
      <c r="AG62" t="s">
        <v>6956</v>
      </c>
      <c r="AH62" t="s">
        <v>6957</v>
      </c>
      <c r="AI62" t="s">
        <v>6958</v>
      </c>
      <c r="AJ62" t="s">
        <v>6959</v>
      </c>
      <c r="AR62" t="s">
        <v>4284</v>
      </c>
    </row>
    <row r="63" spans="1:44">
      <c r="A63">
        <v>11107153</v>
      </c>
      <c r="B63" t="s">
        <v>158</v>
      </c>
      <c r="C63" t="s">
        <v>1079</v>
      </c>
      <c r="D63" t="s">
        <v>1544</v>
      </c>
      <c r="E63" t="s">
        <v>1545</v>
      </c>
      <c r="F63" t="s">
        <v>1486</v>
      </c>
      <c r="G63" t="s">
        <v>1487</v>
      </c>
      <c r="H63" t="s">
        <v>2134</v>
      </c>
      <c r="I63" t="s">
        <v>4355</v>
      </c>
      <c r="J63" t="s">
        <v>2613</v>
      </c>
      <c r="K63" t="s">
        <v>2614</v>
      </c>
      <c r="M63">
        <v>50</v>
      </c>
      <c r="N63">
        <v>70</v>
      </c>
      <c r="O63" t="s">
        <v>2437</v>
      </c>
      <c r="P63" t="s">
        <v>2437</v>
      </c>
      <c r="R63" t="s">
        <v>2437</v>
      </c>
      <c r="T63" t="s">
        <v>89</v>
      </c>
      <c r="U63" t="s">
        <v>89</v>
      </c>
      <c r="V63" t="s">
        <v>2562</v>
      </c>
      <c r="Y63" t="s">
        <v>6948</v>
      </c>
      <c r="Z63" t="s">
        <v>6949</v>
      </c>
      <c r="AA63" t="s">
        <v>6950</v>
      </c>
      <c r="AB63" t="s">
        <v>6951</v>
      </c>
      <c r="AC63" t="s">
        <v>6952</v>
      </c>
      <c r="AD63" t="s">
        <v>6953</v>
      </c>
      <c r="AE63" t="s">
        <v>6954</v>
      </c>
      <c r="AF63" t="s">
        <v>6955</v>
      </c>
      <c r="AG63" t="s">
        <v>6956</v>
      </c>
      <c r="AH63" t="s">
        <v>6957</v>
      </c>
      <c r="AI63" t="s">
        <v>6958</v>
      </c>
      <c r="AJ63" t="s">
        <v>6959</v>
      </c>
      <c r="AR63" t="s">
        <v>4284</v>
      </c>
    </row>
    <row r="64" spans="1:44">
      <c r="A64">
        <v>11107152</v>
      </c>
      <c r="B64" t="s">
        <v>159</v>
      </c>
      <c r="C64" t="s">
        <v>1011</v>
      </c>
      <c r="D64" t="s">
        <v>1543</v>
      </c>
      <c r="E64" t="s">
        <v>1522</v>
      </c>
      <c r="F64" t="s">
        <v>1486</v>
      </c>
      <c r="G64" t="s">
        <v>1487</v>
      </c>
      <c r="H64" t="s">
        <v>2119</v>
      </c>
      <c r="I64" t="s">
        <v>4356</v>
      </c>
      <c r="J64" t="s">
        <v>2560</v>
      </c>
      <c r="K64" t="s">
        <v>2561</v>
      </c>
      <c r="M64">
        <v>50</v>
      </c>
      <c r="N64">
        <v>70</v>
      </c>
      <c r="O64" t="s">
        <v>2437</v>
      </c>
      <c r="P64" t="s">
        <v>2437</v>
      </c>
      <c r="R64" t="s">
        <v>2437</v>
      </c>
      <c r="T64" t="s">
        <v>2444</v>
      </c>
      <c r="U64" t="s">
        <v>2437</v>
      </c>
      <c r="V64" t="s">
        <v>2562</v>
      </c>
      <c r="Y64" t="s">
        <v>6948</v>
      </c>
      <c r="Z64" t="s">
        <v>6949</v>
      </c>
      <c r="AA64" t="s">
        <v>6950</v>
      </c>
      <c r="AB64" t="s">
        <v>6951</v>
      </c>
      <c r="AC64" t="s">
        <v>6952</v>
      </c>
      <c r="AD64" t="s">
        <v>6953</v>
      </c>
      <c r="AE64" t="s">
        <v>6954</v>
      </c>
      <c r="AF64" t="s">
        <v>6955</v>
      </c>
      <c r="AG64" t="s">
        <v>6956</v>
      </c>
      <c r="AH64" t="s">
        <v>6957</v>
      </c>
      <c r="AI64" t="s">
        <v>6958</v>
      </c>
      <c r="AJ64" t="s">
        <v>6959</v>
      </c>
      <c r="AR64" t="s">
        <v>4284</v>
      </c>
    </row>
    <row r="65" spans="1:44">
      <c r="A65">
        <v>11107154</v>
      </c>
      <c r="B65" t="s">
        <v>160</v>
      </c>
      <c r="C65" t="s">
        <v>1080</v>
      </c>
      <c r="D65" t="s">
        <v>1544</v>
      </c>
      <c r="E65" t="s">
        <v>1545</v>
      </c>
      <c r="F65" t="s">
        <v>1486</v>
      </c>
      <c r="G65" t="s">
        <v>1487</v>
      </c>
      <c r="H65" t="s">
        <v>2135</v>
      </c>
      <c r="I65" t="s">
        <v>4357</v>
      </c>
      <c r="J65" t="s">
        <v>2615</v>
      </c>
      <c r="K65" t="s">
        <v>2616</v>
      </c>
      <c r="M65">
        <v>50</v>
      </c>
      <c r="N65">
        <v>70</v>
      </c>
      <c r="O65" t="s">
        <v>2437</v>
      </c>
      <c r="P65" t="s">
        <v>2437</v>
      </c>
      <c r="R65" t="s">
        <v>2437</v>
      </c>
      <c r="T65" t="s">
        <v>2444</v>
      </c>
      <c r="U65" t="s">
        <v>2437</v>
      </c>
      <c r="V65" t="s">
        <v>2562</v>
      </c>
      <c r="Y65" t="s">
        <v>6948</v>
      </c>
      <c r="Z65" t="s">
        <v>6949</v>
      </c>
      <c r="AA65" t="s">
        <v>6950</v>
      </c>
      <c r="AB65" t="s">
        <v>6951</v>
      </c>
      <c r="AC65" t="s">
        <v>6952</v>
      </c>
      <c r="AD65" t="s">
        <v>6953</v>
      </c>
      <c r="AE65" t="s">
        <v>6954</v>
      </c>
      <c r="AF65" t="s">
        <v>6955</v>
      </c>
      <c r="AG65" t="s">
        <v>6956</v>
      </c>
      <c r="AH65" t="s">
        <v>6957</v>
      </c>
      <c r="AI65" t="s">
        <v>6958</v>
      </c>
      <c r="AJ65" t="s">
        <v>6959</v>
      </c>
      <c r="AR65" t="s">
        <v>4284</v>
      </c>
    </row>
    <row r="66" spans="1:44">
      <c r="A66">
        <v>11107178</v>
      </c>
      <c r="B66" t="s">
        <v>161</v>
      </c>
      <c r="C66" t="s">
        <v>1081</v>
      </c>
      <c r="D66" t="s">
        <v>1546</v>
      </c>
      <c r="E66" t="s">
        <v>1547</v>
      </c>
      <c r="F66" t="s">
        <v>1476</v>
      </c>
      <c r="G66" t="s">
        <v>1477</v>
      </c>
      <c r="H66" t="s">
        <v>2136</v>
      </c>
      <c r="I66" t="s">
        <v>4358</v>
      </c>
      <c r="J66" t="s">
        <v>2617</v>
      </c>
      <c r="K66" t="s">
        <v>2617</v>
      </c>
      <c r="M66">
        <v>50</v>
      </c>
      <c r="N66">
        <v>70</v>
      </c>
      <c r="O66" t="s">
        <v>2437</v>
      </c>
      <c r="P66" t="s">
        <v>2437</v>
      </c>
      <c r="R66" t="s">
        <v>2437</v>
      </c>
      <c r="T66" t="s">
        <v>2437</v>
      </c>
      <c r="U66" t="s">
        <v>2437</v>
      </c>
      <c r="V66" t="s">
        <v>2559</v>
      </c>
      <c r="Y66" t="s">
        <v>6948</v>
      </c>
      <c r="Z66" t="s">
        <v>6949</v>
      </c>
      <c r="AA66" t="s">
        <v>6950</v>
      </c>
      <c r="AB66" t="s">
        <v>6951</v>
      </c>
      <c r="AC66" t="s">
        <v>6952</v>
      </c>
      <c r="AD66" t="s">
        <v>6953</v>
      </c>
      <c r="AE66" t="s">
        <v>6954</v>
      </c>
      <c r="AF66" t="s">
        <v>6955</v>
      </c>
      <c r="AG66" t="s">
        <v>6956</v>
      </c>
      <c r="AH66" t="s">
        <v>6957</v>
      </c>
      <c r="AI66" t="s">
        <v>6958</v>
      </c>
      <c r="AJ66" t="s">
        <v>6959</v>
      </c>
      <c r="AR66" t="s">
        <v>4284</v>
      </c>
    </row>
    <row r="67" spans="1:44">
      <c r="A67">
        <v>11103202</v>
      </c>
      <c r="B67" t="s">
        <v>162</v>
      </c>
      <c r="C67" t="s">
        <v>1082</v>
      </c>
      <c r="D67" t="s">
        <v>1529</v>
      </c>
      <c r="E67" t="s">
        <v>1530</v>
      </c>
      <c r="F67" t="s">
        <v>1531</v>
      </c>
      <c r="G67" t="s">
        <v>1532</v>
      </c>
      <c r="H67" t="s">
        <v>2137</v>
      </c>
      <c r="I67" t="s">
        <v>4359</v>
      </c>
      <c r="J67" t="s">
        <v>2618</v>
      </c>
      <c r="K67" t="s">
        <v>2619</v>
      </c>
      <c r="M67">
        <v>50</v>
      </c>
      <c r="N67">
        <v>70</v>
      </c>
      <c r="O67" t="s">
        <v>2437</v>
      </c>
      <c r="P67" t="s">
        <v>2437</v>
      </c>
      <c r="R67" t="s">
        <v>2437</v>
      </c>
      <c r="T67" t="s">
        <v>2437</v>
      </c>
      <c r="U67" t="s">
        <v>2437</v>
      </c>
      <c r="V67" t="s">
        <v>2437</v>
      </c>
      <c r="Y67" t="s">
        <v>6948</v>
      </c>
      <c r="Z67" t="s">
        <v>6949</v>
      </c>
      <c r="AA67" t="s">
        <v>6950</v>
      </c>
      <c r="AB67" t="s">
        <v>6951</v>
      </c>
      <c r="AC67" t="s">
        <v>6952</v>
      </c>
      <c r="AD67" t="s">
        <v>6953</v>
      </c>
      <c r="AE67" t="s">
        <v>6954</v>
      </c>
      <c r="AF67" t="s">
        <v>6955</v>
      </c>
      <c r="AG67" t="s">
        <v>6956</v>
      </c>
      <c r="AH67" t="s">
        <v>6957</v>
      </c>
      <c r="AI67" t="s">
        <v>6958</v>
      </c>
      <c r="AJ67" t="s">
        <v>6959</v>
      </c>
      <c r="AR67" t="s">
        <v>4284</v>
      </c>
    </row>
    <row r="68" spans="1:44">
      <c r="A68">
        <v>11107177</v>
      </c>
      <c r="B68" t="s">
        <v>163</v>
      </c>
      <c r="C68" t="s">
        <v>1083</v>
      </c>
      <c r="D68" t="s">
        <v>1546</v>
      </c>
      <c r="E68" t="s">
        <v>1547</v>
      </c>
      <c r="F68" t="s">
        <v>1476</v>
      </c>
      <c r="G68" t="s">
        <v>1477</v>
      </c>
      <c r="H68" t="s">
        <v>2138</v>
      </c>
      <c r="I68" t="s">
        <v>4360</v>
      </c>
      <c r="J68" t="s">
        <v>2620</v>
      </c>
      <c r="K68" t="s">
        <v>2620</v>
      </c>
      <c r="M68">
        <v>50</v>
      </c>
      <c r="N68">
        <v>70</v>
      </c>
      <c r="O68" t="s">
        <v>2437</v>
      </c>
      <c r="P68" t="s">
        <v>2437</v>
      </c>
      <c r="R68" t="s">
        <v>2437</v>
      </c>
      <c r="T68" t="s">
        <v>2444</v>
      </c>
      <c r="U68" t="s">
        <v>2437</v>
      </c>
      <c r="V68" t="s">
        <v>2559</v>
      </c>
      <c r="Y68" t="s">
        <v>6948</v>
      </c>
      <c r="Z68" t="s">
        <v>6949</v>
      </c>
      <c r="AA68" t="s">
        <v>6950</v>
      </c>
      <c r="AB68" t="s">
        <v>6951</v>
      </c>
      <c r="AC68" t="s">
        <v>6952</v>
      </c>
      <c r="AD68" t="s">
        <v>6953</v>
      </c>
      <c r="AE68" t="s">
        <v>6954</v>
      </c>
      <c r="AF68" t="s">
        <v>6955</v>
      </c>
      <c r="AG68" t="s">
        <v>6956</v>
      </c>
      <c r="AH68" t="s">
        <v>6957</v>
      </c>
      <c r="AI68" t="s">
        <v>6958</v>
      </c>
      <c r="AJ68" t="s">
        <v>6959</v>
      </c>
      <c r="AR68" t="s">
        <v>4284</v>
      </c>
    </row>
    <row r="69" spans="1:44">
      <c r="A69">
        <v>11106953</v>
      </c>
      <c r="B69" t="s">
        <v>164</v>
      </c>
      <c r="C69" t="s">
        <v>982</v>
      </c>
      <c r="D69" t="s">
        <v>1506</v>
      </c>
      <c r="E69" t="s">
        <v>1507</v>
      </c>
      <c r="F69" t="s">
        <v>1548</v>
      </c>
      <c r="G69" t="s">
        <v>1549</v>
      </c>
      <c r="H69" t="s">
        <v>2140</v>
      </c>
      <c r="I69" t="s">
        <v>4331</v>
      </c>
      <c r="J69" t="s">
        <v>2512</v>
      </c>
      <c r="K69" t="s">
        <v>2513</v>
      </c>
      <c r="M69">
        <v>50</v>
      </c>
      <c r="N69">
        <v>70</v>
      </c>
      <c r="O69" t="s">
        <v>2437</v>
      </c>
      <c r="P69" t="s">
        <v>2437</v>
      </c>
      <c r="R69" t="s">
        <v>2437</v>
      </c>
      <c r="T69" t="s">
        <v>2437</v>
      </c>
      <c r="U69" t="s">
        <v>2437</v>
      </c>
      <c r="V69" t="s">
        <v>2437</v>
      </c>
      <c r="Y69" t="s">
        <v>6948</v>
      </c>
      <c r="Z69" t="s">
        <v>6949</v>
      </c>
      <c r="AA69" t="s">
        <v>6950</v>
      </c>
      <c r="AB69" t="s">
        <v>6951</v>
      </c>
      <c r="AC69" t="s">
        <v>6952</v>
      </c>
      <c r="AD69" t="s">
        <v>6953</v>
      </c>
      <c r="AE69" t="s">
        <v>6954</v>
      </c>
      <c r="AF69" t="s">
        <v>6955</v>
      </c>
      <c r="AG69" t="s">
        <v>6956</v>
      </c>
      <c r="AH69" t="s">
        <v>6957</v>
      </c>
      <c r="AI69" t="s">
        <v>6958</v>
      </c>
      <c r="AJ69" t="s">
        <v>6959</v>
      </c>
      <c r="AR69" t="s">
        <v>4284</v>
      </c>
    </row>
    <row r="70" spans="1:44">
      <c r="A70">
        <v>11106954</v>
      </c>
      <c r="B70" t="s">
        <v>165</v>
      </c>
      <c r="C70" t="s">
        <v>991</v>
      </c>
      <c r="D70" t="s">
        <v>1506</v>
      </c>
      <c r="E70" t="s">
        <v>1507</v>
      </c>
      <c r="F70" t="s">
        <v>1548</v>
      </c>
      <c r="G70" t="s">
        <v>1549</v>
      </c>
      <c r="H70" t="s">
        <v>2141</v>
      </c>
      <c r="I70" t="s">
        <v>4332</v>
      </c>
      <c r="J70" t="s">
        <v>2514</v>
      </c>
      <c r="K70" t="s">
        <v>2515</v>
      </c>
      <c r="M70">
        <v>50</v>
      </c>
      <c r="N70">
        <v>70</v>
      </c>
      <c r="O70" t="s">
        <v>2437</v>
      </c>
      <c r="P70" t="s">
        <v>2437</v>
      </c>
      <c r="R70" t="s">
        <v>2437</v>
      </c>
      <c r="T70" t="s">
        <v>2437</v>
      </c>
      <c r="U70" t="s">
        <v>2437</v>
      </c>
      <c r="V70" t="s">
        <v>2437</v>
      </c>
      <c r="Y70" t="s">
        <v>6948</v>
      </c>
      <c r="Z70" t="s">
        <v>6949</v>
      </c>
      <c r="AA70" t="s">
        <v>6950</v>
      </c>
      <c r="AB70" t="s">
        <v>6951</v>
      </c>
      <c r="AC70" t="s">
        <v>6952</v>
      </c>
      <c r="AD70" t="s">
        <v>6953</v>
      </c>
      <c r="AE70" t="s">
        <v>6954</v>
      </c>
      <c r="AF70" t="s">
        <v>6955</v>
      </c>
      <c r="AG70" t="s">
        <v>6956</v>
      </c>
      <c r="AH70" t="s">
        <v>6957</v>
      </c>
      <c r="AI70" t="s">
        <v>6958</v>
      </c>
      <c r="AJ70" t="s">
        <v>6959</v>
      </c>
      <c r="AR70" t="s">
        <v>4284</v>
      </c>
    </row>
    <row r="71" spans="1:44">
      <c r="A71">
        <v>11107319</v>
      </c>
      <c r="B71" t="s">
        <v>166</v>
      </c>
      <c r="C71" t="s">
        <v>992</v>
      </c>
      <c r="D71" t="s">
        <v>1506</v>
      </c>
      <c r="E71" t="s">
        <v>1507</v>
      </c>
      <c r="F71" t="s">
        <v>1548</v>
      </c>
      <c r="G71" t="s">
        <v>1549</v>
      </c>
      <c r="H71" t="s">
        <v>2142</v>
      </c>
      <c r="I71" t="s">
        <v>4333</v>
      </c>
      <c r="J71" t="s">
        <v>2516</v>
      </c>
      <c r="K71" t="s">
        <v>2517</v>
      </c>
      <c r="M71">
        <v>50</v>
      </c>
      <c r="N71">
        <v>70</v>
      </c>
      <c r="O71" t="s">
        <v>2437</v>
      </c>
      <c r="P71" t="s">
        <v>2437</v>
      </c>
      <c r="R71" t="s">
        <v>2437</v>
      </c>
      <c r="T71" t="s">
        <v>2437</v>
      </c>
      <c r="U71" t="s">
        <v>2437</v>
      </c>
      <c r="V71" t="s">
        <v>2437</v>
      </c>
      <c r="Y71" t="s">
        <v>6948</v>
      </c>
      <c r="Z71" t="s">
        <v>6949</v>
      </c>
      <c r="AA71" t="s">
        <v>6950</v>
      </c>
      <c r="AB71" t="s">
        <v>6951</v>
      </c>
      <c r="AC71" t="s">
        <v>6952</v>
      </c>
      <c r="AD71" t="s">
        <v>6953</v>
      </c>
      <c r="AE71" t="s">
        <v>6954</v>
      </c>
      <c r="AF71" t="s">
        <v>6955</v>
      </c>
      <c r="AG71" t="s">
        <v>6956</v>
      </c>
      <c r="AH71" t="s">
        <v>6957</v>
      </c>
      <c r="AI71" t="s">
        <v>6958</v>
      </c>
      <c r="AJ71" t="s">
        <v>6959</v>
      </c>
      <c r="AR71" t="s">
        <v>4284</v>
      </c>
    </row>
    <row r="72" spans="1:44">
      <c r="A72">
        <v>11106956</v>
      </c>
      <c r="B72" t="s">
        <v>167</v>
      </c>
      <c r="C72" t="s">
        <v>997</v>
      </c>
      <c r="D72" t="s">
        <v>1504</v>
      </c>
      <c r="E72" t="s">
        <v>1505</v>
      </c>
      <c r="F72" t="s">
        <v>1550</v>
      </c>
      <c r="G72" t="s">
        <v>1551</v>
      </c>
      <c r="H72" t="s">
        <v>2144</v>
      </c>
      <c r="I72" t="s">
        <v>4361</v>
      </c>
      <c r="J72" t="s">
        <v>2524</v>
      </c>
      <c r="K72" t="s">
        <v>2525</v>
      </c>
      <c r="M72">
        <v>50</v>
      </c>
      <c r="N72">
        <v>70</v>
      </c>
      <c r="O72" t="s">
        <v>2437</v>
      </c>
      <c r="P72" t="s">
        <v>2437</v>
      </c>
      <c r="R72" t="s">
        <v>2437</v>
      </c>
      <c r="T72" t="s">
        <v>2437</v>
      </c>
      <c r="U72" t="s">
        <v>2437</v>
      </c>
      <c r="V72" t="s">
        <v>2437</v>
      </c>
      <c r="Y72" t="s">
        <v>6948</v>
      </c>
      <c r="Z72" t="s">
        <v>6949</v>
      </c>
      <c r="AA72" t="s">
        <v>6950</v>
      </c>
      <c r="AB72" t="s">
        <v>6951</v>
      </c>
      <c r="AC72" t="s">
        <v>6952</v>
      </c>
      <c r="AD72" t="s">
        <v>6953</v>
      </c>
      <c r="AE72" t="s">
        <v>6954</v>
      </c>
      <c r="AF72" t="s">
        <v>6955</v>
      </c>
      <c r="AG72" t="s">
        <v>6956</v>
      </c>
      <c r="AH72" t="s">
        <v>6957</v>
      </c>
      <c r="AI72" t="s">
        <v>6958</v>
      </c>
      <c r="AJ72" t="s">
        <v>6959</v>
      </c>
      <c r="AR72" t="s">
        <v>4284</v>
      </c>
    </row>
    <row r="73" spans="1:44">
      <c r="A73">
        <v>11106957</v>
      </c>
      <c r="B73" t="s">
        <v>168</v>
      </c>
      <c r="C73" t="s">
        <v>1091</v>
      </c>
      <c r="D73" t="s">
        <v>1504</v>
      </c>
      <c r="E73" t="s">
        <v>1505</v>
      </c>
      <c r="F73" t="s">
        <v>1550</v>
      </c>
      <c r="G73" t="s">
        <v>1551</v>
      </c>
      <c r="H73" t="s">
        <v>2145</v>
      </c>
      <c r="I73" t="s">
        <v>4337</v>
      </c>
      <c r="J73" t="s">
        <v>2526</v>
      </c>
      <c r="K73" t="s">
        <v>2527</v>
      </c>
      <c r="M73">
        <v>50</v>
      </c>
      <c r="N73">
        <v>70</v>
      </c>
      <c r="O73" t="s">
        <v>2437</v>
      </c>
      <c r="P73" t="s">
        <v>2437</v>
      </c>
      <c r="R73" t="s">
        <v>2437</v>
      </c>
      <c r="T73" t="s">
        <v>2437</v>
      </c>
      <c r="U73" t="s">
        <v>2437</v>
      </c>
      <c r="V73" t="s">
        <v>2437</v>
      </c>
      <c r="Y73" t="s">
        <v>6948</v>
      </c>
      <c r="Z73" t="s">
        <v>6949</v>
      </c>
      <c r="AA73" t="s">
        <v>6950</v>
      </c>
      <c r="AB73" t="s">
        <v>6951</v>
      </c>
      <c r="AC73" t="s">
        <v>6952</v>
      </c>
      <c r="AD73" t="s">
        <v>6953</v>
      </c>
      <c r="AE73" t="s">
        <v>6954</v>
      </c>
      <c r="AF73" t="s">
        <v>6955</v>
      </c>
      <c r="AG73" t="s">
        <v>6956</v>
      </c>
      <c r="AH73" t="s">
        <v>6957</v>
      </c>
      <c r="AI73" t="s">
        <v>6958</v>
      </c>
      <c r="AJ73" t="s">
        <v>6959</v>
      </c>
      <c r="AR73" t="s">
        <v>4284</v>
      </c>
    </row>
    <row r="74" spans="1:44">
      <c r="A74">
        <v>11106958</v>
      </c>
      <c r="B74" t="s">
        <v>169</v>
      </c>
      <c r="C74" t="s">
        <v>980</v>
      </c>
      <c r="D74" t="s">
        <v>1504</v>
      </c>
      <c r="E74" t="s">
        <v>1505</v>
      </c>
      <c r="F74" t="s">
        <v>1550</v>
      </c>
      <c r="G74" t="s">
        <v>1551</v>
      </c>
      <c r="H74" t="s">
        <v>2146</v>
      </c>
      <c r="I74" t="s">
        <v>4338</v>
      </c>
      <c r="J74" t="s">
        <v>2528</v>
      </c>
      <c r="K74" t="s">
        <v>2529</v>
      </c>
      <c r="M74">
        <v>50</v>
      </c>
      <c r="N74">
        <v>70</v>
      </c>
      <c r="O74" t="s">
        <v>2437</v>
      </c>
      <c r="P74" t="s">
        <v>2437</v>
      </c>
      <c r="R74" t="s">
        <v>2437</v>
      </c>
      <c r="T74" t="s">
        <v>2437</v>
      </c>
      <c r="U74" t="s">
        <v>2437</v>
      </c>
      <c r="V74" t="s">
        <v>2437</v>
      </c>
      <c r="Y74" t="s">
        <v>6948</v>
      </c>
      <c r="Z74" t="s">
        <v>6949</v>
      </c>
      <c r="AA74" t="s">
        <v>6950</v>
      </c>
      <c r="AB74" t="s">
        <v>6951</v>
      </c>
      <c r="AC74" t="s">
        <v>6952</v>
      </c>
      <c r="AD74" t="s">
        <v>6953</v>
      </c>
      <c r="AE74" t="s">
        <v>6954</v>
      </c>
      <c r="AF74" t="s">
        <v>6955</v>
      </c>
      <c r="AG74" t="s">
        <v>6956</v>
      </c>
      <c r="AH74" t="s">
        <v>6957</v>
      </c>
      <c r="AI74" t="s">
        <v>6958</v>
      </c>
      <c r="AJ74" t="s">
        <v>6959</v>
      </c>
      <c r="AR74" t="s">
        <v>4284</v>
      </c>
    </row>
    <row r="75" spans="1:44">
      <c r="A75">
        <v>11106959</v>
      </c>
      <c r="B75" t="s">
        <v>170</v>
      </c>
      <c r="C75" t="s">
        <v>998</v>
      </c>
      <c r="D75" t="s">
        <v>1504</v>
      </c>
      <c r="E75" t="s">
        <v>1505</v>
      </c>
      <c r="F75" t="s">
        <v>1550</v>
      </c>
      <c r="G75" t="s">
        <v>1551</v>
      </c>
      <c r="H75" t="s">
        <v>2149</v>
      </c>
      <c r="I75" t="s">
        <v>4339</v>
      </c>
      <c r="J75" t="s">
        <v>2530</v>
      </c>
      <c r="K75" t="s">
        <v>2531</v>
      </c>
      <c r="M75">
        <v>50</v>
      </c>
      <c r="N75">
        <v>70</v>
      </c>
      <c r="O75" t="s">
        <v>2437</v>
      </c>
      <c r="P75" t="s">
        <v>2437</v>
      </c>
      <c r="R75" t="s">
        <v>2437</v>
      </c>
      <c r="T75" t="s">
        <v>2437</v>
      </c>
      <c r="U75" t="s">
        <v>2437</v>
      </c>
      <c r="V75" t="s">
        <v>2437</v>
      </c>
      <c r="Y75" t="s">
        <v>6948</v>
      </c>
      <c r="Z75" t="s">
        <v>6949</v>
      </c>
      <c r="AA75" t="s">
        <v>6950</v>
      </c>
      <c r="AB75" t="s">
        <v>6951</v>
      </c>
      <c r="AC75" t="s">
        <v>6952</v>
      </c>
      <c r="AD75" t="s">
        <v>6953</v>
      </c>
      <c r="AE75" t="s">
        <v>6954</v>
      </c>
      <c r="AF75" t="s">
        <v>6955</v>
      </c>
      <c r="AG75" t="s">
        <v>6956</v>
      </c>
      <c r="AH75" t="s">
        <v>6957</v>
      </c>
      <c r="AI75" t="s">
        <v>6958</v>
      </c>
      <c r="AJ75" t="s">
        <v>6959</v>
      </c>
      <c r="AR75" t="s">
        <v>4284</v>
      </c>
    </row>
    <row r="76" spans="1:44">
      <c r="A76">
        <v>11106960</v>
      </c>
      <c r="B76" t="s">
        <v>171</v>
      </c>
      <c r="C76" t="s">
        <v>1093</v>
      </c>
      <c r="D76" t="s">
        <v>1504</v>
      </c>
      <c r="E76" t="s">
        <v>1505</v>
      </c>
      <c r="F76" t="s">
        <v>1550</v>
      </c>
      <c r="G76" t="s">
        <v>1551</v>
      </c>
      <c r="H76" t="s">
        <v>2150</v>
      </c>
      <c r="I76" t="s">
        <v>4362</v>
      </c>
      <c r="J76" t="s">
        <v>2532</v>
      </c>
      <c r="K76" t="s">
        <v>2533</v>
      </c>
      <c r="M76">
        <v>50</v>
      </c>
      <c r="N76">
        <v>70</v>
      </c>
      <c r="O76" t="s">
        <v>2437</v>
      </c>
      <c r="P76" t="s">
        <v>2437</v>
      </c>
      <c r="R76" t="s">
        <v>2437</v>
      </c>
      <c r="T76" t="s">
        <v>2437</v>
      </c>
      <c r="U76" t="s">
        <v>2437</v>
      </c>
      <c r="V76" t="s">
        <v>2437</v>
      </c>
      <c r="Y76" t="s">
        <v>6948</v>
      </c>
      <c r="Z76" t="s">
        <v>6949</v>
      </c>
      <c r="AA76" t="s">
        <v>6950</v>
      </c>
      <c r="AB76" t="s">
        <v>6951</v>
      </c>
      <c r="AC76" t="s">
        <v>6952</v>
      </c>
      <c r="AD76" t="s">
        <v>6953</v>
      </c>
      <c r="AE76" t="s">
        <v>6954</v>
      </c>
      <c r="AF76" t="s">
        <v>6955</v>
      </c>
      <c r="AG76" t="s">
        <v>6956</v>
      </c>
      <c r="AH76" t="s">
        <v>6957</v>
      </c>
      <c r="AI76" t="s">
        <v>6958</v>
      </c>
      <c r="AJ76" t="s">
        <v>6959</v>
      </c>
      <c r="AR76" t="s">
        <v>4284</v>
      </c>
    </row>
    <row r="77" spans="1:44">
      <c r="A77">
        <v>11107318</v>
      </c>
      <c r="B77" t="s">
        <v>172</v>
      </c>
      <c r="C77" t="s">
        <v>1094</v>
      </c>
      <c r="D77" t="s">
        <v>1504</v>
      </c>
      <c r="E77" t="s">
        <v>1505</v>
      </c>
      <c r="F77" t="s">
        <v>1550</v>
      </c>
      <c r="G77" t="s">
        <v>1551</v>
      </c>
      <c r="H77" t="s">
        <v>2151</v>
      </c>
      <c r="I77" t="s">
        <v>4363</v>
      </c>
      <c r="J77" t="s">
        <v>2534</v>
      </c>
      <c r="K77" t="s">
        <v>2535</v>
      </c>
      <c r="M77">
        <v>50</v>
      </c>
      <c r="N77">
        <v>70</v>
      </c>
      <c r="O77" t="s">
        <v>2437</v>
      </c>
      <c r="P77" t="s">
        <v>2437</v>
      </c>
      <c r="R77" t="s">
        <v>2437</v>
      </c>
      <c r="T77" t="s">
        <v>2437</v>
      </c>
      <c r="U77" t="s">
        <v>2437</v>
      </c>
      <c r="V77" t="s">
        <v>2437</v>
      </c>
      <c r="Y77" t="s">
        <v>6948</v>
      </c>
      <c r="Z77" t="s">
        <v>6949</v>
      </c>
      <c r="AA77" t="s">
        <v>6950</v>
      </c>
      <c r="AB77" t="s">
        <v>6951</v>
      </c>
      <c r="AC77" t="s">
        <v>6952</v>
      </c>
      <c r="AD77" t="s">
        <v>6953</v>
      </c>
      <c r="AE77" t="s">
        <v>6954</v>
      </c>
      <c r="AF77" t="s">
        <v>6955</v>
      </c>
      <c r="AG77" t="s">
        <v>6956</v>
      </c>
      <c r="AH77" t="s">
        <v>6957</v>
      </c>
      <c r="AI77" t="s">
        <v>6958</v>
      </c>
      <c r="AJ77" t="s">
        <v>6959</v>
      </c>
      <c r="AR77" t="s">
        <v>4284</v>
      </c>
    </row>
    <row r="78" spans="1:44">
      <c r="A78">
        <v>11106961</v>
      </c>
      <c r="B78" t="s">
        <v>173</v>
      </c>
      <c r="C78" t="s">
        <v>987</v>
      </c>
      <c r="D78" t="s">
        <v>1504</v>
      </c>
      <c r="E78" t="s">
        <v>1505</v>
      </c>
      <c r="F78" t="s">
        <v>1550</v>
      </c>
      <c r="G78" t="s">
        <v>1551</v>
      </c>
      <c r="H78" t="s">
        <v>2152</v>
      </c>
      <c r="I78" t="s">
        <v>4328</v>
      </c>
      <c r="J78" t="s">
        <v>2506</v>
      </c>
      <c r="K78" t="s">
        <v>2507</v>
      </c>
      <c r="M78">
        <v>50</v>
      </c>
      <c r="N78">
        <v>70</v>
      </c>
      <c r="O78" t="s">
        <v>2437</v>
      </c>
      <c r="P78" t="s">
        <v>2437</v>
      </c>
      <c r="R78" t="s">
        <v>2437</v>
      </c>
      <c r="T78" t="s">
        <v>2437</v>
      </c>
      <c r="U78" t="s">
        <v>2437</v>
      </c>
      <c r="V78" t="s">
        <v>2437</v>
      </c>
      <c r="Y78" t="s">
        <v>6948</v>
      </c>
      <c r="Z78" t="s">
        <v>6949</v>
      </c>
      <c r="AA78" t="s">
        <v>6950</v>
      </c>
      <c r="AB78" t="s">
        <v>6951</v>
      </c>
      <c r="AC78" t="s">
        <v>6952</v>
      </c>
      <c r="AD78" t="s">
        <v>6953</v>
      </c>
      <c r="AE78" t="s">
        <v>6954</v>
      </c>
      <c r="AF78" t="s">
        <v>6955</v>
      </c>
      <c r="AG78" t="s">
        <v>6956</v>
      </c>
      <c r="AH78" t="s">
        <v>6957</v>
      </c>
      <c r="AI78" t="s">
        <v>6958</v>
      </c>
      <c r="AJ78" t="s">
        <v>6959</v>
      </c>
      <c r="AR78" t="s">
        <v>4284</v>
      </c>
    </row>
    <row r="79" spans="1:44">
      <c r="A79">
        <v>11106962</v>
      </c>
      <c r="B79" t="s">
        <v>174</v>
      </c>
      <c r="C79" t="s">
        <v>993</v>
      </c>
      <c r="D79" t="s">
        <v>1506</v>
      </c>
      <c r="E79" t="s">
        <v>1507</v>
      </c>
      <c r="F79" t="s">
        <v>1548</v>
      </c>
      <c r="G79" t="s">
        <v>1549</v>
      </c>
      <c r="H79" t="s">
        <v>2153</v>
      </c>
      <c r="I79" t="s">
        <v>4334</v>
      </c>
      <c r="J79" t="s">
        <v>2518</v>
      </c>
      <c r="K79" t="s">
        <v>2519</v>
      </c>
      <c r="M79">
        <v>50</v>
      </c>
      <c r="N79">
        <v>70</v>
      </c>
      <c r="O79" t="s">
        <v>2437</v>
      </c>
      <c r="P79" t="s">
        <v>2437</v>
      </c>
      <c r="R79" t="s">
        <v>2437</v>
      </c>
      <c r="T79" t="s">
        <v>2437</v>
      </c>
      <c r="U79" t="s">
        <v>2437</v>
      </c>
      <c r="V79" t="s">
        <v>2437</v>
      </c>
      <c r="Y79" t="s">
        <v>6948</v>
      </c>
      <c r="Z79" t="s">
        <v>6949</v>
      </c>
      <c r="AA79" t="s">
        <v>6950</v>
      </c>
      <c r="AB79" t="s">
        <v>6951</v>
      </c>
      <c r="AC79" t="s">
        <v>6952</v>
      </c>
      <c r="AD79" t="s">
        <v>6953</v>
      </c>
      <c r="AE79" t="s">
        <v>6954</v>
      </c>
      <c r="AF79" t="s">
        <v>6955</v>
      </c>
      <c r="AG79" t="s">
        <v>6956</v>
      </c>
      <c r="AH79" t="s">
        <v>6957</v>
      </c>
      <c r="AI79" t="s">
        <v>6958</v>
      </c>
      <c r="AJ79" t="s">
        <v>6959</v>
      </c>
      <c r="AR79" t="s">
        <v>4284</v>
      </c>
    </row>
    <row r="80" spans="1:44">
      <c r="A80">
        <v>11106963</v>
      </c>
      <c r="B80" t="s">
        <v>175</v>
      </c>
      <c r="C80" t="s">
        <v>988</v>
      </c>
      <c r="D80" t="s">
        <v>1506</v>
      </c>
      <c r="E80" t="s">
        <v>1507</v>
      </c>
      <c r="F80" t="s">
        <v>1548</v>
      </c>
      <c r="G80" t="s">
        <v>1549</v>
      </c>
      <c r="H80" t="s">
        <v>2154</v>
      </c>
      <c r="I80" t="s">
        <v>4329</v>
      </c>
      <c r="J80" t="s">
        <v>2508</v>
      </c>
      <c r="K80" t="s">
        <v>2509</v>
      </c>
      <c r="M80">
        <v>50</v>
      </c>
      <c r="N80">
        <v>70</v>
      </c>
      <c r="O80" t="s">
        <v>2437</v>
      </c>
      <c r="P80" t="s">
        <v>2437</v>
      </c>
      <c r="R80" t="s">
        <v>2437</v>
      </c>
      <c r="T80" t="s">
        <v>2437</v>
      </c>
      <c r="U80" t="s">
        <v>2437</v>
      </c>
      <c r="V80" t="s">
        <v>2437</v>
      </c>
      <c r="Y80" t="s">
        <v>6948</v>
      </c>
      <c r="Z80" t="s">
        <v>6949</v>
      </c>
      <c r="AA80" t="s">
        <v>6950</v>
      </c>
      <c r="AB80" t="s">
        <v>6951</v>
      </c>
      <c r="AC80" t="s">
        <v>6952</v>
      </c>
      <c r="AD80" t="s">
        <v>6953</v>
      </c>
      <c r="AE80" t="s">
        <v>6954</v>
      </c>
      <c r="AF80" t="s">
        <v>6955</v>
      </c>
      <c r="AG80" t="s">
        <v>6956</v>
      </c>
      <c r="AH80" t="s">
        <v>6957</v>
      </c>
      <c r="AI80" t="s">
        <v>6958</v>
      </c>
      <c r="AJ80" t="s">
        <v>6959</v>
      </c>
      <c r="AR80" t="s">
        <v>4284</v>
      </c>
    </row>
    <row r="81" spans="1:44">
      <c r="A81">
        <v>11106964</v>
      </c>
      <c r="B81" t="s">
        <v>176</v>
      </c>
      <c r="C81" t="s">
        <v>994</v>
      </c>
      <c r="D81" t="s">
        <v>1506</v>
      </c>
      <c r="E81" t="s">
        <v>1507</v>
      </c>
      <c r="F81" t="s">
        <v>1548</v>
      </c>
      <c r="G81" t="s">
        <v>1549</v>
      </c>
      <c r="H81" t="s">
        <v>2155</v>
      </c>
      <c r="I81" t="s">
        <v>4335</v>
      </c>
      <c r="J81" t="s">
        <v>2520</v>
      </c>
      <c r="K81" t="s">
        <v>2521</v>
      </c>
      <c r="M81">
        <v>50</v>
      </c>
      <c r="N81">
        <v>70</v>
      </c>
      <c r="O81" t="s">
        <v>2437</v>
      </c>
      <c r="P81" t="s">
        <v>2437</v>
      </c>
      <c r="R81" t="s">
        <v>2437</v>
      </c>
      <c r="T81" t="s">
        <v>2437</v>
      </c>
      <c r="U81" t="s">
        <v>2437</v>
      </c>
      <c r="V81" t="s">
        <v>2437</v>
      </c>
      <c r="Y81" t="s">
        <v>6948</v>
      </c>
      <c r="Z81" t="s">
        <v>6949</v>
      </c>
      <c r="AA81" t="s">
        <v>6950</v>
      </c>
      <c r="AB81" t="s">
        <v>6951</v>
      </c>
      <c r="AC81" t="s">
        <v>6952</v>
      </c>
      <c r="AD81" t="s">
        <v>6953</v>
      </c>
      <c r="AE81" t="s">
        <v>6954</v>
      </c>
      <c r="AF81" t="s">
        <v>6955</v>
      </c>
      <c r="AG81" t="s">
        <v>6956</v>
      </c>
      <c r="AH81" t="s">
        <v>6957</v>
      </c>
      <c r="AI81" t="s">
        <v>6958</v>
      </c>
      <c r="AJ81" t="s">
        <v>6959</v>
      </c>
      <c r="AR81" t="s">
        <v>4284</v>
      </c>
    </row>
    <row r="82" spans="1:44">
      <c r="A82">
        <v>11107317</v>
      </c>
      <c r="B82" t="s">
        <v>177</v>
      </c>
      <c r="C82" t="s">
        <v>995</v>
      </c>
      <c r="D82" t="s">
        <v>1506</v>
      </c>
      <c r="E82" t="s">
        <v>1507</v>
      </c>
      <c r="F82" t="s">
        <v>1548</v>
      </c>
      <c r="G82" t="s">
        <v>1549</v>
      </c>
      <c r="H82" t="s">
        <v>2156</v>
      </c>
      <c r="I82" t="s">
        <v>4336</v>
      </c>
      <c r="J82" t="s">
        <v>2522</v>
      </c>
      <c r="K82" t="s">
        <v>2523</v>
      </c>
      <c r="M82">
        <v>50</v>
      </c>
      <c r="N82">
        <v>70</v>
      </c>
      <c r="O82" t="s">
        <v>2437</v>
      </c>
      <c r="P82" t="s">
        <v>2437</v>
      </c>
      <c r="R82" t="s">
        <v>2437</v>
      </c>
      <c r="T82" t="s">
        <v>2437</v>
      </c>
      <c r="U82" t="s">
        <v>2437</v>
      </c>
      <c r="V82" t="s">
        <v>2437</v>
      </c>
      <c r="Y82" t="s">
        <v>6948</v>
      </c>
      <c r="Z82" t="s">
        <v>6949</v>
      </c>
      <c r="AA82" t="s">
        <v>6950</v>
      </c>
      <c r="AB82" t="s">
        <v>6951</v>
      </c>
      <c r="AC82" t="s">
        <v>6952</v>
      </c>
      <c r="AD82" t="s">
        <v>6953</v>
      </c>
      <c r="AE82" t="s">
        <v>6954</v>
      </c>
      <c r="AF82" t="s">
        <v>6955</v>
      </c>
      <c r="AG82" t="s">
        <v>6956</v>
      </c>
      <c r="AH82" t="s">
        <v>6957</v>
      </c>
      <c r="AI82" t="s">
        <v>6958</v>
      </c>
      <c r="AJ82" t="s">
        <v>6959</v>
      </c>
      <c r="AR82" t="s">
        <v>4284</v>
      </c>
    </row>
    <row r="83" spans="1:44">
      <c r="A83">
        <v>11106579</v>
      </c>
      <c r="B83" t="s">
        <v>178</v>
      </c>
      <c r="C83" t="s">
        <v>996</v>
      </c>
      <c r="D83" t="s">
        <v>1552</v>
      </c>
      <c r="E83" t="s">
        <v>1553</v>
      </c>
      <c r="F83" t="s">
        <v>1550</v>
      </c>
      <c r="G83" t="s">
        <v>1551</v>
      </c>
      <c r="H83" t="s">
        <v>2157</v>
      </c>
      <c r="I83" t="s">
        <v>4364</v>
      </c>
      <c r="J83" t="s">
        <v>2621</v>
      </c>
      <c r="K83" t="s">
        <v>2622</v>
      </c>
      <c r="M83">
        <v>50</v>
      </c>
      <c r="N83">
        <v>70</v>
      </c>
      <c r="O83">
        <v>68</v>
      </c>
      <c r="P83">
        <v>105</v>
      </c>
      <c r="R83" t="s">
        <v>2437</v>
      </c>
      <c r="T83" t="s">
        <v>2623</v>
      </c>
      <c r="U83" t="s">
        <v>2624</v>
      </c>
      <c r="V83" t="s">
        <v>2437</v>
      </c>
      <c r="Y83" t="s">
        <v>6948</v>
      </c>
      <c r="Z83" t="s">
        <v>6949</v>
      </c>
      <c r="AA83" t="s">
        <v>6950</v>
      </c>
      <c r="AB83" t="s">
        <v>6951</v>
      </c>
      <c r="AC83" t="s">
        <v>6952</v>
      </c>
      <c r="AD83" t="s">
        <v>6953</v>
      </c>
      <c r="AE83" t="s">
        <v>6954</v>
      </c>
      <c r="AF83" t="s">
        <v>6955</v>
      </c>
      <c r="AG83" t="s">
        <v>6956</v>
      </c>
      <c r="AH83" t="s">
        <v>6957</v>
      </c>
      <c r="AI83" t="s">
        <v>6958</v>
      </c>
      <c r="AJ83" t="s">
        <v>6959</v>
      </c>
      <c r="AK83" t="s">
        <v>6969</v>
      </c>
      <c r="AL83" t="s">
        <v>6970</v>
      </c>
      <c r="AM83" t="s">
        <v>6971</v>
      </c>
      <c r="AN83" t="s">
        <v>6972</v>
      </c>
      <c r="AR83" t="s">
        <v>4284</v>
      </c>
    </row>
    <row r="84" spans="1:44">
      <c r="A84">
        <v>11106936</v>
      </c>
      <c r="B84" t="s">
        <v>179</v>
      </c>
      <c r="C84" t="s">
        <v>1095</v>
      </c>
      <c r="D84" t="s">
        <v>1554</v>
      </c>
      <c r="E84" t="s">
        <v>1555</v>
      </c>
      <c r="F84" t="s">
        <v>1496</v>
      </c>
      <c r="G84" t="s">
        <v>1497</v>
      </c>
      <c r="H84" t="s">
        <v>2158</v>
      </c>
      <c r="I84" t="s">
        <v>4365</v>
      </c>
      <c r="J84" t="s">
        <v>2625</v>
      </c>
      <c r="K84" t="s">
        <v>2626</v>
      </c>
      <c r="M84">
        <v>50</v>
      </c>
      <c r="N84">
        <v>70</v>
      </c>
      <c r="O84" t="s">
        <v>2437</v>
      </c>
      <c r="P84" t="s">
        <v>2437</v>
      </c>
      <c r="R84" t="s">
        <v>2437</v>
      </c>
      <c r="T84" t="s">
        <v>2437</v>
      </c>
      <c r="U84" t="s">
        <v>2437</v>
      </c>
      <c r="V84" t="s">
        <v>2627</v>
      </c>
      <c r="Y84" t="s">
        <v>6948</v>
      </c>
      <c r="Z84" t="s">
        <v>6949</v>
      </c>
      <c r="AA84" t="s">
        <v>6950</v>
      </c>
      <c r="AB84" t="s">
        <v>6951</v>
      </c>
      <c r="AC84" t="s">
        <v>6952</v>
      </c>
      <c r="AD84" t="s">
        <v>6953</v>
      </c>
      <c r="AE84" t="s">
        <v>6954</v>
      </c>
      <c r="AF84" t="s">
        <v>6955</v>
      </c>
      <c r="AG84" t="s">
        <v>6956</v>
      </c>
      <c r="AH84" t="s">
        <v>6957</v>
      </c>
      <c r="AI84" t="s">
        <v>6958</v>
      </c>
      <c r="AJ84" t="s">
        <v>6959</v>
      </c>
      <c r="AR84" t="s">
        <v>4284</v>
      </c>
    </row>
    <row r="85" spans="1:44">
      <c r="A85">
        <v>11106937</v>
      </c>
      <c r="B85" t="s">
        <v>180</v>
      </c>
      <c r="C85" t="s">
        <v>1096</v>
      </c>
      <c r="D85" t="s">
        <v>1556</v>
      </c>
      <c r="E85" t="s">
        <v>1557</v>
      </c>
      <c r="F85" t="s">
        <v>1496</v>
      </c>
      <c r="G85" t="s">
        <v>1497</v>
      </c>
      <c r="H85" t="s">
        <v>2159</v>
      </c>
      <c r="I85" t="s">
        <v>4366</v>
      </c>
      <c r="J85" t="s">
        <v>2628</v>
      </c>
      <c r="K85" t="s">
        <v>2629</v>
      </c>
      <c r="M85">
        <v>50</v>
      </c>
      <c r="N85">
        <v>70</v>
      </c>
      <c r="O85" t="s">
        <v>2437</v>
      </c>
      <c r="P85" t="s">
        <v>2437</v>
      </c>
      <c r="R85" t="s">
        <v>2437</v>
      </c>
      <c r="T85" t="s">
        <v>2437</v>
      </c>
      <c r="U85" t="s">
        <v>2437</v>
      </c>
      <c r="V85" t="s">
        <v>2627</v>
      </c>
      <c r="Y85" t="s">
        <v>6948</v>
      </c>
      <c r="Z85" t="s">
        <v>6949</v>
      </c>
      <c r="AA85" t="s">
        <v>6950</v>
      </c>
      <c r="AB85" t="s">
        <v>6951</v>
      </c>
      <c r="AC85" t="s">
        <v>6952</v>
      </c>
      <c r="AD85" t="s">
        <v>6953</v>
      </c>
      <c r="AE85" t="s">
        <v>6954</v>
      </c>
      <c r="AF85" t="s">
        <v>6955</v>
      </c>
      <c r="AG85" t="s">
        <v>6956</v>
      </c>
      <c r="AH85" t="s">
        <v>6957</v>
      </c>
      <c r="AI85" t="s">
        <v>6958</v>
      </c>
      <c r="AJ85" t="s">
        <v>6959</v>
      </c>
      <c r="AR85" t="s">
        <v>4284</v>
      </c>
    </row>
    <row r="86" spans="1:44">
      <c r="A86">
        <v>11106938</v>
      </c>
      <c r="B86" t="s">
        <v>181</v>
      </c>
      <c r="C86" t="s">
        <v>1097</v>
      </c>
      <c r="D86" t="s">
        <v>1558</v>
      </c>
      <c r="E86" t="s">
        <v>1559</v>
      </c>
      <c r="F86" t="s">
        <v>1496</v>
      </c>
      <c r="G86" t="s">
        <v>1497</v>
      </c>
      <c r="H86" t="s">
        <v>2103</v>
      </c>
      <c r="I86" t="s">
        <v>4327</v>
      </c>
      <c r="J86" t="s">
        <v>2630</v>
      </c>
      <c r="K86" t="s">
        <v>2631</v>
      </c>
      <c r="M86">
        <v>50</v>
      </c>
      <c r="N86">
        <v>70</v>
      </c>
      <c r="O86" t="s">
        <v>2437</v>
      </c>
      <c r="P86" t="s">
        <v>2437</v>
      </c>
      <c r="R86" t="s">
        <v>2437</v>
      </c>
      <c r="T86" t="s">
        <v>2437</v>
      </c>
      <c r="U86" t="s">
        <v>2437</v>
      </c>
      <c r="V86" t="s">
        <v>2627</v>
      </c>
      <c r="Y86" t="s">
        <v>6948</v>
      </c>
      <c r="Z86" t="s">
        <v>6949</v>
      </c>
      <c r="AA86" t="s">
        <v>6950</v>
      </c>
      <c r="AB86" t="s">
        <v>6951</v>
      </c>
      <c r="AC86" t="s">
        <v>6952</v>
      </c>
      <c r="AD86" t="s">
        <v>6953</v>
      </c>
      <c r="AE86" t="s">
        <v>6954</v>
      </c>
      <c r="AF86" t="s">
        <v>6955</v>
      </c>
      <c r="AG86" t="s">
        <v>6956</v>
      </c>
      <c r="AH86" t="s">
        <v>6957</v>
      </c>
      <c r="AI86" t="s">
        <v>6958</v>
      </c>
      <c r="AJ86" t="s">
        <v>6959</v>
      </c>
      <c r="AR86" t="s">
        <v>4284</v>
      </c>
    </row>
    <row r="87" spans="1:44">
      <c r="A87">
        <v>11106943</v>
      </c>
      <c r="B87" t="s">
        <v>182</v>
      </c>
      <c r="C87" t="s">
        <v>1103</v>
      </c>
      <c r="D87" t="s">
        <v>1558</v>
      </c>
      <c r="E87" t="s">
        <v>1559</v>
      </c>
      <c r="F87" t="s">
        <v>1496</v>
      </c>
      <c r="G87" t="s">
        <v>1497</v>
      </c>
      <c r="H87" t="s">
        <v>2160</v>
      </c>
      <c r="I87" t="s">
        <v>4367</v>
      </c>
      <c r="J87" t="s">
        <v>2632</v>
      </c>
      <c r="K87" t="s">
        <v>2633</v>
      </c>
      <c r="M87">
        <v>50</v>
      </c>
      <c r="N87">
        <v>70</v>
      </c>
      <c r="O87" t="s">
        <v>2437</v>
      </c>
      <c r="P87" t="s">
        <v>2437</v>
      </c>
      <c r="R87" t="s">
        <v>2437</v>
      </c>
      <c r="T87" t="s">
        <v>2437</v>
      </c>
      <c r="U87" t="s">
        <v>2437</v>
      </c>
      <c r="V87" t="s">
        <v>2627</v>
      </c>
      <c r="Y87" t="s">
        <v>6948</v>
      </c>
      <c r="Z87" t="s">
        <v>6949</v>
      </c>
      <c r="AA87" t="s">
        <v>6950</v>
      </c>
      <c r="AB87" t="s">
        <v>6951</v>
      </c>
      <c r="AC87" t="s">
        <v>6952</v>
      </c>
      <c r="AD87" t="s">
        <v>6953</v>
      </c>
      <c r="AE87" t="s">
        <v>6954</v>
      </c>
      <c r="AF87" t="s">
        <v>6955</v>
      </c>
      <c r="AG87" t="s">
        <v>6956</v>
      </c>
      <c r="AH87" t="s">
        <v>6957</v>
      </c>
      <c r="AI87" t="s">
        <v>6958</v>
      </c>
      <c r="AJ87" t="s">
        <v>6959</v>
      </c>
      <c r="AR87" t="s">
        <v>4284</v>
      </c>
    </row>
    <row r="88" spans="1:44">
      <c r="A88">
        <v>11101848</v>
      </c>
      <c r="B88" t="s">
        <v>183</v>
      </c>
      <c r="C88" t="s">
        <v>1104</v>
      </c>
      <c r="D88" t="s">
        <v>1510</v>
      </c>
      <c r="E88" t="s">
        <v>1511</v>
      </c>
      <c r="F88" t="s">
        <v>1512</v>
      </c>
      <c r="G88" t="s">
        <v>1513</v>
      </c>
      <c r="H88" t="s">
        <v>2161</v>
      </c>
      <c r="I88" t="s">
        <v>4368</v>
      </c>
      <c r="J88" t="s">
        <v>2634</v>
      </c>
      <c r="K88" t="s">
        <v>2635</v>
      </c>
      <c r="M88">
        <v>50</v>
      </c>
      <c r="N88">
        <v>70</v>
      </c>
      <c r="O88" t="s">
        <v>2437</v>
      </c>
      <c r="P88" t="s">
        <v>2437</v>
      </c>
      <c r="R88" t="s">
        <v>2437</v>
      </c>
      <c r="T88" t="s">
        <v>2437</v>
      </c>
      <c r="U88" t="s">
        <v>2437</v>
      </c>
      <c r="V88" t="s">
        <v>2437</v>
      </c>
      <c r="Y88" t="s">
        <v>6948</v>
      </c>
      <c r="Z88" t="s">
        <v>6949</v>
      </c>
      <c r="AA88" t="s">
        <v>6950</v>
      </c>
      <c r="AB88" t="s">
        <v>6951</v>
      </c>
      <c r="AC88" t="s">
        <v>6952</v>
      </c>
      <c r="AD88" t="s">
        <v>6953</v>
      </c>
      <c r="AE88" t="s">
        <v>6954</v>
      </c>
      <c r="AF88" t="s">
        <v>6955</v>
      </c>
      <c r="AG88" t="s">
        <v>6956</v>
      </c>
      <c r="AH88" t="s">
        <v>6957</v>
      </c>
      <c r="AI88" t="s">
        <v>6958</v>
      </c>
      <c r="AJ88" t="s">
        <v>6959</v>
      </c>
      <c r="AR88" t="s">
        <v>4284</v>
      </c>
    </row>
    <row r="89" spans="1:44">
      <c r="A89">
        <v>11103430</v>
      </c>
      <c r="B89" t="s">
        <v>184</v>
      </c>
      <c r="C89" t="s">
        <v>1105</v>
      </c>
      <c r="D89" t="s">
        <v>1560</v>
      </c>
      <c r="E89" t="s">
        <v>1561</v>
      </c>
      <c r="F89" t="s">
        <v>1500</v>
      </c>
      <c r="G89" t="s">
        <v>1501</v>
      </c>
      <c r="H89" t="s">
        <v>2098</v>
      </c>
      <c r="I89" t="s">
        <v>4323</v>
      </c>
      <c r="J89" t="s">
        <v>2636</v>
      </c>
      <c r="K89" t="s">
        <v>2637</v>
      </c>
      <c r="M89" t="e">
        <v>#N/A</v>
      </c>
      <c r="N89" t="e">
        <v>#N/A</v>
      </c>
      <c r="O89" t="e">
        <v>#N/A</v>
      </c>
      <c r="P89" t="e">
        <v>#N/A</v>
      </c>
      <c r="R89" t="e">
        <v>#N/A</v>
      </c>
      <c r="T89" t="s">
        <v>2437</v>
      </c>
      <c r="U89" t="s">
        <v>2437</v>
      </c>
      <c r="V89" t="s">
        <v>2437</v>
      </c>
      <c r="Y89" t="s">
        <v>6948</v>
      </c>
      <c r="Z89" t="s">
        <v>6949</v>
      </c>
      <c r="AA89" t="s">
        <v>6950</v>
      </c>
      <c r="AB89" t="s">
        <v>6951</v>
      </c>
      <c r="AC89" t="s">
        <v>6952</v>
      </c>
      <c r="AD89" t="s">
        <v>6953</v>
      </c>
      <c r="AR89" t="s">
        <v>4284</v>
      </c>
    </row>
    <row r="90" spans="1:44">
      <c r="A90">
        <v>11103431</v>
      </c>
      <c r="B90" t="s">
        <v>185</v>
      </c>
      <c r="C90" t="s">
        <v>1106</v>
      </c>
      <c r="D90" t="s">
        <v>1560</v>
      </c>
      <c r="E90" t="s">
        <v>1561</v>
      </c>
      <c r="F90" t="s">
        <v>1500</v>
      </c>
      <c r="G90" t="s">
        <v>1501</v>
      </c>
      <c r="H90" t="s">
        <v>2099</v>
      </c>
      <c r="I90" t="s">
        <v>4369</v>
      </c>
      <c r="J90" t="s">
        <v>2638</v>
      </c>
      <c r="K90" t="s">
        <v>2639</v>
      </c>
      <c r="M90" t="e">
        <v>#N/A</v>
      </c>
      <c r="N90" t="e">
        <v>#N/A</v>
      </c>
      <c r="O90" t="e">
        <v>#N/A</v>
      </c>
      <c r="P90" t="e">
        <v>#N/A</v>
      </c>
      <c r="R90" t="e">
        <v>#N/A</v>
      </c>
      <c r="T90" t="s">
        <v>2437</v>
      </c>
      <c r="U90" t="s">
        <v>2437</v>
      </c>
      <c r="V90" t="s">
        <v>2437</v>
      </c>
      <c r="Y90" t="s">
        <v>6948</v>
      </c>
      <c r="Z90" t="s">
        <v>6949</v>
      </c>
      <c r="AA90" t="s">
        <v>6950</v>
      </c>
      <c r="AB90" t="s">
        <v>6951</v>
      </c>
      <c r="AC90" t="s">
        <v>6952</v>
      </c>
      <c r="AD90" t="s">
        <v>6953</v>
      </c>
      <c r="AR90" t="s">
        <v>4284</v>
      </c>
    </row>
    <row r="91" spans="1:44">
      <c r="A91">
        <v>11103432</v>
      </c>
      <c r="B91" t="s">
        <v>186</v>
      </c>
      <c r="C91" t="s">
        <v>1107</v>
      </c>
      <c r="D91" t="s">
        <v>1560</v>
      </c>
      <c r="E91" t="s">
        <v>1561</v>
      </c>
      <c r="F91" t="s">
        <v>1500</v>
      </c>
      <c r="G91" t="s">
        <v>1501</v>
      </c>
      <c r="H91" t="s">
        <v>2100</v>
      </c>
      <c r="I91" t="s">
        <v>4324</v>
      </c>
      <c r="J91" t="s">
        <v>2640</v>
      </c>
      <c r="K91" t="s">
        <v>2641</v>
      </c>
      <c r="M91" t="e">
        <v>#N/A</v>
      </c>
      <c r="N91" t="e">
        <v>#N/A</v>
      </c>
      <c r="O91" t="e">
        <v>#N/A</v>
      </c>
      <c r="P91" t="e">
        <v>#N/A</v>
      </c>
      <c r="R91" t="e">
        <v>#N/A</v>
      </c>
      <c r="T91" t="s">
        <v>2437</v>
      </c>
      <c r="U91" t="s">
        <v>2437</v>
      </c>
      <c r="V91" t="s">
        <v>2437</v>
      </c>
      <c r="Y91" t="s">
        <v>6948</v>
      </c>
      <c r="Z91" t="s">
        <v>6949</v>
      </c>
      <c r="AA91" t="s">
        <v>6950</v>
      </c>
      <c r="AB91" t="s">
        <v>6951</v>
      </c>
      <c r="AC91" t="s">
        <v>6952</v>
      </c>
      <c r="AD91" t="s">
        <v>6953</v>
      </c>
      <c r="AR91" t="s">
        <v>4284</v>
      </c>
    </row>
    <row r="92" spans="1:44">
      <c r="A92">
        <v>11107430</v>
      </c>
      <c r="B92" t="s">
        <v>187</v>
      </c>
      <c r="C92" t="s">
        <v>965</v>
      </c>
      <c r="D92" t="s">
        <v>1562</v>
      </c>
      <c r="E92" t="s">
        <v>1563</v>
      </c>
      <c r="F92" t="s">
        <v>1564</v>
      </c>
      <c r="G92" t="s">
        <v>1565</v>
      </c>
      <c r="H92" t="s">
        <v>2162</v>
      </c>
      <c r="I92" t="s">
        <v>4370</v>
      </c>
      <c r="J92" t="s">
        <v>2642</v>
      </c>
      <c r="K92" t="s">
        <v>2643</v>
      </c>
      <c r="M92">
        <v>50</v>
      </c>
      <c r="N92">
        <v>70</v>
      </c>
      <c r="O92" t="s">
        <v>2437</v>
      </c>
      <c r="P92" t="s">
        <v>2437</v>
      </c>
      <c r="R92" t="s">
        <v>2437</v>
      </c>
      <c r="T92" t="s">
        <v>2437</v>
      </c>
      <c r="U92" t="s">
        <v>2437</v>
      </c>
      <c r="V92" t="s">
        <v>2437</v>
      </c>
      <c r="Y92" t="s">
        <v>6948</v>
      </c>
      <c r="Z92" t="s">
        <v>6949</v>
      </c>
      <c r="AA92" t="s">
        <v>6950</v>
      </c>
      <c r="AB92" t="s">
        <v>6951</v>
      </c>
      <c r="AC92" t="s">
        <v>6952</v>
      </c>
      <c r="AD92" t="s">
        <v>6953</v>
      </c>
      <c r="AE92" t="s">
        <v>6954</v>
      </c>
      <c r="AF92" t="s">
        <v>6955</v>
      </c>
      <c r="AG92" t="s">
        <v>6956</v>
      </c>
      <c r="AH92" t="s">
        <v>6957</v>
      </c>
      <c r="AI92" t="s">
        <v>6958</v>
      </c>
      <c r="AJ92" t="s">
        <v>6959</v>
      </c>
      <c r="AR92" t="s">
        <v>4284</v>
      </c>
    </row>
    <row r="93" spans="1:44">
      <c r="A93">
        <v>11110464</v>
      </c>
      <c r="B93" t="s">
        <v>188</v>
      </c>
      <c r="C93" t="s">
        <v>1105</v>
      </c>
      <c r="D93" t="s">
        <v>1566</v>
      </c>
      <c r="E93" t="s">
        <v>1561</v>
      </c>
      <c r="F93" t="s">
        <v>1500</v>
      </c>
      <c r="G93" t="s">
        <v>1501</v>
      </c>
      <c r="H93" t="s">
        <v>2098</v>
      </c>
      <c r="I93" t="s">
        <v>4323</v>
      </c>
      <c r="J93" t="s">
        <v>2636</v>
      </c>
      <c r="K93" t="s">
        <v>2637</v>
      </c>
      <c r="M93" t="e">
        <v>#N/A</v>
      </c>
      <c r="N93" t="e">
        <v>#N/A</v>
      </c>
      <c r="O93" t="e">
        <v>#N/A</v>
      </c>
      <c r="P93" t="e">
        <v>#N/A</v>
      </c>
      <c r="R93" t="e">
        <v>#N/A</v>
      </c>
      <c r="T93" t="s">
        <v>2437</v>
      </c>
      <c r="U93" t="s">
        <v>2437</v>
      </c>
      <c r="V93" t="s">
        <v>2437</v>
      </c>
      <c r="Y93" t="s">
        <v>6948</v>
      </c>
      <c r="Z93" t="s">
        <v>6949</v>
      </c>
      <c r="AA93" t="s">
        <v>6950</v>
      </c>
      <c r="AB93" t="s">
        <v>6951</v>
      </c>
      <c r="AC93" t="s">
        <v>6952</v>
      </c>
      <c r="AD93" t="s">
        <v>6953</v>
      </c>
      <c r="AR93" t="s">
        <v>4284</v>
      </c>
    </row>
    <row r="94" spans="1:44">
      <c r="A94">
        <v>11110465</v>
      </c>
      <c r="B94" t="s">
        <v>189</v>
      </c>
      <c r="C94" t="s">
        <v>1106</v>
      </c>
      <c r="D94" t="s">
        <v>1566</v>
      </c>
      <c r="E94" t="s">
        <v>1561</v>
      </c>
      <c r="F94" t="s">
        <v>1500</v>
      </c>
      <c r="G94" t="s">
        <v>1501</v>
      </c>
      <c r="H94" t="s">
        <v>2099</v>
      </c>
      <c r="I94" t="s">
        <v>4369</v>
      </c>
      <c r="J94" t="s">
        <v>2638</v>
      </c>
      <c r="K94" t="s">
        <v>2639</v>
      </c>
      <c r="M94" t="e">
        <v>#N/A</v>
      </c>
      <c r="N94" t="e">
        <v>#N/A</v>
      </c>
      <c r="O94" t="e">
        <v>#N/A</v>
      </c>
      <c r="P94" t="e">
        <v>#N/A</v>
      </c>
      <c r="R94" t="e">
        <v>#N/A</v>
      </c>
      <c r="T94" t="s">
        <v>2437</v>
      </c>
      <c r="U94" t="s">
        <v>2437</v>
      </c>
      <c r="V94" t="s">
        <v>2437</v>
      </c>
      <c r="Y94" t="s">
        <v>6948</v>
      </c>
      <c r="Z94" t="s">
        <v>6949</v>
      </c>
      <c r="AA94" t="s">
        <v>6950</v>
      </c>
      <c r="AB94" t="s">
        <v>6951</v>
      </c>
      <c r="AC94" t="s">
        <v>6952</v>
      </c>
      <c r="AD94" t="s">
        <v>6953</v>
      </c>
      <c r="AR94" t="s">
        <v>4284</v>
      </c>
    </row>
    <row r="95" spans="1:44">
      <c r="A95">
        <v>11110466</v>
      </c>
      <c r="B95" t="s">
        <v>190</v>
      </c>
      <c r="C95" t="s">
        <v>1107</v>
      </c>
      <c r="D95" t="s">
        <v>1566</v>
      </c>
      <c r="E95" t="s">
        <v>1561</v>
      </c>
      <c r="F95" t="s">
        <v>1500</v>
      </c>
      <c r="G95" t="s">
        <v>1501</v>
      </c>
      <c r="H95" t="s">
        <v>2100</v>
      </c>
      <c r="I95" t="s">
        <v>4324</v>
      </c>
      <c r="J95" t="s">
        <v>2640</v>
      </c>
      <c r="K95" t="s">
        <v>2641</v>
      </c>
      <c r="M95" t="e">
        <v>#N/A</v>
      </c>
      <c r="N95" t="e">
        <v>#N/A</v>
      </c>
      <c r="O95" t="e">
        <v>#N/A</v>
      </c>
      <c r="P95" t="e">
        <v>#N/A</v>
      </c>
      <c r="R95" t="e">
        <v>#N/A</v>
      </c>
      <c r="T95" t="s">
        <v>2437</v>
      </c>
      <c r="U95" t="s">
        <v>2437</v>
      </c>
      <c r="V95" t="s">
        <v>2437</v>
      </c>
      <c r="Y95" t="s">
        <v>6948</v>
      </c>
      <c r="Z95" t="s">
        <v>6949</v>
      </c>
      <c r="AA95" t="s">
        <v>6950</v>
      </c>
      <c r="AB95" t="s">
        <v>6951</v>
      </c>
      <c r="AC95" t="s">
        <v>6952</v>
      </c>
      <c r="AD95" t="s">
        <v>6953</v>
      </c>
      <c r="AR95" t="s">
        <v>4284</v>
      </c>
    </row>
    <row r="96" spans="1:44">
      <c r="A96">
        <v>11110214</v>
      </c>
      <c r="B96" t="s">
        <v>191</v>
      </c>
      <c r="C96" t="s">
        <v>1111</v>
      </c>
      <c r="D96" t="s">
        <v>1567</v>
      </c>
      <c r="E96" t="s">
        <v>1568</v>
      </c>
      <c r="F96" t="s">
        <v>1517</v>
      </c>
      <c r="G96" t="s">
        <v>1518</v>
      </c>
      <c r="H96" t="s">
        <v>2116</v>
      </c>
      <c r="I96" t="s">
        <v>4371</v>
      </c>
      <c r="J96" t="s">
        <v>2644</v>
      </c>
      <c r="K96" t="s">
        <v>2645</v>
      </c>
      <c r="M96">
        <v>60</v>
      </c>
      <c r="N96">
        <v>70</v>
      </c>
      <c r="O96" t="s">
        <v>2437</v>
      </c>
      <c r="P96" t="s">
        <v>2437</v>
      </c>
      <c r="R96" t="s">
        <v>2437</v>
      </c>
      <c r="T96" t="s">
        <v>2437</v>
      </c>
      <c r="U96" t="s">
        <v>2437</v>
      </c>
      <c r="V96" t="s">
        <v>2437</v>
      </c>
      <c r="Y96" t="s">
        <v>6948</v>
      </c>
      <c r="Z96" t="s">
        <v>6949</v>
      </c>
      <c r="AA96" t="s">
        <v>6950</v>
      </c>
      <c r="AB96" t="s">
        <v>6951</v>
      </c>
      <c r="AC96" t="s">
        <v>6952</v>
      </c>
      <c r="AD96" t="s">
        <v>6953</v>
      </c>
      <c r="AE96" t="s">
        <v>6961</v>
      </c>
      <c r="AF96" t="s">
        <v>6962</v>
      </c>
      <c r="AG96" t="s">
        <v>6963</v>
      </c>
      <c r="AH96" t="s">
        <v>6964</v>
      </c>
      <c r="AI96" t="s">
        <v>6965</v>
      </c>
      <c r="AJ96" t="s">
        <v>6966</v>
      </c>
      <c r="AR96" t="s">
        <v>4284</v>
      </c>
    </row>
    <row r="97" spans="1:44">
      <c r="A97">
        <v>11111150</v>
      </c>
      <c r="B97" t="s">
        <v>192</v>
      </c>
      <c r="C97" t="s">
        <v>1113</v>
      </c>
      <c r="D97" t="s">
        <v>1571</v>
      </c>
      <c r="E97" t="s">
        <v>1572</v>
      </c>
      <c r="F97" t="s">
        <v>1486</v>
      </c>
      <c r="G97" t="s">
        <v>1487</v>
      </c>
      <c r="H97" t="s">
        <v>2163</v>
      </c>
      <c r="I97" t="s">
        <v>4372</v>
      </c>
      <c r="J97" t="s">
        <v>2648</v>
      </c>
      <c r="K97" t="s">
        <v>2649</v>
      </c>
      <c r="M97">
        <v>50</v>
      </c>
      <c r="N97">
        <v>70</v>
      </c>
      <c r="O97" t="s">
        <v>2437</v>
      </c>
      <c r="P97" t="s">
        <v>2437</v>
      </c>
      <c r="R97" t="s">
        <v>2437</v>
      </c>
      <c r="T97" t="s">
        <v>2437</v>
      </c>
      <c r="U97" t="s">
        <v>2437</v>
      </c>
      <c r="V97" t="s">
        <v>2437</v>
      </c>
      <c r="Y97" t="s">
        <v>6948</v>
      </c>
      <c r="Z97" t="s">
        <v>6949</v>
      </c>
      <c r="AA97" t="s">
        <v>6950</v>
      </c>
      <c r="AB97" t="s">
        <v>6951</v>
      </c>
      <c r="AC97" t="s">
        <v>6952</v>
      </c>
      <c r="AD97" t="s">
        <v>6953</v>
      </c>
      <c r="AE97" t="s">
        <v>6954</v>
      </c>
      <c r="AF97" t="s">
        <v>6955</v>
      </c>
      <c r="AG97" t="s">
        <v>6956</v>
      </c>
      <c r="AH97" t="s">
        <v>6957</v>
      </c>
      <c r="AI97" t="s">
        <v>6958</v>
      </c>
      <c r="AJ97" t="s">
        <v>6959</v>
      </c>
      <c r="AR97" t="s">
        <v>4284</v>
      </c>
    </row>
    <row r="98" spans="1:44">
      <c r="A98">
        <v>11111171</v>
      </c>
      <c r="B98" t="s">
        <v>193</v>
      </c>
      <c r="C98" t="s">
        <v>1117</v>
      </c>
      <c r="D98" t="s">
        <v>1576</v>
      </c>
      <c r="E98" t="s">
        <v>1577</v>
      </c>
      <c r="F98" t="s">
        <v>1578</v>
      </c>
      <c r="G98" t="s">
        <v>1579</v>
      </c>
      <c r="H98" t="s">
        <v>2164</v>
      </c>
      <c r="I98" t="s">
        <v>4373</v>
      </c>
      <c r="J98" t="s">
        <v>2650</v>
      </c>
      <c r="K98" t="s">
        <v>2651</v>
      </c>
      <c r="M98">
        <v>50</v>
      </c>
      <c r="N98">
        <v>70</v>
      </c>
      <c r="O98" t="s">
        <v>2437</v>
      </c>
      <c r="P98" t="s">
        <v>2437</v>
      </c>
      <c r="R98" t="s">
        <v>2437</v>
      </c>
      <c r="T98" t="s">
        <v>2437</v>
      </c>
      <c r="U98" t="s">
        <v>2437</v>
      </c>
      <c r="V98" t="s">
        <v>2437</v>
      </c>
      <c r="Y98" t="s">
        <v>6948</v>
      </c>
      <c r="Z98" t="s">
        <v>6949</v>
      </c>
      <c r="AA98" t="s">
        <v>6950</v>
      </c>
      <c r="AB98" t="s">
        <v>6951</v>
      </c>
      <c r="AC98" t="s">
        <v>6952</v>
      </c>
      <c r="AD98" t="s">
        <v>6953</v>
      </c>
      <c r="AE98" t="s">
        <v>6954</v>
      </c>
      <c r="AF98" t="s">
        <v>6955</v>
      </c>
      <c r="AG98" t="s">
        <v>6956</v>
      </c>
      <c r="AH98" t="s">
        <v>6957</v>
      </c>
      <c r="AI98" t="s">
        <v>6958</v>
      </c>
      <c r="AJ98" t="s">
        <v>6959</v>
      </c>
      <c r="AR98" t="s">
        <v>4284</v>
      </c>
    </row>
    <row r="99" spans="1:44">
      <c r="A99">
        <v>11110189</v>
      </c>
      <c r="B99" t="s">
        <v>194</v>
      </c>
      <c r="C99" t="s">
        <v>1121</v>
      </c>
      <c r="D99" t="s">
        <v>1580</v>
      </c>
      <c r="E99" t="s">
        <v>1581</v>
      </c>
      <c r="F99" t="s">
        <v>1515</v>
      </c>
      <c r="G99" t="s">
        <v>36</v>
      </c>
      <c r="H99" t="s">
        <v>2165</v>
      </c>
      <c r="I99" t="s">
        <v>4374</v>
      </c>
      <c r="J99" t="s">
        <v>2652</v>
      </c>
      <c r="K99" t="s">
        <v>2653</v>
      </c>
      <c r="M99">
        <v>60</v>
      </c>
      <c r="N99">
        <v>70</v>
      </c>
      <c r="O99" t="s">
        <v>2437</v>
      </c>
      <c r="P99" t="s">
        <v>2437</v>
      </c>
      <c r="R99" t="s">
        <v>2437</v>
      </c>
      <c r="T99" t="s">
        <v>2437</v>
      </c>
      <c r="U99" t="s">
        <v>2437</v>
      </c>
      <c r="V99" t="s">
        <v>2437</v>
      </c>
      <c r="Y99" t="s">
        <v>6948</v>
      </c>
      <c r="Z99" t="s">
        <v>6949</v>
      </c>
      <c r="AA99" t="s">
        <v>6950</v>
      </c>
      <c r="AB99" t="s">
        <v>6951</v>
      </c>
      <c r="AC99" t="s">
        <v>6952</v>
      </c>
      <c r="AD99" t="s">
        <v>6953</v>
      </c>
      <c r="AE99" t="s">
        <v>6961</v>
      </c>
      <c r="AF99" t="s">
        <v>6962</v>
      </c>
      <c r="AG99" t="s">
        <v>6963</v>
      </c>
      <c r="AH99" t="s">
        <v>6964</v>
      </c>
      <c r="AI99" t="s">
        <v>6965</v>
      </c>
      <c r="AJ99" t="s">
        <v>6966</v>
      </c>
      <c r="AR99" t="s">
        <v>4284</v>
      </c>
    </row>
    <row r="100" spans="1:44">
      <c r="A100">
        <v>11110193</v>
      </c>
      <c r="B100" t="s">
        <v>195</v>
      </c>
      <c r="C100" t="s">
        <v>1124</v>
      </c>
      <c r="D100" t="s">
        <v>1582</v>
      </c>
      <c r="E100" t="s">
        <v>1583</v>
      </c>
      <c r="F100" t="s">
        <v>1517</v>
      </c>
      <c r="G100" t="s">
        <v>1518</v>
      </c>
      <c r="H100" t="s">
        <v>2166</v>
      </c>
      <c r="I100" t="s">
        <v>4375</v>
      </c>
      <c r="J100" t="s">
        <v>2654</v>
      </c>
      <c r="K100" t="s">
        <v>2655</v>
      </c>
      <c r="M100">
        <v>60</v>
      </c>
      <c r="N100">
        <v>70</v>
      </c>
      <c r="O100" t="s">
        <v>2437</v>
      </c>
      <c r="P100" t="s">
        <v>2437</v>
      </c>
      <c r="R100" t="s">
        <v>2437</v>
      </c>
      <c r="T100" t="s">
        <v>2437</v>
      </c>
      <c r="U100" t="s">
        <v>2437</v>
      </c>
      <c r="V100" t="s">
        <v>2437</v>
      </c>
      <c r="Y100" t="s">
        <v>6948</v>
      </c>
      <c r="Z100" t="s">
        <v>6949</v>
      </c>
      <c r="AA100" t="s">
        <v>6950</v>
      </c>
      <c r="AB100" t="s">
        <v>6951</v>
      </c>
      <c r="AC100" t="s">
        <v>6952</v>
      </c>
      <c r="AD100" t="s">
        <v>6953</v>
      </c>
      <c r="AE100" t="s">
        <v>6961</v>
      </c>
      <c r="AF100" t="s">
        <v>6962</v>
      </c>
      <c r="AG100" t="s">
        <v>6963</v>
      </c>
      <c r="AH100" t="s">
        <v>6964</v>
      </c>
      <c r="AI100" t="s">
        <v>6965</v>
      </c>
      <c r="AJ100" t="s">
        <v>6966</v>
      </c>
      <c r="AR100" t="s">
        <v>4284</v>
      </c>
    </row>
    <row r="101" spans="1:44">
      <c r="A101">
        <v>11110196</v>
      </c>
      <c r="B101" t="s">
        <v>196</v>
      </c>
      <c r="C101" t="s">
        <v>1125</v>
      </c>
      <c r="D101" t="s">
        <v>1584</v>
      </c>
      <c r="E101" t="s">
        <v>1585</v>
      </c>
      <c r="F101" t="s">
        <v>1586</v>
      </c>
      <c r="G101" t="s">
        <v>1587</v>
      </c>
      <c r="H101" t="s">
        <v>2167</v>
      </c>
      <c r="I101" t="s">
        <v>4376</v>
      </c>
      <c r="J101" t="s">
        <v>2656</v>
      </c>
      <c r="K101" t="s">
        <v>2657</v>
      </c>
      <c r="M101">
        <v>60</v>
      </c>
      <c r="N101">
        <v>70</v>
      </c>
      <c r="O101" t="s">
        <v>2437</v>
      </c>
      <c r="P101" t="s">
        <v>2437</v>
      </c>
      <c r="R101" t="s">
        <v>2437</v>
      </c>
      <c r="T101" t="s">
        <v>2437</v>
      </c>
      <c r="U101" t="s">
        <v>2437</v>
      </c>
      <c r="V101" t="s">
        <v>2437</v>
      </c>
      <c r="Y101" t="s">
        <v>6948</v>
      </c>
      <c r="Z101" t="s">
        <v>6949</v>
      </c>
      <c r="AA101" t="s">
        <v>6950</v>
      </c>
      <c r="AB101" t="s">
        <v>6951</v>
      </c>
      <c r="AC101" t="s">
        <v>6952</v>
      </c>
      <c r="AD101" t="s">
        <v>6953</v>
      </c>
      <c r="AE101" t="s">
        <v>6961</v>
      </c>
      <c r="AF101" t="s">
        <v>6962</v>
      </c>
      <c r="AG101" t="s">
        <v>6963</v>
      </c>
      <c r="AH101" t="s">
        <v>6964</v>
      </c>
      <c r="AI101" t="s">
        <v>6965</v>
      </c>
      <c r="AJ101" t="s">
        <v>6966</v>
      </c>
      <c r="AR101" t="s">
        <v>4284</v>
      </c>
    </row>
    <row r="102" spans="1:44">
      <c r="A102">
        <v>11110199</v>
      </c>
      <c r="B102" t="s">
        <v>197</v>
      </c>
      <c r="C102" t="s">
        <v>1127</v>
      </c>
      <c r="D102" t="s">
        <v>1584</v>
      </c>
      <c r="E102" t="s">
        <v>1585</v>
      </c>
      <c r="F102" t="s">
        <v>1586</v>
      </c>
      <c r="G102" t="s">
        <v>1587</v>
      </c>
      <c r="H102" t="s">
        <v>2168</v>
      </c>
      <c r="I102" t="s">
        <v>4377</v>
      </c>
      <c r="J102" t="s">
        <v>2658</v>
      </c>
      <c r="K102" t="s">
        <v>2659</v>
      </c>
      <c r="M102">
        <v>60</v>
      </c>
      <c r="N102">
        <v>70</v>
      </c>
      <c r="O102" t="s">
        <v>2437</v>
      </c>
      <c r="P102" t="s">
        <v>2437</v>
      </c>
      <c r="R102" t="s">
        <v>2437</v>
      </c>
      <c r="T102" t="s">
        <v>2437</v>
      </c>
      <c r="U102" t="s">
        <v>2437</v>
      </c>
      <c r="V102" t="s">
        <v>2437</v>
      </c>
      <c r="Y102" t="s">
        <v>6948</v>
      </c>
      <c r="Z102" t="s">
        <v>6949</v>
      </c>
      <c r="AA102" t="s">
        <v>6950</v>
      </c>
      <c r="AB102" t="s">
        <v>6951</v>
      </c>
      <c r="AC102" t="s">
        <v>6952</v>
      </c>
      <c r="AD102" t="s">
        <v>6953</v>
      </c>
      <c r="AE102" t="s">
        <v>6961</v>
      </c>
      <c r="AF102" t="s">
        <v>6962</v>
      </c>
      <c r="AG102" t="s">
        <v>6963</v>
      </c>
      <c r="AH102" t="s">
        <v>6964</v>
      </c>
      <c r="AI102" t="s">
        <v>6965</v>
      </c>
      <c r="AJ102" t="s">
        <v>6966</v>
      </c>
      <c r="AR102" t="s">
        <v>4284</v>
      </c>
    </row>
    <row r="103" spans="1:44">
      <c r="A103">
        <v>11110203</v>
      </c>
      <c r="B103" t="s">
        <v>198</v>
      </c>
      <c r="C103" t="s">
        <v>1128</v>
      </c>
      <c r="D103" t="s">
        <v>1474</v>
      </c>
      <c r="E103" t="s">
        <v>1475</v>
      </c>
      <c r="F103" t="s">
        <v>1476</v>
      </c>
      <c r="G103" t="s">
        <v>1477</v>
      </c>
      <c r="H103" t="s">
        <v>2121</v>
      </c>
      <c r="I103" t="s">
        <v>4378</v>
      </c>
      <c r="J103" t="s">
        <v>2660</v>
      </c>
      <c r="K103" t="s">
        <v>2661</v>
      </c>
      <c r="M103">
        <v>60</v>
      </c>
      <c r="N103">
        <v>70</v>
      </c>
      <c r="O103" t="s">
        <v>2437</v>
      </c>
      <c r="P103" t="s">
        <v>2437</v>
      </c>
      <c r="R103" t="s">
        <v>2437</v>
      </c>
      <c r="T103" t="s">
        <v>2437</v>
      </c>
      <c r="U103" t="s">
        <v>2437</v>
      </c>
      <c r="V103" t="s">
        <v>2437</v>
      </c>
      <c r="Y103" t="s">
        <v>6948</v>
      </c>
      <c r="Z103" t="s">
        <v>6949</v>
      </c>
      <c r="AA103" t="s">
        <v>6950</v>
      </c>
      <c r="AB103" t="s">
        <v>6951</v>
      </c>
      <c r="AC103" t="s">
        <v>6952</v>
      </c>
      <c r="AD103" t="s">
        <v>6953</v>
      </c>
      <c r="AE103" t="s">
        <v>6961</v>
      </c>
      <c r="AF103" t="s">
        <v>6962</v>
      </c>
      <c r="AG103" t="s">
        <v>6963</v>
      </c>
      <c r="AH103" t="s">
        <v>6964</v>
      </c>
      <c r="AI103" t="s">
        <v>6965</v>
      </c>
      <c r="AJ103" t="s">
        <v>6966</v>
      </c>
      <c r="AR103" t="s">
        <v>4284</v>
      </c>
    </row>
    <row r="104" spans="1:44">
      <c r="A104">
        <v>11110206</v>
      </c>
      <c r="B104" t="s">
        <v>199</v>
      </c>
      <c r="C104" t="s">
        <v>1129</v>
      </c>
      <c r="D104" t="s">
        <v>1474</v>
      </c>
      <c r="E104" t="s">
        <v>1475</v>
      </c>
      <c r="F104" t="s">
        <v>1476</v>
      </c>
      <c r="G104" t="s">
        <v>1477</v>
      </c>
      <c r="H104" t="s">
        <v>2120</v>
      </c>
      <c r="I104" t="s">
        <v>4379</v>
      </c>
      <c r="J104" t="s">
        <v>2662</v>
      </c>
      <c r="K104" t="s">
        <v>2663</v>
      </c>
      <c r="M104">
        <v>60</v>
      </c>
      <c r="N104">
        <v>70</v>
      </c>
      <c r="O104" t="s">
        <v>2437</v>
      </c>
      <c r="P104" t="s">
        <v>2437</v>
      </c>
      <c r="R104" t="s">
        <v>2437</v>
      </c>
      <c r="T104" t="s">
        <v>2437</v>
      </c>
      <c r="U104" t="s">
        <v>2437</v>
      </c>
      <c r="V104" t="s">
        <v>2437</v>
      </c>
      <c r="Y104" t="s">
        <v>6948</v>
      </c>
      <c r="Z104" t="s">
        <v>6949</v>
      </c>
      <c r="AA104" t="s">
        <v>6950</v>
      </c>
      <c r="AB104" t="s">
        <v>6951</v>
      </c>
      <c r="AC104" t="s">
        <v>6952</v>
      </c>
      <c r="AD104" t="s">
        <v>6953</v>
      </c>
      <c r="AE104" t="s">
        <v>6961</v>
      </c>
      <c r="AF104" t="s">
        <v>6962</v>
      </c>
      <c r="AG104" t="s">
        <v>6963</v>
      </c>
      <c r="AH104" t="s">
        <v>6964</v>
      </c>
      <c r="AI104" t="s">
        <v>6965</v>
      </c>
      <c r="AJ104" t="s">
        <v>6966</v>
      </c>
      <c r="AR104" t="s">
        <v>4284</v>
      </c>
    </row>
    <row r="105" spans="1:44">
      <c r="A105">
        <v>11111013</v>
      </c>
      <c r="B105" t="s">
        <v>200</v>
      </c>
      <c r="C105" t="s">
        <v>1131</v>
      </c>
      <c r="D105" t="s">
        <v>1588</v>
      </c>
      <c r="E105" t="s">
        <v>1589</v>
      </c>
      <c r="F105" t="s">
        <v>1526</v>
      </c>
      <c r="G105" t="s">
        <v>1527</v>
      </c>
      <c r="H105" t="s">
        <v>2169</v>
      </c>
      <c r="I105" t="s">
        <v>4380</v>
      </c>
      <c r="J105" t="s">
        <v>2666</v>
      </c>
      <c r="K105" t="s">
        <v>2667</v>
      </c>
      <c r="M105">
        <v>60</v>
      </c>
      <c r="N105">
        <v>70</v>
      </c>
      <c r="O105">
        <v>68</v>
      </c>
      <c r="P105">
        <v>105</v>
      </c>
      <c r="R105" t="s">
        <v>2437</v>
      </c>
      <c r="T105" t="s">
        <v>2437</v>
      </c>
      <c r="U105" t="s">
        <v>2437</v>
      </c>
      <c r="V105" t="s">
        <v>2437</v>
      </c>
      <c r="Y105" t="s">
        <v>6948</v>
      </c>
      <c r="Z105" t="s">
        <v>6949</v>
      </c>
      <c r="AA105" t="s">
        <v>6950</v>
      </c>
      <c r="AB105" t="s">
        <v>6951</v>
      </c>
      <c r="AC105" t="s">
        <v>6952</v>
      </c>
      <c r="AD105" t="s">
        <v>6953</v>
      </c>
      <c r="AE105" t="s">
        <v>6961</v>
      </c>
      <c r="AF105" t="s">
        <v>6962</v>
      </c>
      <c r="AG105" t="s">
        <v>6963</v>
      </c>
      <c r="AH105" t="s">
        <v>6964</v>
      </c>
      <c r="AI105" t="s">
        <v>6965</v>
      </c>
      <c r="AJ105" t="s">
        <v>6966</v>
      </c>
      <c r="AK105" t="s">
        <v>6969</v>
      </c>
      <c r="AL105" t="s">
        <v>6970</v>
      </c>
      <c r="AM105" t="s">
        <v>6971</v>
      </c>
      <c r="AN105" t="s">
        <v>6972</v>
      </c>
      <c r="AR105" t="s">
        <v>4284</v>
      </c>
    </row>
    <row r="106" spans="1:44">
      <c r="A106">
        <v>11110407</v>
      </c>
      <c r="B106" t="s">
        <v>201</v>
      </c>
      <c r="C106" t="s">
        <v>983</v>
      </c>
      <c r="D106" t="s">
        <v>1590</v>
      </c>
      <c r="E106" t="s">
        <v>1499</v>
      </c>
      <c r="F106" t="s">
        <v>1500</v>
      </c>
      <c r="G106" t="s">
        <v>1501</v>
      </c>
      <c r="H106" t="s">
        <v>2098</v>
      </c>
      <c r="I106" t="s">
        <v>4323</v>
      </c>
      <c r="J106" t="s">
        <v>2501</v>
      </c>
      <c r="K106" t="s">
        <v>2502</v>
      </c>
      <c r="M106" t="e">
        <v>#N/A</v>
      </c>
      <c r="N106" t="e">
        <v>#N/A</v>
      </c>
      <c r="O106" t="e">
        <v>#N/A</v>
      </c>
      <c r="P106" t="e">
        <v>#N/A</v>
      </c>
      <c r="R106" t="e">
        <v>#N/A</v>
      </c>
      <c r="T106" t="s">
        <v>2437</v>
      </c>
      <c r="U106" t="s">
        <v>2437</v>
      </c>
      <c r="V106" t="s">
        <v>2437</v>
      </c>
      <c r="Y106" t="s">
        <v>6948</v>
      </c>
      <c r="Z106" t="s">
        <v>6949</v>
      </c>
      <c r="AA106" t="s">
        <v>6950</v>
      </c>
      <c r="AB106" t="s">
        <v>6951</v>
      </c>
      <c r="AC106" t="s">
        <v>6952</v>
      </c>
      <c r="AD106" t="s">
        <v>6953</v>
      </c>
      <c r="AR106" t="s">
        <v>4284</v>
      </c>
    </row>
    <row r="107" spans="1:44">
      <c r="A107">
        <v>11110410</v>
      </c>
      <c r="B107" t="s">
        <v>202</v>
      </c>
      <c r="C107" t="s">
        <v>984</v>
      </c>
      <c r="D107" t="s">
        <v>1591</v>
      </c>
      <c r="E107" t="s">
        <v>1503</v>
      </c>
      <c r="F107" t="s">
        <v>1500</v>
      </c>
      <c r="G107" t="s">
        <v>1501</v>
      </c>
      <c r="H107" t="s">
        <v>2100</v>
      </c>
      <c r="I107" t="s">
        <v>4324</v>
      </c>
      <c r="J107" t="s">
        <v>2503</v>
      </c>
      <c r="K107" t="s">
        <v>2503</v>
      </c>
      <c r="M107" t="e">
        <v>#N/A</v>
      </c>
      <c r="N107" t="e">
        <v>#N/A</v>
      </c>
      <c r="O107" t="e">
        <v>#N/A</v>
      </c>
      <c r="P107" t="e">
        <v>#N/A</v>
      </c>
      <c r="R107" t="e">
        <v>#N/A</v>
      </c>
      <c r="T107" t="s">
        <v>2437</v>
      </c>
      <c r="U107" t="s">
        <v>2437</v>
      </c>
      <c r="V107" t="s">
        <v>2437</v>
      </c>
      <c r="Y107" t="s">
        <v>6948</v>
      </c>
      <c r="Z107" t="s">
        <v>6949</v>
      </c>
      <c r="AA107" t="s">
        <v>6950</v>
      </c>
      <c r="AB107" t="s">
        <v>6951</v>
      </c>
      <c r="AC107" t="s">
        <v>6952</v>
      </c>
      <c r="AD107" t="s">
        <v>6953</v>
      </c>
      <c r="AR107" t="s">
        <v>4284</v>
      </c>
    </row>
    <row r="108" spans="1:44">
      <c r="A108">
        <v>11110411</v>
      </c>
      <c r="B108" t="s">
        <v>203</v>
      </c>
      <c r="C108" t="s">
        <v>1132</v>
      </c>
      <c r="D108" t="s">
        <v>1591</v>
      </c>
      <c r="E108" t="s">
        <v>1503</v>
      </c>
      <c r="F108" t="s">
        <v>1500</v>
      </c>
      <c r="G108" t="s">
        <v>1501</v>
      </c>
      <c r="H108" t="s">
        <v>2101</v>
      </c>
      <c r="I108" t="s">
        <v>4325</v>
      </c>
      <c r="J108" t="s">
        <v>2504</v>
      </c>
      <c r="K108" t="s">
        <v>2504</v>
      </c>
      <c r="M108" t="e">
        <v>#N/A</v>
      </c>
      <c r="N108" t="e">
        <v>#N/A</v>
      </c>
      <c r="O108" t="e">
        <v>#N/A</v>
      </c>
      <c r="P108" t="e">
        <v>#N/A</v>
      </c>
      <c r="R108" t="e">
        <v>#N/A</v>
      </c>
      <c r="T108" t="s">
        <v>2437</v>
      </c>
      <c r="U108" t="s">
        <v>2437</v>
      </c>
      <c r="V108" t="s">
        <v>2437</v>
      </c>
      <c r="Y108" t="s">
        <v>6948</v>
      </c>
      <c r="Z108" t="s">
        <v>6949</v>
      </c>
      <c r="AA108" t="s">
        <v>6950</v>
      </c>
      <c r="AB108" t="s">
        <v>6951</v>
      </c>
      <c r="AC108" t="s">
        <v>6952</v>
      </c>
      <c r="AD108" t="s">
        <v>6953</v>
      </c>
      <c r="AR108" t="s">
        <v>4284</v>
      </c>
    </row>
    <row r="109" spans="1:44">
      <c r="A109">
        <v>11110412</v>
      </c>
      <c r="B109" t="s">
        <v>204</v>
      </c>
      <c r="C109" t="s">
        <v>1133</v>
      </c>
      <c r="D109" t="s">
        <v>1591</v>
      </c>
      <c r="E109" t="s">
        <v>1503</v>
      </c>
      <c r="F109" t="s">
        <v>1500</v>
      </c>
      <c r="G109" t="s">
        <v>1501</v>
      </c>
      <c r="H109" t="s">
        <v>2102</v>
      </c>
      <c r="I109" t="s">
        <v>4326</v>
      </c>
      <c r="J109" t="s">
        <v>2505</v>
      </c>
      <c r="K109" t="s">
        <v>2505</v>
      </c>
      <c r="M109" t="e">
        <v>#N/A</v>
      </c>
      <c r="N109" t="e">
        <v>#N/A</v>
      </c>
      <c r="O109" t="e">
        <v>#N/A</v>
      </c>
      <c r="P109" t="e">
        <v>#N/A</v>
      </c>
      <c r="R109" t="e">
        <v>#N/A</v>
      </c>
      <c r="T109" t="s">
        <v>2437</v>
      </c>
      <c r="U109" t="s">
        <v>2437</v>
      </c>
      <c r="V109" t="s">
        <v>2437</v>
      </c>
      <c r="Y109" t="s">
        <v>6948</v>
      </c>
      <c r="Z109" t="s">
        <v>6949</v>
      </c>
      <c r="AA109" t="s">
        <v>6950</v>
      </c>
      <c r="AB109" t="s">
        <v>6951</v>
      </c>
      <c r="AC109" t="s">
        <v>6952</v>
      </c>
      <c r="AD109" t="s">
        <v>6953</v>
      </c>
      <c r="AR109" t="s">
        <v>4284</v>
      </c>
    </row>
    <row r="110" spans="1:44">
      <c r="A110">
        <v>11103355</v>
      </c>
      <c r="B110" t="s">
        <v>205</v>
      </c>
      <c r="C110" t="s">
        <v>1134</v>
      </c>
      <c r="D110" t="s">
        <v>1533</v>
      </c>
      <c r="E110" t="s">
        <v>1534</v>
      </c>
      <c r="F110" t="s">
        <v>1592</v>
      </c>
      <c r="G110" t="s">
        <v>1593</v>
      </c>
      <c r="H110" t="s">
        <v>2170</v>
      </c>
      <c r="I110" t="s">
        <v>4381</v>
      </c>
      <c r="J110" t="s">
        <v>2668</v>
      </c>
      <c r="K110" t="s">
        <v>2669</v>
      </c>
      <c r="M110">
        <v>50</v>
      </c>
      <c r="N110">
        <v>70</v>
      </c>
      <c r="O110" t="s">
        <v>2437</v>
      </c>
      <c r="P110" t="s">
        <v>2437</v>
      </c>
      <c r="R110" t="s">
        <v>2437</v>
      </c>
      <c r="T110" t="s">
        <v>2437</v>
      </c>
      <c r="U110" t="s">
        <v>2437</v>
      </c>
      <c r="V110" t="s">
        <v>2437</v>
      </c>
      <c r="Y110" t="s">
        <v>6948</v>
      </c>
      <c r="Z110" t="s">
        <v>6949</v>
      </c>
      <c r="AA110" t="s">
        <v>6950</v>
      </c>
      <c r="AB110" t="s">
        <v>6951</v>
      </c>
      <c r="AC110" t="s">
        <v>6952</v>
      </c>
      <c r="AD110" t="s">
        <v>6953</v>
      </c>
      <c r="AE110" t="s">
        <v>6954</v>
      </c>
      <c r="AF110" t="s">
        <v>6955</v>
      </c>
      <c r="AG110" t="s">
        <v>6956</v>
      </c>
      <c r="AH110" t="s">
        <v>6957</v>
      </c>
      <c r="AI110" t="s">
        <v>6958</v>
      </c>
      <c r="AJ110" t="s">
        <v>6959</v>
      </c>
      <c r="AR110" t="s">
        <v>4284</v>
      </c>
    </row>
    <row r="111" spans="1:44">
      <c r="A111">
        <v>11111259</v>
      </c>
      <c r="B111" t="s">
        <v>206</v>
      </c>
      <c r="C111" t="s">
        <v>1136</v>
      </c>
      <c r="D111" t="s">
        <v>1478</v>
      </c>
      <c r="E111" t="s">
        <v>1479</v>
      </c>
      <c r="F111" t="s">
        <v>1476</v>
      </c>
      <c r="G111" t="s">
        <v>1477</v>
      </c>
      <c r="H111" t="s">
        <v>2171</v>
      </c>
      <c r="I111" t="s">
        <v>4307</v>
      </c>
      <c r="J111" t="s">
        <v>2670</v>
      </c>
      <c r="K111" t="s">
        <v>2671</v>
      </c>
      <c r="M111">
        <v>55</v>
      </c>
      <c r="N111">
        <v>65</v>
      </c>
      <c r="O111" t="s">
        <v>2437</v>
      </c>
      <c r="P111" t="s">
        <v>2437</v>
      </c>
      <c r="R111" t="s">
        <v>2437</v>
      </c>
      <c r="T111" t="s">
        <v>2437</v>
      </c>
      <c r="U111" t="s">
        <v>2439</v>
      </c>
      <c r="V111" t="s">
        <v>2437</v>
      </c>
      <c r="Y111" t="s">
        <v>6948</v>
      </c>
      <c r="Z111" t="s">
        <v>6949</v>
      </c>
      <c r="AA111" t="s">
        <v>6950</v>
      </c>
      <c r="AB111" t="s">
        <v>6951</v>
      </c>
      <c r="AC111" t="s">
        <v>6952</v>
      </c>
      <c r="AD111" t="s">
        <v>6953</v>
      </c>
      <c r="AE111" t="s">
        <v>6975</v>
      </c>
      <c r="AF111" t="s">
        <v>6974</v>
      </c>
      <c r="AR111" t="s">
        <v>4284</v>
      </c>
    </row>
    <row r="112" spans="1:44">
      <c r="A112">
        <v>11111260</v>
      </c>
      <c r="B112" t="s">
        <v>207</v>
      </c>
      <c r="C112" t="s">
        <v>961</v>
      </c>
      <c r="D112" t="s">
        <v>1478</v>
      </c>
      <c r="E112" t="s">
        <v>1479</v>
      </c>
      <c r="F112" t="s">
        <v>1476</v>
      </c>
      <c r="G112" t="s">
        <v>1477</v>
      </c>
      <c r="H112" t="s">
        <v>2172</v>
      </c>
      <c r="I112" t="s">
        <v>4308</v>
      </c>
      <c r="J112" t="s">
        <v>2672</v>
      </c>
      <c r="K112" t="s">
        <v>2673</v>
      </c>
      <c r="M112">
        <v>55</v>
      </c>
      <c r="N112">
        <v>65</v>
      </c>
      <c r="O112" t="s">
        <v>2437</v>
      </c>
      <c r="P112" t="s">
        <v>2437</v>
      </c>
      <c r="R112" t="s">
        <v>2437</v>
      </c>
      <c r="T112" t="s">
        <v>2437</v>
      </c>
      <c r="U112" t="s">
        <v>2439</v>
      </c>
      <c r="V112" t="s">
        <v>2437</v>
      </c>
      <c r="Y112" t="s">
        <v>6948</v>
      </c>
      <c r="Z112" t="s">
        <v>6949</v>
      </c>
      <c r="AA112" t="s">
        <v>6950</v>
      </c>
      <c r="AB112" t="s">
        <v>6951</v>
      </c>
      <c r="AC112" t="s">
        <v>6952</v>
      </c>
      <c r="AD112" t="s">
        <v>6953</v>
      </c>
      <c r="AE112" t="s">
        <v>6975</v>
      </c>
      <c r="AF112" t="s">
        <v>6974</v>
      </c>
      <c r="AR112" t="s">
        <v>4284</v>
      </c>
    </row>
    <row r="113" spans="1:44">
      <c r="A113">
        <v>11111264</v>
      </c>
      <c r="B113" t="s">
        <v>208</v>
      </c>
      <c r="C113" t="s">
        <v>964</v>
      </c>
      <c r="D113" t="s">
        <v>1480</v>
      </c>
      <c r="E113" t="s">
        <v>1481</v>
      </c>
      <c r="F113" t="s">
        <v>1476</v>
      </c>
      <c r="G113" t="s">
        <v>1477</v>
      </c>
      <c r="H113" t="s">
        <v>2173</v>
      </c>
      <c r="I113" t="s">
        <v>4310</v>
      </c>
      <c r="J113" t="s">
        <v>2674</v>
      </c>
      <c r="K113" t="s">
        <v>2675</v>
      </c>
      <c r="M113">
        <v>55</v>
      </c>
      <c r="N113">
        <v>65</v>
      </c>
      <c r="O113" t="s">
        <v>2437</v>
      </c>
      <c r="P113" t="s">
        <v>2437</v>
      </c>
      <c r="R113" t="s">
        <v>2437</v>
      </c>
      <c r="T113" t="s">
        <v>2437</v>
      </c>
      <c r="U113" t="s">
        <v>2437</v>
      </c>
      <c r="V113" t="s">
        <v>2437</v>
      </c>
      <c r="Y113" t="s">
        <v>6948</v>
      </c>
      <c r="Z113" t="s">
        <v>6949</v>
      </c>
      <c r="AA113" t="s">
        <v>6950</v>
      </c>
      <c r="AB113" t="s">
        <v>6951</v>
      </c>
      <c r="AC113" t="s">
        <v>6952</v>
      </c>
      <c r="AD113" t="s">
        <v>6953</v>
      </c>
      <c r="AE113" t="s">
        <v>6975</v>
      </c>
      <c r="AF113" t="s">
        <v>6974</v>
      </c>
      <c r="AR113" t="s">
        <v>4284</v>
      </c>
    </row>
    <row r="114" spans="1:44">
      <c r="A114">
        <v>11112071</v>
      </c>
      <c r="B114" t="s">
        <v>209</v>
      </c>
      <c r="C114" t="s">
        <v>1146</v>
      </c>
      <c r="D114" t="s">
        <v>1582</v>
      </c>
      <c r="E114" t="s">
        <v>1583</v>
      </c>
      <c r="F114" t="s">
        <v>1517</v>
      </c>
      <c r="G114" t="s">
        <v>1518</v>
      </c>
      <c r="H114" t="s">
        <v>2176</v>
      </c>
      <c r="I114" t="s">
        <v>4382</v>
      </c>
      <c r="J114" t="s">
        <v>2676</v>
      </c>
      <c r="K114" t="s">
        <v>2677</v>
      </c>
      <c r="M114">
        <v>60</v>
      </c>
      <c r="N114">
        <v>70</v>
      </c>
      <c r="O114" t="s">
        <v>2437</v>
      </c>
      <c r="P114" t="s">
        <v>2437</v>
      </c>
      <c r="R114" t="s">
        <v>2437</v>
      </c>
      <c r="T114" t="s">
        <v>2437</v>
      </c>
      <c r="U114" t="s">
        <v>2437</v>
      </c>
      <c r="V114" t="s">
        <v>2437</v>
      </c>
      <c r="Y114" t="s">
        <v>6948</v>
      </c>
      <c r="Z114" t="s">
        <v>6949</v>
      </c>
      <c r="AA114" t="s">
        <v>6950</v>
      </c>
      <c r="AB114" t="s">
        <v>6951</v>
      </c>
      <c r="AC114" t="s">
        <v>6952</v>
      </c>
      <c r="AD114" t="s">
        <v>6953</v>
      </c>
      <c r="AE114" t="s">
        <v>6961</v>
      </c>
      <c r="AF114" t="s">
        <v>6962</v>
      </c>
      <c r="AG114" t="s">
        <v>6963</v>
      </c>
      <c r="AH114" t="s">
        <v>6964</v>
      </c>
      <c r="AI114" t="s">
        <v>6965</v>
      </c>
      <c r="AJ114" t="s">
        <v>6966</v>
      </c>
      <c r="AR114" t="s">
        <v>4284</v>
      </c>
    </row>
    <row r="115" spans="1:44">
      <c r="A115">
        <v>11112073</v>
      </c>
      <c r="B115" t="s">
        <v>210</v>
      </c>
      <c r="C115" t="s">
        <v>1147</v>
      </c>
      <c r="D115" t="s">
        <v>1582</v>
      </c>
      <c r="E115" t="s">
        <v>1583</v>
      </c>
      <c r="F115" t="s">
        <v>1517</v>
      </c>
      <c r="G115" t="s">
        <v>1518</v>
      </c>
      <c r="H115" t="s">
        <v>2177</v>
      </c>
      <c r="I115" t="s">
        <v>4383</v>
      </c>
      <c r="J115" t="s">
        <v>2678</v>
      </c>
      <c r="K115" t="s">
        <v>2679</v>
      </c>
      <c r="M115">
        <v>60</v>
      </c>
      <c r="N115">
        <v>70</v>
      </c>
      <c r="O115" t="s">
        <v>2437</v>
      </c>
      <c r="P115" t="s">
        <v>2437</v>
      </c>
      <c r="R115" t="s">
        <v>2437</v>
      </c>
      <c r="T115" t="s">
        <v>2437</v>
      </c>
      <c r="U115" t="s">
        <v>2437</v>
      </c>
      <c r="V115" t="s">
        <v>2437</v>
      </c>
      <c r="Y115" t="s">
        <v>6948</v>
      </c>
      <c r="Z115" t="s">
        <v>6949</v>
      </c>
      <c r="AA115" t="s">
        <v>6950</v>
      </c>
      <c r="AB115" t="s">
        <v>6951</v>
      </c>
      <c r="AC115" t="s">
        <v>6952</v>
      </c>
      <c r="AD115" t="s">
        <v>6953</v>
      </c>
      <c r="AE115" t="s">
        <v>6961</v>
      </c>
      <c r="AF115" t="s">
        <v>6962</v>
      </c>
      <c r="AG115" t="s">
        <v>6963</v>
      </c>
      <c r="AH115" t="s">
        <v>6964</v>
      </c>
      <c r="AI115" t="s">
        <v>6965</v>
      </c>
      <c r="AJ115" t="s">
        <v>6966</v>
      </c>
      <c r="AR115" t="s">
        <v>4284</v>
      </c>
    </row>
    <row r="116" spans="1:44">
      <c r="A116">
        <v>11112074</v>
      </c>
      <c r="B116" t="s">
        <v>211</v>
      </c>
      <c r="C116" t="s">
        <v>1148</v>
      </c>
      <c r="D116" t="s">
        <v>1582</v>
      </c>
      <c r="E116" t="s">
        <v>1583</v>
      </c>
      <c r="F116" t="s">
        <v>1517</v>
      </c>
      <c r="G116" t="s">
        <v>1518</v>
      </c>
      <c r="H116" t="s">
        <v>2178</v>
      </c>
      <c r="I116" t="s">
        <v>4384</v>
      </c>
      <c r="J116" t="s">
        <v>2680</v>
      </c>
      <c r="K116" t="s">
        <v>2681</v>
      </c>
      <c r="M116">
        <v>60</v>
      </c>
      <c r="N116">
        <v>70</v>
      </c>
      <c r="O116" t="s">
        <v>2437</v>
      </c>
      <c r="P116" t="s">
        <v>2437</v>
      </c>
      <c r="R116" t="s">
        <v>2437</v>
      </c>
      <c r="T116" t="s">
        <v>2437</v>
      </c>
      <c r="U116" t="s">
        <v>2437</v>
      </c>
      <c r="V116" t="s">
        <v>2437</v>
      </c>
      <c r="Y116" t="s">
        <v>6948</v>
      </c>
      <c r="Z116" t="s">
        <v>6949</v>
      </c>
      <c r="AA116" t="s">
        <v>6950</v>
      </c>
      <c r="AB116" t="s">
        <v>6951</v>
      </c>
      <c r="AC116" t="s">
        <v>6952</v>
      </c>
      <c r="AD116" t="s">
        <v>6953</v>
      </c>
      <c r="AE116" t="s">
        <v>6961</v>
      </c>
      <c r="AF116" t="s">
        <v>6962</v>
      </c>
      <c r="AG116" t="s">
        <v>6963</v>
      </c>
      <c r="AH116" t="s">
        <v>6964</v>
      </c>
      <c r="AI116" t="s">
        <v>6965</v>
      </c>
      <c r="AJ116" t="s">
        <v>6966</v>
      </c>
      <c r="AR116" t="s">
        <v>4284</v>
      </c>
    </row>
    <row r="117" spans="1:44">
      <c r="A117">
        <v>11112075</v>
      </c>
      <c r="B117" t="s">
        <v>212</v>
      </c>
      <c r="C117" t="s">
        <v>1125</v>
      </c>
      <c r="D117" t="s">
        <v>1584</v>
      </c>
      <c r="E117" t="s">
        <v>1585</v>
      </c>
      <c r="F117" t="s">
        <v>1586</v>
      </c>
      <c r="G117" t="s">
        <v>1587</v>
      </c>
      <c r="H117" t="s">
        <v>2179</v>
      </c>
      <c r="I117" t="s">
        <v>4376</v>
      </c>
      <c r="J117" t="s">
        <v>2656</v>
      </c>
      <c r="K117" t="s">
        <v>2657</v>
      </c>
      <c r="M117">
        <v>60</v>
      </c>
      <c r="N117">
        <v>70</v>
      </c>
      <c r="O117" t="s">
        <v>2437</v>
      </c>
      <c r="P117" t="s">
        <v>2437</v>
      </c>
      <c r="R117" t="s">
        <v>2437</v>
      </c>
      <c r="T117" t="s">
        <v>2437</v>
      </c>
      <c r="U117" t="s">
        <v>2437</v>
      </c>
      <c r="V117" t="s">
        <v>2437</v>
      </c>
      <c r="Y117" t="s">
        <v>6948</v>
      </c>
      <c r="Z117" t="s">
        <v>6949</v>
      </c>
      <c r="AA117" t="s">
        <v>6950</v>
      </c>
      <c r="AB117" t="s">
        <v>6951</v>
      </c>
      <c r="AC117" t="s">
        <v>6952</v>
      </c>
      <c r="AD117" t="s">
        <v>6953</v>
      </c>
      <c r="AE117" t="s">
        <v>6961</v>
      </c>
      <c r="AF117" t="s">
        <v>6962</v>
      </c>
      <c r="AG117" t="s">
        <v>6963</v>
      </c>
      <c r="AH117" t="s">
        <v>6964</v>
      </c>
      <c r="AI117" t="s">
        <v>6965</v>
      </c>
      <c r="AJ117" t="s">
        <v>6966</v>
      </c>
      <c r="AR117" t="s">
        <v>4284</v>
      </c>
    </row>
    <row r="118" spans="1:44">
      <c r="A118">
        <v>11112076</v>
      </c>
      <c r="B118" t="s">
        <v>213</v>
      </c>
      <c r="C118" t="s">
        <v>1126</v>
      </c>
      <c r="D118" t="s">
        <v>1584</v>
      </c>
      <c r="E118" t="s">
        <v>1585</v>
      </c>
      <c r="F118" t="s">
        <v>1586</v>
      </c>
      <c r="G118" t="s">
        <v>1587</v>
      </c>
      <c r="H118" t="s">
        <v>2180</v>
      </c>
      <c r="I118" t="s">
        <v>4385</v>
      </c>
      <c r="J118" t="s">
        <v>2682</v>
      </c>
      <c r="K118" t="s">
        <v>2683</v>
      </c>
      <c r="M118">
        <v>60</v>
      </c>
      <c r="N118">
        <v>70</v>
      </c>
      <c r="O118" t="s">
        <v>2437</v>
      </c>
      <c r="P118" t="s">
        <v>2437</v>
      </c>
      <c r="R118" t="s">
        <v>2437</v>
      </c>
      <c r="T118" t="s">
        <v>2437</v>
      </c>
      <c r="U118" t="s">
        <v>2437</v>
      </c>
      <c r="V118" t="s">
        <v>2437</v>
      </c>
      <c r="Y118" t="s">
        <v>6948</v>
      </c>
      <c r="Z118" t="s">
        <v>6949</v>
      </c>
      <c r="AA118" t="s">
        <v>6950</v>
      </c>
      <c r="AB118" t="s">
        <v>6951</v>
      </c>
      <c r="AC118" t="s">
        <v>6952</v>
      </c>
      <c r="AD118" t="s">
        <v>6953</v>
      </c>
      <c r="AE118" t="s">
        <v>6961</v>
      </c>
      <c r="AF118" t="s">
        <v>6962</v>
      </c>
      <c r="AG118" t="s">
        <v>6963</v>
      </c>
      <c r="AH118" t="s">
        <v>6964</v>
      </c>
      <c r="AI118" t="s">
        <v>6965</v>
      </c>
      <c r="AJ118" t="s">
        <v>6966</v>
      </c>
      <c r="AR118" t="s">
        <v>4284</v>
      </c>
    </row>
    <row r="119" spans="1:44">
      <c r="A119">
        <v>11112077</v>
      </c>
      <c r="B119" t="s">
        <v>214</v>
      </c>
      <c r="C119" t="s">
        <v>1149</v>
      </c>
      <c r="D119" t="s">
        <v>1584</v>
      </c>
      <c r="E119" t="s">
        <v>1585</v>
      </c>
      <c r="F119" t="s">
        <v>1586</v>
      </c>
      <c r="G119" t="s">
        <v>1587</v>
      </c>
      <c r="H119" t="s">
        <v>2181</v>
      </c>
      <c r="I119" t="s">
        <v>4386</v>
      </c>
      <c r="J119" t="s">
        <v>2684</v>
      </c>
      <c r="K119" t="s">
        <v>2685</v>
      </c>
      <c r="M119">
        <v>60</v>
      </c>
      <c r="N119">
        <v>70</v>
      </c>
      <c r="O119" t="s">
        <v>2437</v>
      </c>
      <c r="P119" t="s">
        <v>2437</v>
      </c>
      <c r="R119" t="s">
        <v>2437</v>
      </c>
      <c r="T119" t="s">
        <v>2437</v>
      </c>
      <c r="U119" t="s">
        <v>2437</v>
      </c>
      <c r="V119" t="s">
        <v>2437</v>
      </c>
      <c r="Y119" t="s">
        <v>6948</v>
      </c>
      <c r="Z119" t="s">
        <v>6949</v>
      </c>
      <c r="AA119" t="s">
        <v>6950</v>
      </c>
      <c r="AB119" t="s">
        <v>6951</v>
      </c>
      <c r="AC119" t="s">
        <v>6952</v>
      </c>
      <c r="AD119" t="s">
        <v>6953</v>
      </c>
      <c r="AE119" t="s">
        <v>6961</v>
      </c>
      <c r="AF119" t="s">
        <v>6962</v>
      </c>
      <c r="AG119" t="s">
        <v>6963</v>
      </c>
      <c r="AH119" t="s">
        <v>6964</v>
      </c>
      <c r="AI119" t="s">
        <v>6965</v>
      </c>
      <c r="AJ119" t="s">
        <v>6966</v>
      </c>
      <c r="AR119" t="s">
        <v>4284</v>
      </c>
    </row>
    <row r="120" spans="1:44">
      <c r="A120">
        <v>11112078</v>
      </c>
      <c r="B120" t="s">
        <v>215</v>
      </c>
      <c r="C120" t="s">
        <v>1127</v>
      </c>
      <c r="D120" t="s">
        <v>1584</v>
      </c>
      <c r="E120" t="s">
        <v>1585</v>
      </c>
      <c r="F120" t="s">
        <v>1586</v>
      </c>
      <c r="G120" t="s">
        <v>1587</v>
      </c>
      <c r="H120" t="s">
        <v>2182</v>
      </c>
      <c r="I120" t="s">
        <v>4377</v>
      </c>
      <c r="J120" t="s">
        <v>2658</v>
      </c>
      <c r="K120" t="s">
        <v>2659</v>
      </c>
      <c r="M120">
        <v>60</v>
      </c>
      <c r="N120">
        <v>70</v>
      </c>
      <c r="O120" t="s">
        <v>2437</v>
      </c>
      <c r="P120" t="s">
        <v>2437</v>
      </c>
      <c r="R120" t="s">
        <v>2437</v>
      </c>
      <c r="T120" t="s">
        <v>2437</v>
      </c>
      <c r="U120" t="s">
        <v>2437</v>
      </c>
      <c r="V120" t="s">
        <v>2437</v>
      </c>
      <c r="Y120" t="s">
        <v>6948</v>
      </c>
      <c r="Z120" t="s">
        <v>6949</v>
      </c>
      <c r="AA120" t="s">
        <v>6950</v>
      </c>
      <c r="AB120" t="s">
        <v>6951</v>
      </c>
      <c r="AC120" t="s">
        <v>6952</v>
      </c>
      <c r="AD120" t="s">
        <v>6953</v>
      </c>
      <c r="AE120" t="s">
        <v>6961</v>
      </c>
      <c r="AF120" t="s">
        <v>6962</v>
      </c>
      <c r="AG120" t="s">
        <v>6963</v>
      </c>
      <c r="AH120" t="s">
        <v>6964</v>
      </c>
      <c r="AI120" t="s">
        <v>6965</v>
      </c>
      <c r="AJ120" t="s">
        <v>6966</v>
      </c>
      <c r="AR120" t="s">
        <v>4284</v>
      </c>
    </row>
    <row r="121" spans="1:44">
      <c r="A121">
        <v>11112079</v>
      </c>
      <c r="B121" t="s">
        <v>216</v>
      </c>
      <c r="C121" t="s">
        <v>1150</v>
      </c>
      <c r="D121" t="s">
        <v>1584</v>
      </c>
      <c r="E121" t="s">
        <v>1585</v>
      </c>
      <c r="F121" t="s">
        <v>1586</v>
      </c>
      <c r="G121" t="s">
        <v>1587</v>
      </c>
      <c r="H121" t="s">
        <v>2183</v>
      </c>
      <c r="I121" t="s">
        <v>4387</v>
      </c>
      <c r="J121" t="s">
        <v>2686</v>
      </c>
      <c r="K121" t="s">
        <v>2687</v>
      </c>
      <c r="M121">
        <v>60</v>
      </c>
      <c r="N121">
        <v>70</v>
      </c>
      <c r="O121" t="s">
        <v>2437</v>
      </c>
      <c r="P121" t="s">
        <v>2437</v>
      </c>
      <c r="R121" t="s">
        <v>2437</v>
      </c>
      <c r="T121" t="s">
        <v>2437</v>
      </c>
      <c r="U121" t="s">
        <v>2437</v>
      </c>
      <c r="V121" t="s">
        <v>2437</v>
      </c>
      <c r="Y121" t="s">
        <v>6948</v>
      </c>
      <c r="Z121" t="s">
        <v>6949</v>
      </c>
      <c r="AA121" t="s">
        <v>6950</v>
      </c>
      <c r="AB121" t="s">
        <v>6951</v>
      </c>
      <c r="AC121" t="s">
        <v>6952</v>
      </c>
      <c r="AD121" t="s">
        <v>6953</v>
      </c>
      <c r="AE121" t="s">
        <v>6961</v>
      </c>
      <c r="AF121" t="s">
        <v>6962</v>
      </c>
      <c r="AG121" t="s">
        <v>6963</v>
      </c>
      <c r="AH121" t="s">
        <v>6964</v>
      </c>
      <c r="AI121" t="s">
        <v>6965</v>
      </c>
      <c r="AJ121" t="s">
        <v>6966</v>
      </c>
      <c r="AR121" t="s">
        <v>4284</v>
      </c>
    </row>
    <row r="122" spans="1:44">
      <c r="A122">
        <v>11112080</v>
      </c>
      <c r="B122" t="s">
        <v>217</v>
      </c>
      <c r="C122" t="s">
        <v>1151</v>
      </c>
      <c r="D122" t="s">
        <v>1584</v>
      </c>
      <c r="E122" t="s">
        <v>1585</v>
      </c>
      <c r="F122" t="s">
        <v>1586</v>
      </c>
      <c r="G122" t="s">
        <v>1587</v>
      </c>
      <c r="H122" t="s">
        <v>2184</v>
      </c>
      <c r="I122" t="s">
        <v>4388</v>
      </c>
      <c r="J122" t="s">
        <v>2688</v>
      </c>
      <c r="K122" t="s">
        <v>2689</v>
      </c>
      <c r="M122">
        <v>60</v>
      </c>
      <c r="N122">
        <v>70</v>
      </c>
      <c r="O122" t="s">
        <v>2437</v>
      </c>
      <c r="P122" t="s">
        <v>2437</v>
      </c>
      <c r="R122" t="s">
        <v>2437</v>
      </c>
      <c r="T122" t="s">
        <v>2437</v>
      </c>
      <c r="U122" t="s">
        <v>2437</v>
      </c>
      <c r="V122" t="s">
        <v>2437</v>
      </c>
      <c r="Y122" t="s">
        <v>6948</v>
      </c>
      <c r="Z122" t="s">
        <v>6949</v>
      </c>
      <c r="AA122" t="s">
        <v>6950</v>
      </c>
      <c r="AB122" t="s">
        <v>6951</v>
      </c>
      <c r="AC122" t="s">
        <v>6952</v>
      </c>
      <c r="AD122" t="s">
        <v>6953</v>
      </c>
      <c r="AE122" t="s">
        <v>6961</v>
      </c>
      <c r="AF122" t="s">
        <v>6962</v>
      </c>
      <c r="AG122" t="s">
        <v>6963</v>
      </c>
      <c r="AH122" t="s">
        <v>6964</v>
      </c>
      <c r="AI122" t="s">
        <v>6965</v>
      </c>
      <c r="AJ122" t="s">
        <v>6966</v>
      </c>
      <c r="AR122" t="s">
        <v>4284</v>
      </c>
    </row>
    <row r="123" spans="1:44">
      <c r="A123">
        <v>11111796</v>
      </c>
      <c r="B123" t="s">
        <v>218</v>
      </c>
      <c r="C123" t="s">
        <v>1152</v>
      </c>
      <c r="D123" t="s">
        <v>1594</v>
      </c>
      <c r="E123" t="s">
        <v>1595</v>
      </c>
      <c r="F123" t="s">
        <v>1596</v>
      </c>
      <c r="G123" t="s">
        <v>1597</v>
      </c>
      <c r="H123" t="s">
        <v>2185</v>
      </c>
      <c r="I123" t="s">
        <v>4389</v>
      </c>
      <c r="J123" t="s">
        <v>2690</v>
      </c>
      <c r="K123" t="s">
        <v>2691</v>
      </c>
      <c r="M123">
        <v>60</v>
      </c>
      <c r="N123">
        <v>70</v>
      </c>
      <c r="O123" t="s">
        <v>2437</v>
      </c>
      <c r="P123" t="s">
        <v>2437</v>
      </c>
      <c r="R123" t="s">
        <v>2437</v>
      </c>
      <c r="T123" t="s">
        <v>2437</v>
      </c>
      <c r="U123" t="s">
        <v>2437</v>
      </c>
      <c r="V123" t="s">
        <v>2437</v>
      </c>
      <c r="Y123" t="s">
        <v>6948</v>
      </c>
      <c r="Z123" t="s">
        <v>6949</v>
      </c>
      <c r="AA123" t="s">
        <v>6950</v>
      </c>
      <c r="AB123" t="s">
        <v>6951</v>
      </c>
      <c r="AC123" t="s">
        <v>6952</v>
      </c>
      <c r="AD123" t="s">
        <v>6953</v>
      </c>
      <c r="AE123" t="s">
        <v>6961</v>
      </c>
      <c r="AF123" t="s">
        <v>6962</v>
      </c>
      <c r="AG123" t="s">
        <v>6963</v>
      </c>
      <c r="AH123" t="s">
        <v>6964</v>
      </c>
      <c r="AI123" t="s">
        <v>6965</v>
      </c>
      <c r="AJ123" t="s">
        <v>6966</v>
      </c>
      <c r="AR123" t="s">
        <v>4284</v>
      </c>
    </row>
    <row r="124" spans="1:44">
      <c r="A124">
        <v>11111798</v>
      </c>
      <c r="B124" t="s">
        <v>219</v>
      </c>
      <c r="C124" t="s">
        <v>1153</v>
      </c>
      <c r="D124" t="s">
        <v>1594</v>
      </c>
      <c r="E124" t="s">
        <v>1595</v>
      </c>
      <c r="F124" t="s">
        <v>1596</v>
      </c>
      <c r="G124" t="s">
        <v>1597</v>
      </c>
      <c r="H124" t="s">
        <v>2186</v>
      </c>
      <c r="I124" t="s">
        <v>4390</v>
      </c>
      <c r="J124" t="s">
        <v>2692</v>
      </c>
      <c r="K124" t="s">
        <v>2693</v>
      </c>
      <c r="M124">
        <v>60</v>
      </c>
      <c r="N124">
        <v>70</v>
      </c>
      <c r="O124" t="s">
        <v>2437</v>
      </c>
      <c r="P124" t="s">
        <v>2437</v>
      </c>
      <c r="R124" t="s">
        <v>2437</v>
      </c>
      <c r="T124" t="s">
        <v>2437</v>
      </c>
      <c r="U124" t="s">
        <v>2437</v>
      </c>
      <c r="V124" t="s">
        <v>2437</v>
      </c>
      <c r="Y124" t="s">
        <v>6948</v>
      </c>
      <c r="Z124" t="s">
        <v>6949</v>
      </c>
      <c r="AA124" t="s">
        <v>6950</v>
      </c>
      <c r="AB124" t="s">
        <v>6951</v>
      </c>
      <c r="AC124" t="s">
        <v>6952</v>
      </c>
      <c r="AD124" t="s">
        <v>6953</v>
      </c>
      <c r="AE124" t="s">
        <v>6961</v>
      </c>
      <c r="AF124" t="s">
        <v>6962</v>
      </c>
      <c r="AG124" t="s">
        <v>6963</v>
      </c>
      <c r="AH124" t="s">
        <v>6964</v>
      </c>
      <c r="AI124" t="s">
        <v>6965</v>
      </c>
      <c r="AJ124" t="s">
        <v>6966</v>
      </c>
      <c r="AR124" t="s">
        <v>4284</v>
      </c>
    </row>
    <row r="125" spans="1:44">
      <c r="A125">
        <v>11111655</v>
      </c>
      <c r="B125" t="s">
        <v>220</v>
      </c>
      <c r="C125" t="s">
        <v>1156</v>
      </c>
      <c r="D125" t="s">
        <v>1598</v>
      </c>
      <c r="E125" t="s">
        <v>1599</v>
      </c>
      <c r="F125" t="s">
        <v>1486</v>
      </c>
      <c r="G125" t="s">
        <v>1487</v>
      </c>
      <c r="H125" t="s">
        <v>2193</v>
      </c>
      <c r="I125" t="s">
        <v>4391</v>
      </c>
      <c r="J125" t="s">
        <v>2696</v>
      </c>
      <c r="K125" t="s">
        <v>2697</v>
      </c>
      <c r="M125">
        <v>50</v>
      </c>
      <c r="N125">
        <v>70</v>
      </c>
      <c r="O125" t="s">
        <v>2437</v>
      </c>
      <c r="P125" t="s">
        <v>2437</v>
      </c>
      <c r="R125" t="s">
        <v>2437</v>
      </c>
      <c r="T125" t="s">
        <v>2437</v>
      </c>
      <c r="U125" t="s">
        <v>2437</v>
      </c>
      <c r="V125" t="s">
        <v>2437</v>
      </c>
      <c r="Y125" t="s">
        <v>6948</v>
      </c>
      <c r="Z125" t="s">
        <v>6949</v>
      </c>
      <c r="AA125" t="s">
        <v>6950</v>
      </c>
      <c r="AB125" t="s">
        <v>6951</v>
      </c>
      <c r="AC125" t="s">
        <v>6952</v>
      </c>
      <c r="AD125" t="s">
        <v>6953</v>
      </c>
      <c r="AE125" t="s">
        <v>6954</v>
      </c>
      <c r="AF125" t="s">
        <v>6955</v>
      </c>
      <c r="AG125" t="s">
        <v>6956</v>
      </c>
      <c r="AH125" t="s">
        <v>6957</v>
      </c>
      <c r="AI125" t="s">
        <v>6958</v>
      </c>
      <c r="AJ125" t="s">
        <v>6959</v>
      </c>
      <c r="AR125" t="s">
        <v>4284</v>
      </c>
    </row>
    <row r="126" spans="1:44">
      <c r="A126">
        <v>11111659</v>
      </c>
      <c r="B126" t="s">
        <v>221</v>
      </c>
      <c r="C126" t="s">
        <v>1160</v>
      </c>
      <c r="D126" t="s">
        <v>1598</v>
      </c>
      <c r="E126" t="s">
        <v>1599</v>
      </c>
      <c r="F126" t="s">
        <v>1486</v>
      </c>
      <c r="G126" t="s">
        <v>1487</v>
      </c>
      <c r="H126" t="s">
        <v>2194</v>
      </c>
      <c r="I126" t="s">
        <v>4392</v>
      </c>
      <c r="J126" t="s">
        <v>2698</v>
      </c>
      <c r="K126" t="s">
        <v>2699</v>
      </c>
      <c r="M126">
        <v>50</v>
      </c>
      <c r="N126">
        <v>70</v>
      </c>
      <c r="O126" t="s">
        <v>2437</v>
      </c>
      <c r="P126" t="s">
        <v>2437</v>
      </c>
      <c r="R126" t="s">
        <v>2437</v>
      </c>
      <c r="T126" t="s">
        <v>2437</v>
      </c>
      <c r="U126" t="s">
        <v>2437</v>
      </c>
      <c r="V126" t="s">
        <v>2437</v>
      </c>
      <c r="Y126" t="s">
        <v>6948</v>
      </c>
      <c r="Z126" t="s">
        <v>6949</v>
      </c>
      <c r="AA126" t="s">
        <v>6950</v>
      </c>
      <c r="AB126" t="s">
        <v>6951</v>
      </c>
      <c r="AC126" t="s">
        <v>6952</v>
      </c>
      <c r="AD126" t="s">
        <v>6953</v>
      </c>
      <c r="AE126" t="s">
        <v>6954</v>
      </c>
      <c r="AF126" t="s">
        <v>6955</v>
      </c>
      <c r="AG126" t="s">
        <v>6956</v>
      </c>
      <c r="AH126" t="s">
        <v>6957</v>
      </c>
      <c r="AI126" t="s">
        <v>6958</v>
      </c>
      <c r="AJ126" t="s">
        <v>6959</v>
      </c>
      <c r="AR126" t="s">
        <v>4284</v>
      </c>
    </row>
    <row r="127" spans="1:44">
      <c r="A127">
        <v>11111614</v>
      </c>
      <c r="B127" t="s">
        <v>222</v>
      </c>
      <c r="C127" t="s">
        <v>1162</v>
      </c>
      <c r="D127" t="s">
        <v>1492</v>
      </c>
      <c r="E127" t="s">
        <v>1493</v>
      </c>
      <c r="F127" t="s">
        <v>1486</v>
      </c>
      <c r="G127" t="s">
        <v>1487</v>
      </c>
      <c r="H127" t="s">
        <v>2195</v>
      </c>
      <c r="I127" t="s">
        <v>4393</v>
      </c>
      <c r="J127" t="s">
        <v>2700</v>
      </c>
      <c r="K127" t="s">
        <v>2701</v>
      </c>
      <c r="M127">
        <v>50</v>
      </c>
      <c r="N127">
        <v>70</v>
      </c>
      <c r="O127" t="s">
        <v>2437</v>
      </c>
      <c r="P127" t="s">
        <v>2437</v>
      </c>
      <c r="R127">
        <v>24</v>
      </c>
      <c r="T127" t="s">
        <v>2437</v>
      </c>
      <c r="U127" t="s">
        <v>2437</v>
      </c>
      <c r="V127" t="s">
        <v>2437</v>
      </c>
      <c r="Y127" t="s">
        <v>6948</v>
      </c>
      <c r="Z127" t="s">
        <v>6949</v>
      </c>
      <c r="AA127" t="s">
        <v>6950</v>
      </c>
      <c r="AB127" t="s">
        <v>6951</v>
      </c>
      <c r="AC127" t="s">
        <v>6952</v>
      </c>
      <c r="AD127" t="s">
        <v>6953</v>
      </c>
      <c r="AE127" t="s">
        <v>6954</v>
      </c>
      <c r="AF127" t="s">
        <v>6955</v>
      </c>
      <c r="AG127" t="s">
        <v>6956</v>
      </c>
      <c r="AH127" t="s">
        <v>6957</v>
      </c>
      <c r="AI127" t="s">
        <v>6958</v>
      </c>
      <c r="AJ127" t="s">
        <v>6959</v>
      </c>
      <c r="AK127" t="s">
        <v>6976</v>
      </c>
      <c r="AL127" t="s">
        <v>6977</v>
      </c>
      <c r="AM127" t="s">
        <v>6978</v>
      </c>
      <c r="AN127" t="s">
        <v>6979</v>
      </c>
      <c r="AO127" t="s">
        <v>6980</v>
      </c>
      <c r="AR127" t="s">
        <v>4284</v>
      </c>
    </row>
    <row r="128" spans="1:44">
      <c r="A128">
        <v>11111615</v>
      </c>
      <c r="B128" t="s">
        <v>223</v>
      </c>
      <c r="C128" t="s">
        <v>975</v>
      </c>
      <c r="D128" t="s">
        <v>1492</v>
      </c>
      <c r="E128" t="s">
        <v>1493</v>
      </c>
      <c r="F128" t="s">
        <v>1486</v>
      </c>
      <c r="G128" t="s">
        <v>1487</v>
      </c>
      <c r="H128" t="s">
        <v>2196</v>
      </c>
      <c r="I128" t="s">
        <v>4394</v>
      </c>
      <c r="J128" t="s">
        <v>2485</v>
      </c>
      <c r="K128" t="s">
        <v>2486</v>
      </c>
      <c r="M128">
        <v>50</v>
      </c>
      <c r="N128">
        <v>70</v>
      </c>
      <c r="O128" t="s">
        <v>2437</v>
      </c>
      <c r="P128" t="s">
        <v>2437</v>
      </c>
      <c r="R128">
        <v>24</v>
      </c>
      <c r="T128" t="s">
        <v>2437</v>
      </c>
      <c r="U128" t="s">
        <v>2437</v>
      </c>
      <c r="V128" t="s">
        <v>2437</v>
      </c>
      <c r="Y128" t="s">
        <v>6948</v>
      </c>
      <c r="Z128" t="s">
        <v>6949</v>
      </c>
      <c r="AA128" t="s">
        <v>6950</v>
      </c>
      <c r="AB128" t="s">
        <v>6951</v>
      </c>
      <c r="AC128" t="s">
        <v>6952</v>
      </c>
      <c r="AD128" t="s">
        <v>6953</v>
      </c>
      <c r="AE128" t="s">
        <v>6954</v>
      </c>
      <c r="AF128" t="s">
        <v>6955</v>
      </c>
      <c r="AG128" t="s">
        <v>6956</v>
      </c>
      <c r="AH128" t="s">
        <v>6957</v>
      </c>
      <c r="AI128" t="s">
        <v>6958</v>
      </c>
      <c r="AJ128" t="s">
        <v>6959</v>
      </c>
      <c r="AK128" t="s">
        <v>6976</v>
      </c>
      <c r="AL128" t="s">
        <v>6977</v>
      </c>
      <c r="AM128" t="s">
        <v>6978</v>
      </c>
      <c r="AN128" t="s">
        <v>6979</v>
      </c>
      <c r="AO128" t="s">
        <v>6980</v>
      </c>
      <c r="AR128" t="s">
        <v>4284</v>
      </c>
    </row>
    <row r="129" spans="1:44">
      <c r="A129">
        <v>11111616</v>
      </c>
      <c r="B129" t="s">
        <v>224</v>
      </c>
      <c r="C129" t="s">
        <v>1163</v>
      </c>
      <c r="D129" t="s">
        <v>1600</v>
      </c>
      <c r="E129" t="s">
        <v>1601</v>
      </c>
      <c r="F129" t="s">
        <v>1486</v>
      </c>
      <c r="G129" t="s">
        <v>1487</v>
      </c>
      <c r="H129" t="s">
        <v>2197</v>
      </c>
      <c r="I129" t="s">
        <v>4354</v>
      </c>
      <c r="J129" t="s">
        <v>2702</v>
      </c>
      <c r="K129" t="s">
        <v>2703</v>
      </c>
      <c r="M129">
        <v>50</v>
      </c>
      <c r="N129">
        <v>70</v>
      </c>
      <c r="O129" t="s">
        <v>2437</v>
      </c>
      <c r="P129" t="s">
        <v>2437</v>
      </c>
      <c r="R129">
        <v>24</v>
      </c>
      <c r="T129" t="s">
        <v>2437</v>
      </c>
      <c r="U129" t="s">
        <v>2437</v>
      </c>
      <c r="V129" t="s">
        <v>2437</v>
      </c>
      <c r="Y129" t="s">
        <v>6948</v>
      </c>
      <c r="Z129" t="s">
        <v>6949</v>
      </c>
      <c r="AA129" t="s">
        <v>6950</v>
      </c>
      <c r="AB129" t="s">
        <v>6951</v>
      </c>
      <c r="AC129" t="s">
        <v>6952</v>
      </c>
      <c r="AD129" t="s">
        <v>6953</v>
      </c>
      <c r="AE129" t="s">
        <v>6954</v>
      </c>
      <c r="AF129" t="s">
        <v>6955</v>
      </c>
      <c r="AG129" t="s">
        <v>6956</v>
      </c>
      <c r="AH129" t="s">
        <v>6957</v>
      </c>
      <c r="AI129" t="s">
        <v>6958</v>
      </c>
      <c r="AJ129" t="s">
        <v>6959</v>
      </c>
      <c r="AK129" t="s">
        <v>6976</v>
      </c>
      <c r="AL129" t="s">
        <v>6977</v>
      </c>
      <c r="AM129" t="s">
        <v>6978</v>
      </c>
      <c r="AN129" t="s">
        <v>6979</v>
      </c>
      <c r="AO129" t="s">
        <v>6980</v>
      </c>
      <c r="AR129" t="s">
        <v>4284</v>
      </c>
    </row>
    <row r="130" spans="1:44">
      <c r="A130">
        <v>11111617</v>
      </c>
      <c r="B130" t="s">
        <v>225</v>
      </c>
      <c r="C130" t="s">
        <v>1164</v>
      </c>
      <c r="D130" t="s">
        <v>1600</v>
      </c>
      <c r="E130" t="s">
        <v>1601</v>
      </c>
      <c r="F130" t="s">
        <v>1486</v>
      </c>
      <c r="G130" t="s">
        <v>1487</v>
      </c>
      <c r="H130" t="s">
        <v>2198</v>
      </c>
      <c r="I130" t="s">
        <v>4356</v>
      </c>
      <c r="J130" t="s">
        <v>2704</v>
      </c>
      <c r="K130" t="s">
        <v>2705</v>
      </c>
      <c r="M130">
        <v>50</v>
      </c>
      <c r="N130">
        <v>70</v>
      </c>
      <c r="O130" t="s">
        <v>2437</v>
      </c>
      <c r="P130" t="s">
        <v>2437</v>
      </c>
      <c r="R130">
        <v>24</v>
      </c>
      <c r="T130" t="s">
        <v>2437</v>
      </c>
      <c r="U130" t="s">
        <v>2437</v>
      </c>
      <c r="V130" t="s">
        <v>2437</v>
      </c>
      <c r="Y130" t="s">
        <v>6948</v>
      </c>
      <c r="Z130" t="s">
        <v>6949</v>
      </c>
      <c r="AA130" t="s">
        <v>6950</v>
      </c>
      <c r="AB130" t="s">
        <v>6951</v>
      </c>
      <c r="AC130" t="s">
        <v>6952</v>
      </c>
      <c r="AD130" t="s">
        <v>6953</v>
      </c>
      <c r="AE130" t="s">
        <v>6954</v>
      </c>
      <c r="AF130" t="s">
        <v>6955</v>
      </c>
      <c r="AG130" t="s">
        <v>6956</v>
      </c>
      <c r="AH130" t="s">
        <v>6957</v>
      </c>
      <c r="AI130" t="s">
        <v>6958</v>
      </c>
      <c r="AJ130" t="s">
        <v>6959</v>
      </c>
      <c r="AK130" t="s">
        <v>6976</v>
      </c>
      <c r="AL130" t="s">
        <v>6977</v>
      </c>
      <c r="AM130" t="s">
        <v>6978</v>
      </c>
      <c r="AN130" t="s">
        <v>6979</v>
      </c>
      <c r="AO130" t="s">
        <v>6980</v>
      </c>
      <c r="AR130" t="s">
        <v>4284</v>
      </c>
    </row>
    <row r="131" spans="1:44">
      <c r="A131">
        <v>11111618</v>
      </c>
      <c r="B131" t="s">
        <v>226</v>
      </c>
      <c r="C131" t="s">
        <v>1165</v>
      </c>
      <c r="D131" t="s">
        <v>1602</v>
      </c>
      <c r="E131" t="s">
        <v>1603</v>
      </c>
      <c r="F131" t="s">
        <v>1486</v>
      </c>
      <c r="G131" t="s">
        <v>1487</v>
      </c>
      <c r="H131" t="s">
        <v>2199</v>
      </c>
      <c r="I131" t="s">
        <v>4355</v>
      </c>
      <c r="J131" t="s">
        <v>2706</v>
      </c>
      <c r="K131" t="s">
        <v>2707</v>
      </c>
      <c r="M131">
        <v>50</v>
      </c>
      <c r="N131">
        <v>70</v>
      </c>
      <c r="O131" t="s">
        <v>2437</v>
      </c>
      <c r="P131" t="s">
        <v>2437</v>
      </c>
      <c r="R131">
        <v>24</v>
      </c>
      <c r="T131" t="s">
        <v>2437</v>
      </c>
      <c r="U131" t="s">
        <v>2437</v>
      </c>
      <c r="V131" t="s">
        <v>2437</v>
      </c>
      <c r="Y131" t="s">
        <v>6948</v>
      </c>
      <c r="Z131" t="s">
        <v>6949</v>
      </c>
      <c r="AA131" t="s">
        <v>6950</v>
      </c>
      <c r="AB131" t="s">
        <v>6951</v>
      </c>
      <c r="AC131" t="s">
        <v>6952</v>
      </c>
      <c r="AD131" t="s">
        <v>6953</v>
      </c>
      <c r="AE131" t="s">
        <v>6954</v>
      </c>
      <c r="AF131" t="s">
        <v>6955</v>
      </c>
      <c r="AG131" t="s">
        <v>6956</v>
      </c>
      <c r="AH131" t="s">
        <v>6957</v>
      </c>
      <c r="AI131" t="s">
        <v>6958</v>
      </c>
      <c r="AJ131" t="s">
        <v>6959</v>
      </c>
      <c r="AK131" t="s">
        <v>6976</v>
      </c>
      <c r="AL131" t="s">
        <v>6977</v>
      </c>
      <c r="AM131" t="s">
        <v>6978</v>
      </c>
      <c r="AN131" t="s">
        <v>6979</v>
      </c>
      <c r="AO131" t="s">
        <v>6980</v>
      </c>
      <c r="AR131" t="s">
        <v>4284</v>
      </c>
    </row>
    <row r="132" spans="1:44">
      <c r="A132">
        <v>11111619</v>
      </c>
      <c r="B132" t="s">
        <v>227</v>
      </c>
      <c r="C132" t="s">
        <v>1166</v>
      </c>
      <c r="D132" t="s">
        <v>1602</v>
      </c>
      <c r="E132" t="s">
        <v>1603</v>
      </c>
      <c r="F132" t="s">
        <v>1486</v>
      </c>
      <c r="G132" t="s">
        <v>1487</v>
      </c>
      <c r="H132" t="s">
        <v>2200</v>
      </c>
      <c r="I132" t="s">
        <v>4357</v>
      </c>
      <c r="J132" t="s">
        <v>2708</v>
      </c>
      <c r="K132" t="s">
        <v>2709</v>
      </c>
      <c r="M132">
        <v>50</v>
      </c>
      <c r="N132">
        <v>70</v>
      </c>
      <c r="O132" t="s">
        <v>2437</v>
      </c>
      <c r="P132" t="s">
        <v>2437</v>
      </c>
      <c r="R132">
        <v>24</v>
      </c>
      <c r="T132" t="s">
        <v>2437</v>
      </c>
      <c r="U132" t="s">
        <v>2437</v>
      </c>
      <c r="V132" t="s">
        <v>2437</v>
      </c>
      <c r="Y132" t="s">
        <v>6948</v>
      </c>
      <c r="Z132" t="s">
        <v>6949</v>
      </c>
      <c r="AA132" t="s">
        <v>6950</v>
      </c>
      <c r="AB132" t="s">
        <v>6951</v>
      </c>
      <c r="AC132" t="s">
        <v>6952</v>
      </c>
      <c r="AD132" t="s">
        <v>6953</v>
      </c>
      <c r="AE132" t="s">
        <v>6954</v>
      </c>
      <c r="AF132" t="s">
        <v>6955</v>
      </c>
      <c r="AG132" t="s">
        <v>6956</v>
      </c>
      <c r="AH132" t="s">
        <v>6957</v>
      </c>
      <c r="AI132" t="s">
        <v>6958</v>
      </c>
      <c r="AJ132" t="s">
        <v>6959</v>
      </c>
      <c r="AK132" t="s">
        <v>6976</v>
      </c>
      <c r="AL132" t="s">
        <v>6977</v>
      </c>
      <c r="AM132" t="s">
        <v>6978</v>
      </c>
      <c r="AN132" t="s">
        <v>6979</v>
      </c>
      <c r="AO132" t="s">
        <v>6980</v>
      </c>
      <c r="AR132" t="s">
        <v>4284</v>
      </c>
    </row>
    <row r="133" spans="1:44">
      <c r="A133">
        <v>11111620</v>
      </c>
      <c r="B133" t="s">
        <v>228</v>
      </c>
      <c r="C133" t="s">
        <v>1167</v>
      </c>
      <c r="D133" t="s">
        <v>1604</v>
      </c>
      <c r="E133" t="s">
        <v>1605</v>
      </c>
      <c r="F133" t="s">
        <v>1486</v>
      </c>
      <c r="G133" t="s">
        <v>1487</v>
      </c>
      <c r="H133" t="s">
        <v>2201</v>
      </c>
      <c r="I133" t="s">
        <v>4395</v>
      </c>
      <c r="J133" t="s">
        <v>2710</v>
      </c>
      <c r="K133" t="s">
        <v>2711</v>
      </c>
      <c r="M133">
        <v>50</v>
      </c>
      <c r="N133">
        <v>70</v>
      </c>
      <c r="O133" t="s">
        <v>2437</v>
      </c>
      <c r="P133" t="s">
        <v>2437</v>
      </c>
      <c r="R133" t="s">
        <v>2437</v>
      </c>
      <c r="T133" t="s">
        <v>2437</v>
      </c>
      <c r="U133" t="s">
        <v>2437</v>
      </c>
      <c r="V133" t="s">
        <v>2437</v>
      </c>
      <c r="Y133" t="s">
        <v>6948</v>
      </c>
      <c r="Z133" t="s">
        <v>6949</v>
      </c>
      <c r="AA133" t="s">
        <v>6950</v>
      </c>
      <c r="AB133" t="s">
        <v>6951</v>
      </c>
      <c r="AC133" t="s">
        <v>6952</v>
      </c>
      <c r="AD133" t="s">
        <v>6953</v>
      </c>
      <c r="AE133" t="s">
        <v>6954</v>
      </c>
      <c r="AF133" t="s">
        <v>6955</v>
      </c>
      <c r="AG133" t="s">
        <v>6956</v>
      </c>
      <c r="AH133" t="s">
        <v>6957</v>
      </c>
      <c r="AI133" t="s">
        <v>6958</v>
      </c>
      <c r="AJ133" t="s">
        <v>6959</v>
      </c>
      <c r="AR133" t="s">
        <v>4284</v>
      </c>
    </row>
    <row r="134" spans="1:44">
      <c r="A134">
        <v>11111621</v>
      </c>
      <c r="B134" t="s">
        <v>229</v>
      </c>
      <c r="C134" t="s">
        <v>1168</v>
      </c>
      <c r="D134" t="s">
        <v>1604</v>
      </c>
      <c r="E134" t="s">
        <v>1605</v>
      </c>
      <c r="F134" t="s">
        <v>1486</v>
      </c>
      <c r="G134" t="s">
        <v>1487</v>
      </c>
      <c r="H134" t="s">
        <v>2202</v>
      </c>
      <c r="I134" t="s">
        <v>4396</v>
      </c>
      <c r="J134" t="s">
        <v>2712</v>
      </c>
      <c r="K134" t="s">
        <v>2713</v>
      </c>
      <c r="M134">
        <v>50</v>
      </c>
      <c r="N134">
        <v>70</v>
      </c>
      <c r="O134" t="s">
        <v>2437</v>
      </c>
      <c r="P134" t="s">
        <v>2437</v>
      </c>
      <c r="R134" t="s">
        <v>2437</v>
      </c>
      <c r="T134" t="s">
        <v>2437</v>
      </c>
      <c r="U134" t="s">
        <v>2437</v>
      </c>
      <c r="V134" t="s">
        <v>2437</v>
      </c>
      <c r="Y134" t="s">
        <v>6948</v>
      </c>
      <c r="Z134" t="s">
        <v>6949</v>
      </c>
      <c r="AA134" t="s">
        <v>6950</v>
      </c>
      <c r="AB134" t="s">
        <v>6951</v>
      </c>
      <c r="AC134" t="s">
        <v>6952</v>
      </c>
      <c r="AD134" t="s">
        <v>6953</v>
      </c>
      <c r="AE134" t="s">
        <v>6954</v>
      </c>
      <c r="AF134" t="s">
        <v>6955</v>
      </c>
      <c r="AG134" t="s">
        <v>6956</v>
      </c>
      <c r="AH134" t="s">
        <v>6957</v>
      </c>
      <c r="AI134" t="s">
        <v>6958</v>
      </c>
      <c r="AJ134" t="s">
        <v>6959</v>
      </c>
      <c r="AR134" t="s">
        <v>4284</v>
      </c>
    </row>
    <row r="135" spans="1:44">
      <c r="A135">
        <v>11111622</v>
      </c>
      <c r="B135" t="s">
        <v>230</v>
      </c>
      <c r="C135" t="s">
        <v>1169</v>
      </c>
      <c r="D135" t="s">
        <v>1604</v>
      </c>
      <c r="E135" t="s">
        <v>1605</v>
      </c>
      <c r="F135" t="s">
        <v>1486</v>
      </c>
      <c r="G135" t="s">
        <v>1487</v>
      </c>
      <c r="H135" t="s">
        <v>2203</v>
      </c>
      <c r="I135" t="s">
        <v>4397</v>
      </c>
      <c r="J135" t="s">
        <v>2714</v>
      </c>
      <c r="K135" t="s">
        <v>2715</v>
      </c>
      <c r="M135">
        <v>50</v>
      </c>
      <c r="N135">
        <v>70</v>
      </c>
      <c r="O135" t="s">
        <v>2437</v>
      </c>
      <c r="P135" t="s">
        <v>2437</v>
      </c>
      <c r="R135" t="s">
        <v>2437</v>
      </c>
      <c r="T135" t="s">
        <v>2437</v>
      </c>
      <c r="U135" t="s">
        <v>2437</v>
      </c>
      <c r="V135" t="s">
        <v>2437</v>
      </c>
      <c r="Y135" t="s">
        <v>6948</v>
      </c>
      <c r="Z135" t="s">
        <v>6949</v>
      </c>
      <c r="AA135" t="s">
        <v>6950</v>
      </c>
      <c r="AB135" t="s">
        <v>6951</v>
      </c>
      <c r="AC135" t="s">
        <v>6952</v>
      </c>
      <c r="AD135" t="s">
        <v>6953</v>
      </c>
      <c r="AE135" t="s">
        <v>6954</v>
      </c>
      <c r="AF135" t="s">
        <v>6955</v>
      </c>
      <c r="AG135" t="s">
        <v>6956</v>
      </c>
      <c r="AH135" t="s">
        <v>6957</v>
      </c>
      <c r="AI135" t="s">
        <v>6958</v>
      </c>
      <c r="AJ135" t="s">
        <v>6959</v>
      </c>
      <c r="AR135" t="s">
        <v>4284</v>
      </c>
    </row>
    <row r="136" spans="1:44">
      <c r="A136">
        <v>11111624</v>
      </c>
      <c r="B136" t="s">
        <v>231</v>
      </c>
      <c r="C136" t="s">
        <v>1170</v>
      </c>
      <c r="D136" t="s">
        <v>1606</v>
      </c>
      <c r="E136" t="s">
        <v>1607</v>
      </c>
      <c r="F136" t="s">
        <v>1486</v>
      </c>
      <c r="G136" t="s">
        <v>1487</v>
      </c>
      <c r="H136" t="s">
        <v>2204</v>
      </c>
      <c r="I136" t="s">
        <v>4398</v>
      </c>
      <c r="J136" t="s">
        <v>2716</v>
      </c>
      <c r="K136" t="s">
        <v>2717</v>
      </c>
      <c r="M136">
        <v>50</v>
      </c>
      <c r="N136">
        <v>70</v>
      </c>
      <c r="O136" t="s">
        <v>2437</v>
      </c>
      <c r="P136" t="s">
        <v>2437</v>
      </c>
      <c r="R136" t="s">
        <v>2437</v>
      </c>
      <c r="T136" t="s">
        <v>2437</v>
      </c>
      <c r="U136" t="s">
        <v>2437</v>
      </c>
      <c r="V136" t="s">
        <v>2437</v>
      </c>
      <c r="Y136" t="s">
        <v>6948</v>
      </c>
      <c r="Z136" t="s">
        <v>6949</v>
      </c>
      <c r="AA136" t="s">
        <v>6950</v>
      </c>
      <c r="AB136" t="s">
        <v>6951</v>
      </c>
      <c r="AC136" t="s">
        <v>6952</v>
      </c>
      <c r="AD136" t="s">
        <v>6953</v>
      </c>
      <c r="AE136" t="s">
        <v>6954</v>
      </c>
      <c r="AF136" t="s">
        <v>6955</v>
      </c>
      <c r="AG136" t="s">
        <v>6956</v>
      </c>
      <c r="AH136" t="s">
        <v>6957</v>
      </c>
      <c r="AI136" t="s">
        <v>6958</v>
      </c>
      <c r="AJ136" t="s">
        <v>6959</v>
      </c>
      <c r="AR136" t="s">
        <v>4284</v>
      </c>
    </row>
    <row r="137" spans="1:44">
      <c r="A137">
        <v>11111625</v>
      </c>
      <c r="B137" t="s">
        <v>232</v>
      </c>
      <c r="C137" t="s">
        <v>1171</v>
      </c>
      <c r="D137" t="s">
        <v>1606</v>
      </c>
      <c r="E137" t="s">
        <v>1607</v>
      </c>
      <c r="F137" t="s">
        <v>1486</v>
      </c>
      <c r="G137" t="s">
        <v>1487</v>
      </c>
      <c r="H137" t="s">
        <v>2205</v>
      </c>
      <c r="I137" t="s">
        <v>4399</v>
      </c>
      <c r="J137" t="s">
        <v>2718</v>
      </c>
      <c r="K137" t="s">
        <v>2719</v>
      </c>
      <c r="M137">
        <v>50</v>
      </c>
      <c r="N137">
        <v>70</v>
      </c>
      <c r="O137" t="s">
        <v>2437</v>
      </c>
      <c r="P137" t="s">
        <v>2437</v>
      </c>
      <c r="R137" t="s">
        <v>2437</v>
      </c>
      <c r="T137" t="s">
        <v>2437</v>
      </c>
      <c r="U137" t="s">
        <v>2437</v>
      </c>
      <c r="V137" t="s">
        <v>2437</v>
      </c>
      <c r="Y137" t="s">
        <v>6948</v>
      </c>
      <c r="Z137" t="s">
        <v>6949</v>
      </c>
      <c r="AA137" t="s">
        <v>6950</v>
      </c>
      <c r="AB137" t="s">
        <v>6951</v>
      </c>
      <c r="AC137" t="s">
        <v>6952</v>
      </c>
      <c r="AD137" t="s">
        <v>6953</v>
      </c>
      <c r="AE137" t="s">
        <v>6954</v>
      </c>
      <c r="AF137" t="s">
        <v>6955</v>
      </c>
      <c r="AG137" t="s">
        <v>6956</v>
      </c>
      <c r="AH137" t="s">
        <v>6957</v>
      </c>
      <c r="AI137" t="s">
        <v>6958</v>
      </c>
      <c r="AJ137" t="s">
        <v>6959</v>
      </c>
      <c r="AR137" t="s">
        <v>4284</v>
      </c>
    </row>
    <row r="138" spans="1:44">
      <c r="A138">
        <v>11111626</v>
      </c>
      <c r="B138" t="s">
        <v>233</v>
      </c>
      <c r="C138" t="s">
        <v>1172</v>
      </c>
      <c r="D138" t="s">
        <v>1606</v>
      </c>
      <c r="E138" t="s">
        <v>1607</v>
      </c>
      <c r="F138" t="s">
        <v>1486</v>
      </c>
      <c r="G138" t="s">
        <v>1487</v>
      </c>
      <c r="H138" t="s">
        <v>2206</v>
      </c>
      <c r="I138" t="s">
        <v>4400</v>
      </c>
      <c r="J138" t="s">
        <v>2720</v>
      </c>
      <c r="K138" t="s">
        <v>2721</v>
      </c>
      <c r="M138">
        <v>50</v>
      </c>
      <c r="N138">
        <v>70</v>
      </c>
      <c r="O138" t="s">
        <v>2437</v>
      </c>
      <c r="P138" t="s">
        <v>2437</v>
      </c>
      <c r="R138" t="s">
        <v>2437</v>
      </c>
      <c r="T138" t="s">
        <v>2437</v>
      </c>
      <c r="U138" t="s">
        <v>2437</v>
      </c>
      <c r="V138" t="s">
        <v>2437</v>
      </c>
      <c r="Y138" t="s">
        <v>6948</v>
      </c>
      <c r="Z138" t="s">
        <v>6949</v>
      </c>
      <c r="AA138" t="s">
        <v>6950</v>
      </c>
      <c r="AB138" t="s">
        <v>6951</v>
      </c>
      <c r="AC138" t="s">
        <v>6952</v>
      </c>
      <c r="AD138" t="s">
        <v>6953</v>
      </c>
      <c r="AE138" t="s">
        <v>6954</v>
      </c>
      <c r="AF138" t="s">
        <v>6955</v>
      </c>
      <c r="AG138" t="s">
        <v>6956</v>
      </c>
      <c r="AH138" t="s">
        <v>6957</v>
      </c>
      <c r="AI138" t="s">
        <v>6958</v>
      </c>
      <c r="AJ138" t="s">
        <v>6959</v>
      </c>
      <c r="AR138" t="s">
        <v>4284</v>
      </c>
    </row>
    <row r="139" spans="1:44">
      <c r="A139">
        <v>11112452</v>
      </c>
      <c r="B139" t="s">
        <v>234</v>
      </c>
      <c r="C139" t="s">
        <v>1156</v>
      </c>
      <c r="D139" t="s">
        <v>1608</v>
      </c>
      <c r="E139" t="s">
        <v>1609</v>
      </c>
      <c r="F139" t="s">
        <v>1486</v>
      </c>
      <c r="G139" t="s">
        <v>1487</v>
      </c>
      <c r="H139" t="s">
        <v>2193</v>
      </c>
      <c r="I139" t="s">
        <v>4391</v>
      </c>
      <c r="J139" t="s">
        <v>2722</v>
      </c>
      <c r="K139" t="s">
        <v>2723</v>
      </c>
      <c r="M139">
        <v>50</v>
      </c>
      <c r="N139">
        <v>70</v>
      </c>
      <c r="O139" t="s">
        <v>2437</v>
      </c>
      <c r="P139" t="s">
        <v>2437</v>
      </c>
      <c r="R139" t="s">
        <v>2437</v>
      </c>
      <c r="T139" t="s">
        <v>2437</v>
      </c>
      <c r="U139" t="s">
        <v>2437</v>
      </c>
      <c r="V139" t="s">
        <v>2437</v>
      </c>
      <c r="Y139" t="s">
        <v>6948</v>
      </c>
      <c r="Z139" t="s">
        <v>6949</v>
      </c>
      <c r="AA139" t="s">
        <v>6950</v>
      </c>
      <c r="AB139" t="s">
        <v>6951</v>
      </c>
      <c r="AC139" t="s">
        <v>6952</v>
      </c>
      <c r="AD139" t="s">
        <v>6953</v>
      </c>
      <c r="AE139" t="s">
        <v>6954</v>
      </c>
      <c r="AF139" t="s">
        <v>6955</v>
      </c>
      <c r="AG139" t="s">
        <v>6956</v>
      </c>
      <c r="AH139" t="s">
        <v>6957</v>
      </c>
      <c r="AI139" t="s">
        <v>6958</v>
      </c>
      <c r="AJ139" t="s">
        <v>6959</v>
      </c>
      <c r="AR139" t="s">
        <v>4284</v>
      </c>
    </row>
    <row r="140" spans="1:44">
      <c r="A140">
        <v>11112453</v>
      </c>
      <c r="B140" t="s">
        <v>235</v>
      </c>
      <c r="C140" t="s">
        <v>1157</v>
      </c>
      <c r="D140" t="s">
        <v>1608</v>
      </c>
      <c r="E140" t="s">
        <v>1609</v>
      </c>
      <c r="F140" t="s">
        <v>1486</v>
      </c>
      <c r="G140" t="s">
        <v>1487</v>
      </c>
      <c r="H140" t="s">
        <v>2207</v>
      </c>
      <c r="I140" t="s">
        <v>4401</v>
      </c>
      <c r="J140" t="s">
        <v>2724</v>
      </c>
      <c r="K140" t="s">
        <v>2725</v>
      </c>
      <c r="M140">
        <v>50</v>
      </c>
      <c r="N140">
        <v>70</v>
      </c>
      <c r="O140" t="s">
        <v>2437</v>
      </c>
      <c r="P140" t="s">
        <v>2437</v>
      </c>
      <c r="R140" t="s">
        <v>2437</v>
      </c>
      <c r="T140" t="s">
        <v>2437</v>
      </c>
      <c r="U140" t="s">
        <v>2437</v>
      </c>
      <c r="V140" t="s">
        <v>2437</v>
      </c>
      <c r="Y140" t="s">
        <v>6948</v>
      </c>
      <c r="Z140" t="s">
        <v>6949</v>
      </c>
      <c r="AA140" t="s">
        <v>6950</v>
      </c>
      <c r="AB140" t="s">
        <v>6951</v>
      </c>
      <c r="AC140" t="s">
        <v>6952</v>
      </c>
      <c r="AD140" t="s">
        <v>6953</v>
      </c>
      <c r="AE140" t="s">
        <v>6954</v>
      </c>
      <c r="AF140" t="s">
        <v>6955</v>
      </c>
      <c r="AG140" t="s">
        <v>6956</v>
      </c>
      <c r="AH140" t="s">
        <v>6957</v>
      </c>
      <c r="AI140" t="s">
        <v>6958</v>
      </c>
      <c r="AJ140" t="s">
        <v>6959</v>
      </c>
      <c r="AR140" t="s">
        <v>4284</v>
      </c>
    </row>
    <row r="141" spans="1:44">
      <c r="A141">
        <v>11112454</v>
      </c>
      <c r="B141" t="s">
        <v>236</v>
      </c>
      <c r="C141" t="s">
        <v>1158</v>
      </c>
      <c r="D141" t="s">
        <v>1608</v>
      </c>
      <c r="E141" t="s">
        <v>1609</v>
      </c>
      <c r="F141" t="s">
        <v>1486</v>
      </c>
      <c r="G141" t="s">
        <v>1487</v>
      </c>
      <c r="H141" t="s">
        <v>2208</v>
      </c>
      <c r="I141" t="s">
        <v>4402</v>
      </c>
      <c r="J141" t="s">
        <v>2726</v>
      </c>
      <c r="K141" t="s">
        <v>2727</v>
      </c>
      <c r="M141">
        <v>50</v>
      </c>
      <c r="N141">
        <v>70</v>
      </c>
      <c r="O141" t="s">
        <v>2437</v>
      </c>
      <c r="P141" t="s">
        <v>2437</v>
      </c>
      <c r="R141" t="s">
        <v>2437</v>
      </c>
      <c r="T141" t="s">
        <v>2437</v>
      </c>
      <c r="U141" t="s">
        <v>2437</v>
      </c>
      <c r="V141" t="s">
        <v>2437</v>
      </c>
      <c r="Y141" t="s">
        <v>6948</v>
      </c>
      <c r="Z141" t="s">
        <v>6949</v>
      </c>
      <c r="AA141" t="s">
        <v>6950</v>
      </c>
      <c r="AB141" t="s">
        <v>6951</v>
      </c>
      <c r="AC141" t="s">
        <v>6952</v>
      </c>
      <c r="AD141" t="s">
        <v>6953</v>
      </c>
      <c r="AE141" t="s">
        <v>6954</v>
      </c>
      <c r="AF141" t="s">
        <v>6955</v>
      </c>
      <c r="AG141" t="s">
        <v>6956</v>
      </c>
      <c r="AH141" t="s">
        <v>6957</v>
      </c>
      <c r="AI141" t="s">
        <v>6958</v>
      </c>
      <c r="AJ141" t="s">
        <v>6959</v>
      </c>
      <c r="AR141" t="s">
        <v>4284</v>
      </c>
    </row>
    <row r="142" spans="1:44">
      <c r="A142">
        <v>11112455</v>
      </c>
      <c r="B142" t="s">
        <v>237</v>
      </c>
      <c r="C142" t="s">
        <v>1159</v>
      </c>
      <c r="D142" t="s">
        <v>1608</v>
      </c>
      <c r="E142" t="s">
        <v>1609</v>
      </c>
      <c r="F142" t="s">
        <v>1486</v>
      </c>
      <c r="G142" t="s">
        <v>1487</v>
      </c>
      <c r="H142" t="s">
        <v>2209</v>
      </c>
      <c r="I142" t="s">
        <v>4403</v>
      </c>
      <c r="J142" t="s">
        <v>2728</v>
      </c>
      <c r="K142" t="s">
        <v>2729</v>
      </c>
      <c r="M142">
        <v>50</v>
      </c>
      <c r="N142">
        <v>70</v>
      </c>
      <c r="O142" t="s">
        <v>2437</v>
      </c>
      <c r="P142" t="s">
        <v>2437</v>
      </c>
      <c r="R142" t="s">
        <v>2437</v>
      </c>
      <c r="T142" t="s">
        <v>2437</v>
      </c>
      <c r="U142" t="s">
        <v>2437</v>
      </c>
      <c r="V142" t="s">
        <v>2437</v>
      </c>
      <c r="Y142" t="s">
        <v>6948</v>
      </c>
      <c r="Z142" t="s">
        <v>6949</v>
      </c>
      <c r="AA142" t="s">
        <v>6950</v>
      </c>
      <c r="AB142" t="s">
        <v>6951</v>
      </c>
      <c r="AC142" t="s">
        <v>6952</v>
      </c>
      <c r="AD142" t="s">
        <v>6953</v>
      </c>
      <c r="AE142" t="s">
        <v>6954</v>
      </c>
      <c r="AF142" t="s">
        <v>6955</v>
      </c>
      <c r="AG142" t="s">
        <v>6956</v>
      </c>
      <c r="AH142" t="s">
        <v>6957</v>
      </c>
      <c r="AI142" t="s">
        <v>6958</v>
      </c>
      <c r="AJ142" t="s">
        <v>6959</v>
      </c>
      <c r="AR142" t="s">
        <v>4284</v>
      </c>
    </row>
    <row r="143" spans="1:44">
      <c r="A143">
        <v>11112456</v>
      </c>
      <c r="B143" t="s">
        <v>238</v>
      </c>
      <c r="C143" t="s">
        <v>1160</v>
      </c>
      <c r="D143" t="s">
        <v>1608</v>
      </c>
      <c r="E143" t="s">
        <v>1609</v>
      </c>
      <c r="F143" t="s">
        <v>1486</v>
      </c>
      <c r="G143" t="s">
        <v>1487</v>
      </c>
      <c r="H143" t="s">
        <v>2194</v>
      </c>
      <c r="I143" t="s">
        <v>4392</v>
      </c>
      <c r="J143" t="s">
        <v>2730</v>
      </c>
      <c r="K143" t="s">
        <v>2731</v>
      </c>
      <c r="M143">
        <v>50</v>
      </c>
      <c r="N143">
        <v>70</v>
      </c>
      <c r="O143" t="s">
        <v>2437</v>
      </c>
      <c r="P143" t="s">
        <v>2437</v>
      </c>
      <c r="R143" t="s">
        <v>2437</v>
      </c>
      <c r="T143" t="s">
        <v>2437</v>
      </c>
      <c r="U143" t="s">
        <v>2437</v>
      </c>
      <c r="V143" t="s">
        <v>2437</v>
      </c>
      <c r="Y143" t="s">
        <v>6948</v>
      </c>
      <c r="Z143" t="s">
        <v>6949</v>
      </c>
      <c r="AA143" t="s">
        <v>6950</v>
      </c>
      <c r="AB143" t="s">
        <v>6951</v>
      </c>
      <c r="AC143" t="s">
        <v>6952</v>
      </c>
      <c r="AD143" t="s">
        <v>6953</v>
      </c>
      <c r="AE143" t="s">
        <v>6954</v>
      </c>
      <c r="AF143" t="s">
        <v>6955</v>
      </c>
      <c r="AG143" t="s">
        <v>6956</v>
      </c>
      <c r="AH143" t="s">
        <v>6957</v>
      </c>
      <c r="AI143" t="s">
        <v>6958</v>
      </c>
      <c r="AJ143" t="s">
        <v>6959</v>
      </c>
      <c r="AR143" t="s">
        <v>4284</v>
      </c>
    </row>
    <row r="144" spans="1:44">
      <c r="A144">
        <v>11112457</v>
      </c>
      <c r="B144" t="s">
        <v>239</v>
      </c>
      <c r="C144" t="s">
        <v>1161</v>
      </c>
      <c r="D144" t="s">
        <v>1608</v>
      </c>
      <c r="E144" t="s">
        <v>1609</v>
      </c>
      <c r="F144" t="s">
        <v>1486</v>
      </c>
      <c r="G144" t="s">
        <v>1487</v>
      </c>
      <c r="H144" t="s">
        <v>2210</v>
      </c>
      <c r="I144" t="s">
        <v>4404</v>
      </c>
      <c r="J144" t="s">
        <v>2732</v>
      </c>
      <c r="K144" t="s">
        <v>2733</v>
      </c>
      <c r="M144">
        <v>50</v>
      </c>
      <c r="N144">
        <v>70</v>
      </c>
      <c r="O144" t="s">
        <v>2437</v>
      </c>
      <c r="P144" t="s">
        <v>2437</v>
      </c>
      <c r="R144" t="s">
        <v>2437</v>
      </c>
      <c r="T144" t="s">
        <v>2437</v>
      </c>
      <c r="U144" t="s">
        <v>2437</v>
      </c>
      <c r="V144" t="s">
        <v>2437</v>
      </c>
      <c r="Y144" t="s">
        <v>6948</v>
      </c>
      <c r="Z144" t="s">
        <v>6949</v>
      </c>
      <c r="AA144" t="s">
        <v>6950</v>
      </c>
      <c r="AB144" t="s">
        <v>6951</v>
      </c>
      <c r="AC144" t="s">
        <v>6952</v>
      </c>
      <c r="AD144" t="s">
        <v>6953</v>
      </c>
      <c r="AE144" t="s">
        <v>6954</v>
      </c>
      <c r="AF144" t="s">
        <v>6955</v>
      </c>
      <c r="AG144" t="s">
        <v>6956</v>
      </c>
      <c r="AH144" t="s">
        <v>6957</v>
      </c>
      <c r="AI144" t="s">
        <v>6958</v>
      </c>
      <c r="AJ144" t="s">
        <v>6959</v>
      </c>
      <c r="AR144" t="s">
        <v>4284</v>
      </c>
    </row>
    <row r="145" spans="1:44">
      <c r="A145">
        <v>11110152</v>
      </c>
      <c r="B145" t="s">
        <v>240</v>
      </c>
      <c r="C145" t="s">
        <v>1173</v>
      </c>
      <c r="D145" t="s">
        <v>1610</v>
      </c>
      <c r="E145" t="s">
        <v>1611</v>
      </c>
      <c r="F145" t="s">
        <v>1517</v>
      </c>
      <c r="G145" t="s">
        <v>1518</v>
      </c>
      <c r="H145" t="s">
        <v>2211</v>
      </c>
      <c r="I145" t="s">
        <v>4405</v>
      </c>
      <c r="J145" t="s">
        <v>2734</v>
      </c>
      <c r="K145" t="s">
        <v>2735</v>
      </c>
      <c r="M145">
        <v>60</v>
      </c>
      <c r="N145">
        <v>70</v>
      </c>
      <c r="O145" t="s">
        <v>2437</v>
      </c>
      <c r="P145" t="s">
        <v>2437</v>
      </c>
      <c r="R145" t="s">
        <v>2437</v>
      </c>
      <c r="T145" t="s">
        <v>2437</v>
      </c>
      <c r="U145" t="s">
        <v>2437</v>
      </c>
      <c r="V145" t="s">
        <v>2437</v>
      </c>
      <c r="Y145" t="s">
        <v>6948</v>
      </c>
      <c r="Z145" t="s">
        <v>6949</v>
      </c>
      <c r="AA145" t="s">
        <v>6950</v>
      </c>
      <c r="AB145" t="s">
        <v>6951</v>
      </c>
      <c r="AC145" t="s">
        <v>6952</v>
      </c>
      <c r="AD145" t="s">
        <v>6953</v>
      </c>
      <c r="AE145" t="s">
        <v>6961</v>
      </c>
      <c r="AF145" t="s">
        <v>6962</v>
      </c>
      <c r="AG145" t="s">
        <v>6963</v>
      </c>
      <c r="AH145" t="s">
        <v>6964</v>
      </c>
      <c r="AI145" t="s">
        <v>6965</v>
      </c>
      <c r="AJ145" t="s">
        <v>6966</v>
      </c>
      <c r="AR145" t="s">
        <v>4284</v>
      </c>
    </row>
    <row r="146" spans="1:44">
      <c r="A146">
        <v>11110153</v>
      </c>
      <c r="B146" t="s">
        <v>241</v>
      </c>
      <c r="C146" t="s">
        <v>1174</v>
      </c>
      <c r="D146" t="s">
        <v>1610</v>
      </c>
      <c r="E146" t="s">
        <v>1611</v>
      </c>
      <c r="F146" t="s">
        <v>1517</v>
      </c>
      <c r="G146" t="s">
        <v>1518</v>
      </c>
      <c r="H146" t="s">
        <v>2212</v>
      </c>
      <c r="I146" t="s">
        <v>4406</v>
      </c>
      <c r="J146" t="s">
        <v>2736</v>
      </c>
      <c r="K146" t="s">
        <v>2737</v>
      </c>
      <c r="M146">
        <v>60</v>
      </c>
      <c r="N146">
        <v>70</v>
      </c>
      <c r="O146" t="s">
        <v>2437</v>
      </c>
      <c r="P146" t="s">
        <v>2437</v>
      </c>
      <c r="R146" t="s">
        <v>2437</v>
      </c>
      <c r="T146" t="s">
        <v>2437</v>
      </c>
      <c r="U146" t="s">
        <v>2437</v>
      </c>
      <c r="V146" t="s">
        <v>2437</v>
      </c>
      <c r="Y146" t="s">
        <v>6948</v>
      </c>
      <c r="Z146" t="s">
        <v>6949</v>
      </c>
      <c r="AA146" t="s">
        <v>6950</v>
      </c>
      <c r="AB146" t="s">
        <v>6951</v>
      </c>
      <c r="AC146" t="s">
        <v>6952</v>
      </c>
      <c r="AD146" t="s">
        <v>6953</v>
      </c>
      <c r="AE146" t="s">
        <v>6961</v>
      </c>
      <c r="AF146" t="s">
        <v>6962</v>
      </c>
      <c r="AG146" t="s">
        <v>6963</v>
      </c>
      <c r="AH146" t="s">
        <v>6964</v>
      </c>
      <c r="AI146" t="s">
        <v>6965</v>
      </c>
      <c r="AJ146" t="s">
        <v>6966</v>
      </c>
      <c r="AR146" t="s">
        <v>4284</v>
      </c>
    </row>
    <row r="147" spans="1:44">
      <c r="A147">
        <v>11110150</v>
      </c>
      <c r="B147" t="s">
        <v>242</v>
      </c>
      <c r="C147" t="s">
        <v>1175</v>
      </c>
      <c r="D147" t="s">
        <v>1610</v>
      </c>
      <c r="E147" t="s">
        <v>1611</v>
      </c>
      <c r="F147" t="s">
        <v>1517</v>
      </c>
      <c r="G147" t="s">
        <v>1518</v>
      </c>
      <c r="H147" t="s">
        <v>2213</v>
      </c>
      <c r="I147" t="s">
        <v>4371</v>
      </c>
      <c r="J147" t="s">
        <v>2738</v>
      </c>
      <c r="K147" t="s">
        <v>2739</v>
      </c>
      <c r="M147">
        <v>60</v>
      </c>
      <c r="N147">
        <v>70</v>
      </c>
      <c r="O147" t="s">
        <v>2437</v>
      </c>
      <c r="P147" t="s">
        <v>2437</v>
      </c>
      <c r="R147" t="s">
        <v>2437</v>
      </c>
      <c r="T147" t="s">
        <v>2437</v>
      </c>
      <c r="U147" t="s">
        <v>2437</v>
      </c>
      <c r="V147" t="s">
        <v>2437</v>
      </c>
      <c r="Y147" t="s">
        <v>6948</v>
      </c>
      <c r="Z147" t="s">
        <v>6949</v>
      </c>
      <c r="AA147" t="s">
        <v>6950</v>
      </c>
      <c r="AB147" t="s">
        <v>6951</v>
      </c>
      <c r="AC147" t="s">
        <v>6952</v>
      </c>
      <c r="AD147" t="s">
        <v>6953</v>
      </c>
      <c r="AE147" t="s">
        <v>6961</v>
      </c>
      <c r="AF147" t="s">
        <v>6962</v>
      </c>
      <c r="AG147" t="s">
        <v>6963</v>
      </c>
      <c r="AH147" t="s">
        <v>6964</v>
      </c>
      <c r="AI147" t="s">
        <v>6965</v>
      </c>
      <c r="AJ147" t="s">
        <v>6966</v>
      </c>
      <c r="AR147" t="s">
        <v>4284</v>
      </c>
    </row>
    <row r="148" spans="1:44">
      <c r="A148">
        <v>11110151</v>
      </c>
      <c r="B148" t="s">
        <v>243</v>
      </c>
      <c r="C148" t="s">
        <v>1176</v>
      </c>
      <c r="D148" t="s">
        <v>1610</v>
      </c>
      <c r="E148" t="s">
        <v>1611</v>
      </c>
      <c r="F148" t="s">
        <v>1517</v>
      </c>
      <c r="G148" t="s">
        <v>1518</v>
      </c>
      <c r="H148" t="s">
        <v>2214</v>
      </c>
      <c r="I148" t="s">
        <v>4407</v>
      </c>
      <c r="J148" t="s">
        <v>2740</v>
      </c>
      <c r="K148" t="s">
        <v>2741</v>
      </c>
      <c r="M148">
        <v>60</v>
      </c>
      <c r="N148">
        <v>70</v>
      </c>
      <c r="O148" t="s">
        <v>2437</v>
      </c>
      <c r="P148" t="s">
        <v>2437</v>
      </c>
      <c r="R148" t="s">
        <v>2437</v>
      </c>
      <c r="T148" t="s">
        <v>2437</v>
      </c>
      <c r="U148" t="s">
        <v>2437</v>
      </c>
      <c r="V148" t="s">
        <v>2437</v>
      </c>
      <c r="Y148" t="s">
        <v>6948</v>
      </c>
      <c r="Z148" t="s">
        <v>6949</v>
      </c>
      <c r="AA148" t="s">
        <v>6950</v>
      </c>
      <c r="AB148" t="s">
        <v>6951</v>
      </c>
      <c r="AC148" t="s">
        <v>6952</v>
      </c>
      <c r="AD148" t="s">
        <v>6953</v>
      </c>
      <c r="AE148" t="s">
        <v>6961</v>
      </c>
      <c r="AF148" t="s">
        <v>6962</v>
      </c>
      <c r="AG148" t="s">
        <v>6963</v>
      </c>
      <c r="AH148" t="s">
        <v>6964</v>
      </c>
      <c r="AI148" t="s">
        <v>6965</v>
      </c>
      <c r="AJ148" t="s">
        <v>6966</v>
      </c>
      <c r="AR148" t="s">
        <v>4284</v>
      </c>
    </row>
    <row r="149" spans="1:44">
      <c r="A149">
        <v>11110137</v>
      </c>
      <c r="B149" t="s">
        <v>244</v>
      </c>
      <c r="C149" t="s">
        <v>1038</v>
      </c>
      <c r="D149" t="s">
        <v>1612</v>
      </c>
      <c r="E149" t="s">
        <v>1613</v>
      </c>
      <c r="F149" t="s">
        <v>1596</v>
      </c>
      <c r="G149" t="s">
        <v>1597</v>
      </c>
      <c r="H149" t="s">
        <v>2215</v>
      </c>
      <c r="I149" t="s">
        <v>4408</v>
      </c>
      <c r="J149" t="s">
        <v>2742</v>
      </c>
      <c r="K149" t="s">
        <v>2743</v>
      </c>
      <c r="M149">
        <v>60</v>
      </c>
      <c r="N149">
        <v>70</v>
      </c>
      <c r="O149" t="s">
        <v>2437</v>
      </c>
      <c r="P149" t="s">
        <v>2437</v>
      </c>
      <c r="R149" t="s">
        <v>2437</v>
      </c>
      <c r="T149" t="s">
        <v>2437</v>
      </c>
      <c r="U149" t="s">
        <v>2437</v>
      </c>
      <c r="V149" t="s">
        <v>2437</v>
      </c>
      <c r="Y149" t="s">
        <v>6948</v>
      </c>
      <c r="Z149" t="s">
        <v>6949</v>
      </c>
      <c r="AA149" t="s">
        <v>6950</v>
      </c>
      <c r="AB149" t="s">
        <v>6951</v>
      </c>
      <c r="AC149" t="s">
        <v>6952</v>
      </c>
      <c r="AD149" t="s">
        <v>6953</v>
      </c>
      <c r="AE149" t="s">
        <v>6961</v>
      </c>
      <c r="AF149" t="s">
        <v>6962</v>
      </c>
      <c r="AG149" t="s">
        <v>6963</v>
      </c>
      <c r="AH149" t="s">
        <v>6964</v>
      </c>
      <c r="AI149" t="s">
        <v>6965</v>
      </c>
      <c r="AJ149" t="s">
        <v>6966</v>
      </c>
      <c r="AR149" t="s">
        <v>4284</v>
      </c>
    </row>
    <row r="150" spans="1:44">
      <c r="A150">
        <v>11110139</v>
      </c>
      <c r="B150" t="s">
        <v>245</v>
      </c>
      <c r="C150" t="s">
        <v>1141</v>
      </c>
      <c r="D150" t="s">
        <v>1612</v>
      </c>
      <c r="E150" t="s">
        <v>1613</v>
      </c>
      <c r="F150" t="s">
        <v>1596</v>
      </c>
      <c r="G150" t="s">
        <v>1597</v>
      </c>
      <c r="H150" t="s">
        <v>2216</v>
      </c>
      <c r="I150" t="s">
        <v>4409</v>
      </c>
      <c r="J150" t="s">
        <v>2744</v>
      </c>
      <c r="K150" t="s">
        <v>2745</v>
      </c>
      <c r="M150">
        <v>60</v>
      </c>
      <c r="N150">
        <v>70</v>
      </c>
      <c r="O150" t="s">
        <v>2437</v>
      </c>
      <c r="P150" t="s">
        <v>2437</v>
      </c>
      <c r="R150" t="s">
        <v>2437</v>
      </c>
      <c r="T150" t="s">
        <v>2437</v>
      </c>
      <c r="U150" t="s">
        <v>2437</v>
      </c>
      <c r="V150" t="s">
        <v>2437</v>
      </c>
      <c r="Y150" t="s">
        <v>6948</v>
      </c>
      <c r="Z150" t="s">
        <v>6949</v>
      </c>
      <c r="AA150" t="s">
        <v>6950</v>
      </c>
      <c r="AB150" t="s">
        <v>6951</v>
      </c>
      <c r="AC150" t="s">
        <v>6952</v>
      </c>
      <c r="AD150" t="s">
        <v>6953</v>
      </c>
      <c r="AE150" t="s">
        <v>6961</v>
      </c>
      <c r="AF150" t="s">
        <v>6962</v>
      </c>
      <c r="AG150" t="s">
        <v>6963</v>
      </c>
      <c r="AH150" t="s">
        <v>6964</v>
      </c>
      <c r="AI150" t="s">
        <v>6965</v>
      </c>
      <c r="AJ150" t="s">
        <v>6966</v>
      </c>
      <c r="AR150" t="s">
        <v>4284</v>
      </c>
    </row>
    <row r="151" spans="1:44">
      <c r="A151">
        <v>11110143</v>
      </c>
      <c r="B151" t="s">
        <v>246</v>
      </c>
      <c r="C151" t="s">
        <v>1043</v>
      </c>
      <c r="D151" t="s">
        <v>1614</v>
      </c>
      <c r="E151" t="s">
        <v>1615</v>
      </c>
      <c r="F151" t="s">
        <v>1476</v>
      </c>
      <c r="G151" t="s">
        <v>1477</v>
      </c>
      <c r="H151" t="s">
        <v>2190</v>
      </c>
      <c r="I151" t="s">
        <v>4410</v>
      </c>
      <c r="J151" t="s">
        <v>2746</v>
      </c>
      <c r="K151" t="s">
        <v>2747</v>
      </c>
      <c r="M151">
        <v>60</v>
      </c>
      <c r="N151">
        <v>70</v>
      </c>
      <c r="O151" t="s">
        <v>2437</v>
      </c>
      <c r="P151" t="s">
        <v>2437</v>
      </c>
      <c r="R151" t="s">
        <v>2437</v>
      </c>
      <c r="T151" t="s">
        <v>2437</v>
      </c>
      <c r="U151" t="s">
        <v>2437</v>
      </c>
      <c r="V151" t="s">
        <v>2437</v>
      </c>
      <c r="Y151" t="s">
        <v>6948</v>
      </c>
      <c r="Z151" t="s">
        <v>6949</v>
      </c>
      <c r="AA151" t="s">
        <v>6950</v>
      </c>
      <c r="AB151" t="s">
        <v>6951</v>
      </c>
      <c r="AC151" t="s">
        <v>6952</v>
      </c>
      <c r="AD151" t="s">
        <v>6953</v>
      </c>
      <c r="AE151" t="s">
        <v>6961</v>
      </c>
      <c r="AF151" t="s">
        <v>6962</v>
      </c>
      <c r="AG151" t="s">
        <v>6963</v>
      </c>
      <c r="AH151" t="s">
        <v>6964</v>
      </c>
      <c r="AI151" t="s">
        <v>6965</v>
      </c>
      <c r="AJ151" t="s">
        <v>6966</v>
      </c>
      <c r="AR151" t="s">
        <v>4284</v>
      </c>
    </row>
    <row r="152" spans="1:44">
      <c r="A152">
        <v>11110145</v>
      </c>
      <c r="B152" t="s">
        <v>247</v>
      </c>
      <c r="C152" t="s">
        <v>1142</v>
      </c>
      <c r="D152" t="s">
        <v>1614</v>
      </c>
      <c r="E152" t="s">
        <v>1615</v>
      </c>
      <c r="F152" t="s">
        <v>1476</v>
      </c>
      <c r="G152" t="s">
        <v>1477</v>
      </c>
      <c r="H152" t="s">
        <v>2192</v>
      </c>
      <c r="I152" t="s">
        <v>4411</v>
      </c>
      <c r="J152" t="s">
        <v>2748</v>
      </c>
      <c r="K152" t="s">
        <v>2749</v>
      </c>
      <c r="M152">
        <v>60</v>
      </c>
      <c r="N152">
        <v>70</v>
      </c>
      <c r="O152" t="s">
        <v>2437</v>
      </c>
      <c r="P152" t="s">
        <v>2437</v>
      </c>
      <c r="R152" t="s">
        <v>2437</v>
      </c>
      <c r="T152" t="s">
        <v>2437</v>
      </c>
      <c r="U152" t="s">
        <v>2437</v>
      </c>
      <c r="V152" t="s">
        <v>2437</v>
      </c>
      <c r="Y152" t="s">
        <v>6948</v>
      </c>
      <c r="Z152" t="s">
        <v>6949</v>
      </c>
      <c r="AA152" t="s">
        <v>6950</v>
      </c>
      <c r="AB152" t="s">
        <v>6951</v>
      </c>
      <c r="AC152" t="s">
        <v>6952</v>
      </c>
      <c r="AD152" t="s">
        <v>6953</v>
      </c>
      <c r="AE152" t="s">
        <v>6961</v>
      </c>
      <c r="AF152" t="s">
        <v>6962</v>
      </c>
      <c r="AG152" t="s">
        <v>6963</v>
      </c>
      <c r="AH152" t="s">
        <v>6964</v>
      </c>
      <c r="AI152" t="s">
        <v>6965</v>
      </c>
      <c r="AJ152" t="s">
        <v>6966</v>
      </c>
      <c r="AR152" t="s">
        <v>4284</v>
      </c>
    </row>
    <row r="153" spans="1:44">
      <c r="A153">
        <v>11110638</v>
      </c>
      <c r="B153" t="s">
        <v>248</v>
      </c>
      <c r="C153" t="s">
        <v>1081</v>
      </c>
      <c r="D153" t="s">
        <v>1616</v>
      </c>
      <c r="E153" t="s">
        <v>1617</v>
      </c>
      <c r="F153" t="s">
        <v>1476</v>
      </c>
      <c r="G153" t="s">
        <v>1477</v>
      </c>
      <c r="H153" t="s">
        <v>2217</v>
      </c>
      <c r="I153" t="s">
        <v>4358</v>
      </c>
      <c r="J153" t="s">
        <v>2750</v>
      </c>
      <c r="K153" t="s">
        <v>2751</v>
      </c>
      <c r="M153">
        <v>50</v>
      </c>
      <c r="N153">
        <v>70</v>
      </c>
      <c r="O153" t="s">
        <v>2437</v>
      </c>
      <c r="P153" t="s">
        <v>2437</v>
      </c>
      <c r="R153" t="s">
        <v>2444</v>
      </c>
      <c r="T153" t="s">
        <v>2437</v>
      </c>
      <c r="U153" t="s">
        <v>2437</v>
      </c>
      <c r="V153" t="s">
        <v>2437</v>
      </c>
      <c r="Y153" t="s">
        <v>6948</v>
      </c>
      <c r="Z153" t="s">
        <v>6949</v>
      </c>
      <c r="AA153" t="s">
        <v>6950</v>
      </c>
      <c r="AB153" t="s">
        <v>6951</v>
      </c>
      <c r="AC153" t="s">
        <v>6952</v>
      </c>
      <c r="AD153" t="s">
        <v>6953</v>
      </c>
      <c r="AE153" t="s">
        <v>6954</v>
      </c>
      <c r="AF153" t="s">
        <v>6955</v>
      </c>
      <c r="AG153" t="s">
        <v>6956</v>
      </c>
      <c r="AH153" t="s">
        <v>6957</v>
      </c>
      <c r="AI153" t="s">
        <v>6958</v>
      </c>
      <c r="AJ153" t="s">
        <v>6959</v>
      </c>
      <c r="AR153" t="s">
        <v>4284</v>
      </c>
    </row>
    <row r="154" spans="1:44">
      <c r="A154">
        <v>11111688</v>
      </c>
      <c r="B154" t="s">
        <v>249</v>
      </c>
      <c r="C154" t="s">
        <v>1057</v>
      </c>
      <c r="D154" t="s">
        <v>1618</v>
      </c>
      <c r="E154" t="s">
        <v>1619</v>
      </c>
      <c r="F154" t="s">
        <v>1537</v>
      </c>
      <c r="G154" t="s">
        <v>1538</v>
      </c>
      <c r="H154" t="s">
        <v>2126</v>
      </c>
      <c r="I154" t="s">
        <v>4347</v>
      </c>
      <c r="J154" t="s">
        <v>2752</v>
      </c>
      <c r="K154" t="s">
        <v>2753</v>
      </c>
      <c r="M154">
        <v>50</v>
      </c>
      <c r="N154">
        <v>70</v>
      </c>
      <c r="O154" t="s">
        <v>2437</v>
      </c>
      <c r="P154" t="s">
        <v>2437</v>
      </c>
      <c r="R154" t="s">
        <v>2437</v>
      </c>
      <c r="T154" t="s">
        <v>2437</v>
      </c>
      <c r="U154" t="s">
        <v>2437</v>
      </c>
      <c r="V154" t="s">
        <v>2437</v>
      </c>
      <c r="Y154" t="s">
        <v>6948</v>
      </c>
      <c r="Z154" t="s">
        <v>6949</v>
      </c>
      <c r="AA154" t="s">
        <v>6950</v>
      </c>
      <c r="AB154" t="s">
        <v>6951</v>
      </c>
      <c r="AC154" t="s">
        <v>6952</v>
      </c>
      <c r="AD154" t="s">
        <v>6953</v>
      </c>
      <c r="AE154" t="s">
        <v>6954</v>
      </c>
      <c r="AF154" t="s">
        <v>6955</v>
      </c>
      <c r="AG154" t="s">
        <v>6956</v>
      </c>
      <c r="AH154" t="s">
        <v>6957</v>
      </c>
      <c r="AI154" t="s">
        <v>6958</v>
      </c>
      <c r="AJ154" t="s">
        <v>6959</v>
      </c>
      <c r="AR154" t="s">
        <v>4284</v>
      </c>
    </row>
    <row r="155" spans="1:44">
      <c r="A155">
        <v>11111689</v>
      </c>
      <c r="B155" t="s">
        <v>250</v>
      </c>
      <c r="C155" t="s">
        <v>1058</v>
      </c>
      <c r="D155" t="s">
        <v>1618</v>
      </c>
      <c r="E155" t="s">
        <v>1619</v>
      </c>
      <c r="F155" t="s">
        <v>1539</v>
      </c>
      <c r="G155" t="s">
        <v>1540</v>
      </c>
      <c r="H155" t="s">
        <v>2127</v>
      </c>
      <c r="I155" t="s">
        <v>4348</v>
      </c>
      <c r="J155" t="s">
        <v>2754</v>
      </c>
      <c r="K155" t="s">
        <v>2755</v>
      </c>
      <c r="M155">
        <v>50</v>
      </c>
      <c r="N155">
        <v>70</v>
      </c>
      <c r="O155" t="s">
        <v>2437</v>
      </c>
      <c r="P155" t="s">
        <v>2437</v>
      </c>
      <c r="R155" t="s">
        <v>2437</v>
      </c>
      <c r="T155" t="s">
        <v>2437</v>
      </c>
      <c r="U155" t="s">
        <v>2437</v>
      </c>
      <c r="V155" t="s">
        <v>2437</v>
      </c>
      <c r="Y155" t="s">
        <v>6948</v>
      </c>
      <c r="Z155" t="s">
        <v>6949</v>
      </c>
      <c r="AA155" t="s">
        <v>6950</v>
      </c>
      <c r="AB155" t="s">
        <v>6951</v>
      </c>
      <c r="AC155" t="s">
        <v>6952</v>
      </c>
      <c r="AD155" t="s">
        <v>6953</v>
      </c>
      <c r="AE155" t="s">
        <v>6954</v>
      </c>
      <c r="AF155" t="s">
        <v>6955</v>
      </c>
      <c r="AG155" t="s">
        <v>6956</v>
      </c>
      <c r="AH155" t="s">
        <v>6957</v>
      </c>
      <c r="AI155" t="s">
        <v>6958</v>
      </c>
      <c r="AJ155" t="s">
        <v>6959</v>
      </c>
      <c r="AR155" t="s">
        <v>4284</v>
      </c>
    </row>
    <row r="156" spans="1:44">
      <c r="A156">
        <v>11111690</v>
      </c>
      <c r="B156" t="s">
        <v>251</v>
      </c>
      <c r="C156" t="s">
        <v>1059</v>
      </c>
      <c r="D156" t="s">
        <v>1618</v>
      </c>
      <c r="E156" t="s">
        <v>1619</v>
      </c>
      <c r="F156" t="s">
        <v>1541</v>
      </c>
      <c r="G156" t="s">
        <v>1542</v>
      </c>
      <c r="H156" t="s">
        <v>2128</v>
      </c>
      <c r="I156" t="s">
        <v>4349</v>
      </c>
      <c r="J156" t="s">
        <v>2756</v>
      </c>
      <c r="K156" t="s">
        <v>2757</v>
      </c>
      <c r="M156">
        <v>50</v>
      </c>
      <c r="N156">
        <v>70</v>
      </c>
      <c r="O156" t="s">
        <v>2437</v>
      </c>
      <c r="P156" t="s">
        <v>2437</v>
      </c>
      <c r="R156" t="s">
        <v>2437</v>
      </c>
      <c r="T156" t="s">
        <v>2437</v>
      </c>
      <c r="U156" t="s">
        <v>2437</v>
      </c>
      <c r="V156" t="s">
        <v>2437</v>
      </c>
      <c r="Y156" t="s">
        <v>6948</v>
      </c>
      <c r="Z156" t="s">
        <v>6949</v>
      </c>
      <c r="AA156" t="s">
        <v>6950</v>
      </c>
      <c r="AB156" t="s">
        <v>6951</v>
      </c>
      <c r="AC156" t="s">
        <v>6952</v>
      </c>
      <c r="AD156" t="s">
        <v>6953</v>
      </c>
      <c r="AE156" t="s">
        <v>6954</v>
      </c>
      <c r="AF156" t="s">
        <v>6955</v>
      </c>
      <c r="AG156" t="s">
        <v>6956</v>
      </c>
      <c r="AH156" t="s">
        <v>6957</v>
      </c>
      <c r="AI156" t="s">
        <v>6958</v>
      </c>
      <c r="AJ156" t="s">
        <v>6959</v>
      </c>
      <c r="AR156" t="s">
        <v>4284</v>
      </c>
    </row>
    <row r="157" spans="1:44">
      <c r="A157">
        <v>11111691</v>
      </c>
      <c r="B157" t="s">
        <v>252</v>
      </c>
      <c r="C157" t="s">
        <v>1056</v>
      </c>
      <c r="D157" t="s">
        <v>1620</v>
      </c>
      <c r="E157" t="s">
        <v>1621</v>
      </c>
      <c r="F157" t="s">
        <v>1531</v>
      </c>
      <c r="G157" t="s">
        <v>1532</v>
      </c>
      <c r="H157" t="s">
        <v>2124</v>
      </c>
      <c r="I157" t="s">
        <v>4345</v>
      </c>
      <c r="J157" t="s">
        <v>2758</v>
      </c>
      <c r="K157" t="s">
        <v>2759</v>
      </c>
      <c r="M157">
        <v>50</v>
      </c>
      <c r="N157">
        <v>70</v>
      </c>
      <c r="O157" t="s">
        <v>2437</v>
      </c>
      <c r="P157" t="s">
        <v>2437</v>
      </c>
      <c r="R157" t="s">
        <v>2437</v>
      </c>
      <c r="T157" t="s">
        <v>2437</v>
      </c>
      <c r="U157" t="s">
        <v>2437</v>
      </c>
      <c r="V157" t="s">
        <v>2437</v>
      </c>
      <c r="Y157" t="s">
        <v>6948</v>
      </c>
      <c r="Z157" t="s">
        <v>6949</v>
      </c>
      <c r="AA157" t="s">
        <v>6950</v>
      </c>
      <c r="AB157" t="s">
        <v>6951</v>
      </c>
      <c r="AC157" t="s">
        <v>6952</v>
      </c>
      <c r="AD157" t="s">
        <v>6953</v>
      </c>
      <c r="AE157" t="s">
        <v>6954</v>
      </c>
      <c r="AF157" t="s">
        <v>6955</v>
      </c>
      <c r="AG157" t="s">
        <v>6956</v>
      </c>
      <c r="AH157" t="s">
        <v>6957</v>
      </c>
      <c r="AI157" t="s">
        <v>6958</v>
      </c>
      <c r="AJ157" t="s">
        <v>6959</v>
      </c>
      <c r="AR157" t="s">
        <v>4284</v>
      </c>
    </row>
    <row r="158" spans="1:44">
      <c r="A158">
        <v>11111692</v>
      </c>
      <c r="B158" t="s">
        <v>253</v>
      </c>
      <c r="C158" t="s">
        <v>1055</v>
      </c>
      <c r="D158" t="s">
        <v>1622</v>
      </c>
      <c r="E158" t="s">
        <v>1623</v>
      </c>
      <c r="F158" t="s">
        <v>1592</v>
      </c>
      <c r="G158" t="s">
        <v>1593</v>
      </c>
      <c r="H158" t="s">
        <v>2218</v>
      </c>
      <c r="I158" t="s">
        <v>4412</v>
      </c>
      <c r="J158" t="s">
        <v>2760</v>
      </c>
      <c r="K158" t="s">
        <v>2761</v>
      </c>
      <c r="M158">
        <v>50</v>
      </c>
      <c r="N158">
        <v>70</v>
      </c>
      <c r="O158" t="s">
        <v>2437</v>
      </c>
      <c r="P158" t="s">
        <v>2437</v>
      </c>
      <c r="R158" t="s">
        <v>2437</v>
      </c>
      <c r="T158" t="s">
        <v>2437</v>
      </c>
      <c r="U158" t="s">
        <v>2437</v>
      </c>
      <c r="V158" t="s">
        <v>2437</v>
      </c>
      <c r="Y158" t="s">
        <v>6948</v>
      </c>
      <c r="Z158" t="s">
        <v>6949</v>
      </c>
      <c r="AA158" t="s">
        <v>6950</v>
      </c>
      <c r="AB158" t="s">
        <v>6951</v>
      </c>
      <c r="AC158" t="s">
        <v>6952</v>
      </c>
      <c r="AD158" t="s">
        <v>6953</v>
      </c>
      <c r="AE158" t="s">
        <v>6954</v>
      </c>
      <c r="AF158" t="s">
        <v>6955</v>
      </c>
      <c r="AG158" t="s">
        <v>6956</v>
      </c>
      <c r="AH158" t="s">
        <v>6957</v>
      </c>
      <c r="AI158" t="s">
        <v>6958</v>
      </c>
      <c r="AJ158" t="s">
        <v>6959</v>
      </c>
      <c r="AR158" t="s">
        <v>4284</v>
      </c>
    </row>
    <row r="159" spans="1:44">
      <c r="A159">
        <v>11111693</v>
      </c>
      <c r="B159" t="s">
        <v>254</v>
      </c>
      <c r="C159" t="s">
        <v>1178</v>
      </c>
      <c r="D159" t="s">
        <v>1622</v>
      </c>
      <c r="E159" t="s">
        <v>1623</v>
      </c>
      <c r="F159" t="s">
        <v>1592</v>
      </c>
      <c r="G159" t="s">
        <v>1593</v>
      </c>
      <c r="H159" t="s">
        <v>2219</v>
      </c>
      <c r="I159" t="s">
        <v>4413</v>
      </c>
      <c r="J159" t="s">
        <v>2762</v>
      </c>
      <c r="K159" t="s">
        <v>2763</v>
      </c>
      <c r="M159">
        <v>50</v>
      </c>
      <c r="N159">
        <v>70</v>
      </c>
      <c r="O159" t="s">
        <v>2437</v>
      </c>
      <c r="P159" t="s">
        <v>2437</v>
      </c>
      <c r="R159" t="s">
        <v>2437</v>
      </c>
      <c r="T159" t="s">
        <v>2437</v>
      </c>
      <c r="U159" t="s">
        <v>2437</v>
      </c>
      <c r="V159" t="s">
        <v>2437</v>
      </c>
      <c r="Y159" t="s">
        <v>6948</v>
      </c>
      <c r="Z159" t="s">
        <v>6949</v>
      </c>
      <c r="AA159" t="s">
        <v>6950</v>
      </c>
      <c r="AB159" t="s">
        <v>6951</v>
      </c>
      <c r="AC159" t="s">
        <v>6952</v>
      </c>
      <c r="AD159" t="s">
        <v>6953</v>
      </c>
      <c r="AE159" t="s">
        <v>6954</v>
      </c>
      <c r="AF159" t="s">
        <v>6955</v>
      </c>
      <c r="AG159" t="s">
        <v>6956</v>
      </c>
      <c r="AH159" t="s">
        <v>6957</v>
      </c>
      <c r="AI159" t="s">
        <v>6958</v>
      </c>
      <c r="AJ159" t="s">
        <v>6959</v>
      </c>
      <c r="AR159" t="s">
        <v>4284</v>
      </c>
    </row>
    <row r="160" spans="1:44">
      <c r="A160">
        <v>11111694</v>
      </c>
      <c r="B160" t="s">
        <v>255</v>
      </c>
      <c r="C160" t="s">
        <v>1033</v>
      </c>
      <c r="D160" t="s">
        <v>1622</v>
      </c>
      <c r="E160" t="s">
        <v>1623</v>
      </c>
      <c r="F160" t="s">
        <v>1592</v>
      </c>
      <c r="G160" t="s">
        <v>1593</v>
      </c>
      <c r="H160" t="s">
        <v>2125</v>
      </c>
      <c r="I160" t="s">
        <v>4346</v>
      </c>
      <c r="J160" t="s">
        <v>2764</v>
      </c>
      <c r="K160" t="s">
        <v>2765</v>
      </c>
      <c r="M160">
        <v>50</v>
      </c>
      <c r="N160">
        <v>70</v>
      </c>
      <c r="O160" t="s">
        <v>2437</v>
      </c>
      <c r="P160" t="s">
        <v>2437</v>
      </c>
      <c r="R160" t="s">
        <v>2437</v>
      </c>
      <c r="T160" t="s">
        <v>2437</v>
      </c>
      <c r="U160" t="s">
        <v>2437</v>
      </c>
      <c r="V160" t="s">
        <v>2437</v>
      </c>
      <c r="Y160" t="s">
        <v>6948</v>
      </c>
      <c r="Z160" t="s">
        <v>6949</v>
      </c>
      <c r="AA160" t="s">
        <v>6950</v>
      </c>
      <c r="AB160" t="s">
        <v>6951</v>
      </c>
      <c r="AC160" t="s">
        <v>6952</v>
      </c>
      <c r="AD160" t="s">
        <v>6953</v>
      </c>
      <c r="AE160" t="s">
        <v>6954</v>
      </c>
      <c r="AF160" t="s">
        <v>6955</v>
      </c>
      <c r="AG160" t="s">
        <v>6956</v>
      </c>
      <c r="AH160" t="s">
        <v>6957</v>
      </c>
      <c r="AI160" t="s">
        <v>6958</v>
      </c>
      <c r="AJ160" t="s">
        <v>6959</v>
      </c>
      <c r="AR160" t="s">
        <v>4284</v>
      </c>
    </row>
    <row r="161" spans="1:44">
      <c r="A161">
        <v>11111696</v>
      </c>
      <c r="B161" t="s">
        <v>256</v>
      </c>
      <c r="C161" t="s">
        <v>1035</v>
      </c>
      <c r="D161" t="s">
        <v>1620</v>
      </c>
      <c r="E161" t="s">
        <v>1621</v>
      </c>
      <c r="F161" t="s">
        <v>1531</v>
      </c>
      <c r="G161" t="s">
        <v>1532</v>
      </c>
      <c r="H161" t="s">
        <v>2137</v>
      </c>
      <c r="I161" t="s">
        <v>4359</v>
      </c>
      <c r="J161" t="s">
        <v>2766</v>
      </c>
      <c r="K161" t="s">
        <v>2767</v>
      </c>
      <c r="M161">
        <v>50</v>
      </c>
      <c r="N161">
        <v>70</v>
      </c>
      <c r="O161" t="s">
        <v>2437</v>
      </c>
      <c r="P161" t="s">
        <v>2437</v>
      </c>
      <c r="R161" t="s">
        <v>2437</v>
      </c>
      <c r="T161" t="s">
        <v>2437</v>
      </c>
      <c r="U161" t="s">
        <v>2437</v>
      </c>
      <c r="V161" t="s">
        <v>2437</v>
      </c>
      <c r="Y161" t="s">
        <v>6948</v>
      </c>
      <c r="Z161" t="s">
        <v>6949</v>
      </c>
      <c r="AA161" t="s">
        <v>6950</v>
      </c>
      <c r="AB161" t="s">
        <v>6951</v>
      </c>
      <c r="AC161" t="s">
        <v>6952</v>
      </c>
      <c r="AD161" t="s">
        <v>6953</v>
      </c>
      <c r="AE161" t="s">
        <v>6954</v>
      </c>
      <c r="AF161" t="s">
        <v>6955</v>
      </c>
      <c r="AG161" t="s">
        <v>6956</v>
      </c>
      <c r="AH161" t="s">
        <v>6957</v>
      </c>
      <c r="AI161" t="s">
        <v>6958</v>
      </c>
      <c r="AJ161" t="s">
        <v>6959</v>
      </c>
      <c r="AR161" t="s">
        <v>4284</v>
      </c>
    </row>
    <row r="162" spans="1:44">
      <c r="A162">
        <v>11111697</v>
      </c>
      <c r="B162" t="s">
        <v>257</v>
      </c>
      <c r="C162" t="s">
        <v>1112</v>
      </c>
      <c r="D162" t="s">
        <v>1620</v>
      </c>
      <c r="E162" t="s">
        <v>1621</v>
      </c>
      <c r="F162" t="s">
        <v>1531</v>
      </c>
      <c r="G162" t="s">
        <v>1532</v>
      </c>
      <c r="H162" t="s">
        <v>2123</v>
      </c>
      <c r="I162" t="s">
        <v>4344</v>
      </c>
      <c r="J162" t="s">
        <v>2768</v>
      </c>
      <c r="K162" t="s">
        <v>2769</v>
      </c>
      <c r="M162">
        <v>50</v>
      </c>
      <c r="N162">
        <v>70</v>
      </c>
      <c r="O162" t="s">
        <v>2437</v>
      </c>
      <c r="P162" t="s">
        <v>2437</v>
      </c>
      <c r="R162" t="s">
        <v>2437</v>
      </c>
      <c r="T162" t="s">
        <v>2437</v>
      </c>
      <c r="U162" t="s">
        <v>2437</v>
      </c>
      <c r="V162" t="s">
        <v>2437</v>
      </c>
      <c r="Y162" t="s">
        <v>6948</v>
      </c>
      <c r="Z162" t="s">
        <v>6949</v>
      </c>
      <c r="AA162" t="s">
        <v>6950</v>
      </c>
      <c r="AB162" t="s">
        <v>6951</v>
      </c>
      <c r="AC162" t="s">
        <v>6952</v>
      </c>
      <c r="AD162" t="s">
        <v>6953</v>
      </c>
      <c r="AE162" t="s">
        <v>6954</v>
      </c>
      <c r="AF162" t="s">
        <v>6955</v>
      </c>
      <c r="AG162" t="s">
        <v>6956</v>
      </c>
      <c r="AH162" t="s">
        <v>6957</v>
      </c>
      <c r="AI162" t="s">
        <v>6958</v>
      </c>
      <c r="AJ162" t="s">
        <v>6959</v>
      </c>
      <c r="AR162" t="s">
        <v>4284</v>
      </c>
    </row>
    <row r="163" spans="1:44">
      <c r="A163">
        <v>11111698</v>
      </c>
      <c r="B163" t="s">
        <v>258</v>
      </c>
      <c r="C163" t="s">
        <v>1036</v>
      </c>
      <c r="D163" t="s">
        <v>1620</v>
      </c>
      <c r="E163" t="s">
        <v>1621</v>
      </c>
      <c r="F163" t="s">
        <v>1531</v>
      </c>
      <c r="G163" t="s">
        <v>1532</v>
      </c>
      <c r="H163" t="s">
        <v>2132</v>
      </c>
      <c r="I163" t="s">
        <v>4353</v>
      </c>
      <c r="J163" t="s">
        <v>2770</v>
      </c>
      <c r="K163" t="s">
        <v>2771</v>
      </c>
      <c r="M163">
        <v>50</v>
      </c>
      <c r="N163">
        <v>70</v>
      </c>
      <c r="O163" t="s">
        <v>2437</v>
      </c>
      <c r="P163" t="s">
        <v>2437</v>
      </c>
      <c r="R163" t="s">
        <v>2437</v>
      </c>
      <c r="T163" t="s">
        <v>2437</v>
      </c>
      <c r="U163" t="s">
        <v>2437</v>
      </c>
      <c r="V163" t="s">
        <v>2437</v>
      </c>
      <c r="Y163" t="s">
        <v>6948</v>
      </c>
      <c r="Z163" t="s">
        <v>6949</v>
      </c>
      <c r="AA163" t="s">
        <v>6950</v>
      </c>
      <c r="AB163" t="s">
        <v>6951</v>
      </c>
      <c r="AC163" t="s">
        <v>6952</v>
      </c>
      <c r="AD163" t="s">
        <v>6953</v>
      </c>
      <c r="AE163" t="s">
        <v>6954</v>
      </c>
      <c r="AF163" t="s">
        <v>6955</v>
      </c>
      <c r="AG163" t="s">
        <v>6956</v>
      </c>
      <c r="AH163" t="s">
        <v>6957</v>
      </c>
      <c r="AI163" t="s">
        <v>6958</v>
      </c>
      <c r="AJ163" t="s">
        <v>6959</v>
      </c>
      <c r="AR163" t="s">
        <v>4284</v>
      </c>
    </row>
    <row r="164" spans="1:44">
      <c r="A164">
        <v>11111699</v>
      </c>
      <c r="B164" t="s">
        <v>259</v>
      </c>
      <c r="C164" t="s">
        <v>1026</v>
      </c>
      <c r="D164" t="s">
        <v>1624</v>
      </c>
      <c r="E164" t="s">
        <v>1625</v>
      </c>
      <c r="F164" t="s">
        <v>1537</v>
      </c>
      <c r="G164" t="s">
        <v>1538</v>
      </c>
      <c r="H164" t="s">
        <v>2220</v>
      </c>
      <c r="I164" t="s">
        <v>4414</v>
      </c>
      <c r="J164" t="s">
        <v>2772</v>
      </c>
      <c r="K164" t="s">
        <v>2773</v>
      </c>
      <c r="M164">
        <v>50</v>
      </c>
      <c r="N164">
        <v>70</v>
      </c>
      <c r="O164" t="s">
        <v>2437</v>
      </c>
      <c r="P164" t="s">
        <v>2437</v>
      </c>
      <c r="R164" t="s">
        <v>2437</v>
      </c>
      <c r="T164" t="s">
        <v>2437</v>
      </c>
      <c r="U164" t="s">
        <v>2437</v>
      </c>
      <c r="V164" t="s">
        <v>2437</v>
      </c>
      <c r="Y164" t="s">
        <v>6948</v>
      </c>
      <c r="Z164" t="s">
        <v>6949</v>
      </c>
      <c r="AA164" t="s">
        <v>6950</v>
      </c>
      <c r="AB164" t="s">
        <v>6951</v>
      </c>
      <c r="AC164" t="s">
        <v>6952</v>
      </c>
      <c r="AD164" t="s">
        <v>6953</v>
      </c>
      <c r="AE164" t="s">
        <v>6954</v>
      </c>
      <c r="AF164" t="s">
        <v>6955</v>
      </c>
      <c r="AG164" t="s">
        <v>6956</v>
      </c>
      <c r="AH164" t="s">
        <v>6957</v>
      </c>
      <c r="AI164" t="s">
        <v>6958</v>
      </c>
      <c r="AJ164" t="s">
        <v>6959</v>
      </c>
      <c r="AR164" t="s">
        <v>4284</v>
      </c>
    </row>
    <row r="165" spans="1:44">
      <c r="A165">
        <v>11111700</v>
      </c>
      <c r="B165" t="s">
        <v>260</v>
      </c>
      <c r="C165" t="s">
        <v>1179</v>
      </c>
      <c r="D165" t="s">
        <v>1624</v>
      </c>
      <c r="E165" t="s">
        <v>1625</v>
      </c>
      <c r="F165" t="s">
        <v>1537</v>
      </c>
      <c r="G165" t="s">
        <v>1538</v>
      </c>
      <c r="H165" t="s">
        <v>2129</v>
      </c>
      <c r="I165" t="s">
        <v>4350</v>
      </c>
      <c r="J165" t="s">
        <v>2774</v>
      </c>
      <c r="K165" t="s">
        <v>2775</v>
      </c>
      <c r="M165">
        <v>50</v>
      </c>
      <c r="N165">
        <v>70</v>
      </c>
      <c r="O165" t="s">
        <v>2437</v>
      </c>
      <c r="P165" t="s">
        <v>2437</v>
      </c>
      <c r="R165" t="s">
        <v>2437</v>
      </c>
      <c r="T165" t="s">
        <v>2437</v>
      </c>
      <c r="U165" t="s">
        <v>2437</v>
      </c>
      <c r="V165" t="s">
        <v>2437</v>
      </c>
      <c r="Y165" t="s">
        <v>6948</v>
      </c>
      <c r="Z165" t="s">
        <v>6949</v>
      </c>
      <c r="AA165" t="s">
        <v>6950</v>
      </c>
      <c r="AB165" t="s">
        <v>6951</v>
      </c>
      <c r="AC165" t="s">
        <v>6952</v>
      </c>
      <c r="AD165" t="s">
        <v>6953</v>
      </c>
      <c r="AE165" t="s">
        <v>6954</v>
      </c>
      <c r="AF165" t="s">
        <v>6955</v>
      </c>
      <c r="AG165" t="s">
        <v>6956</v>
      </c>
      <c r="AH165" t="s">
        <v>6957</v>
      </c>
      <c r="AI165" t="s">
        <v>6958</v>
      </c>
      <c r="AJ165" t="s">
        <v>6959</v>
      </c>
      <c r="AR165" t="s">
        <v>4284</v>
      </c>
    </row>
    <row r="166" spans="1:44">
      <c r="A166">
        <v>11111701</v>
      </c>
      <c r="B166" t="s">
        <v>261</v>
      </c>
      <c r="C166" t="s">
        <v>1180</v>
      </c>
      <c r="D166" t="s">
        <v>1624</v>
      </c>
      <c r="E166" t="s">
        <v>1625</v>
      </c>
      <c r="F166" t="s">
        <v>1539</v>
      </c>
      <c r="G166" t="s">
        <v>1540</v>
      </c>
      <c r="H166" t="s">
        <v>2130</v>
      </c>
      <c r="I166" t="s">
        <v>4351</v>
      </c>
      <c r="J166" t="s">
        <v>2776</v>
      </c>
      <c r="K166" t="s">
        <v>2777</v>
      </c>
      <c r="M166">
        <v>50</v>
      </c>
      <c r="N166">
        <v>70</v>
      </c>
      <c r="O166" t="s">
        <v>2437</v>
      </c>
      <c r="P166" t="s">
        <v>2437</v>
      </c>
      <c r="R166" t="s">
        <v>2437</v>
      </c>
      <c r="T166" t="s">
        <v>2437</v>
      </c>
      <c r="U166" t="s">
        <v>2437</v>
      </c>
      <c r="V166" t="s">
        <v>2437</v>
      </c>
      <c r="Y166" t="s">
        <v>6948</v>
      </c>
      <c r="Z166" t="s">
        <v>6949</v>
      </c>
      <c r="AA166" t="s">
        <v>6950</v>
      </c>
      <c r="AB166" t="s">
        <v>6951</v>
      </c>
      <c r="AC166" t="s">
        <v>6952</v>
      </c>
      <c r="AD166" t="s">
        <v>6953</v>
      </c>
      <c r="AE166" t="s">
        <v>6954</v>
      </c>
      <c r="AF166" t="s">
        <v>6955</v>
      </c>
      <c r="AG166" t="s">
        <v>6956</v>
      </c>
      <c r="AH166" t="s">
        <v>6957</v>
      </c>
      <c r="AI166" t="s">
        <v>6958</v>
      </c>
      <c r="AJ166" t="s">
        <v>6959</v>
      </c>
      <c r="AR166" t="s">
        <v>4284</v>
      </c>
    </row>
    <row r="167" spans="1:44">
      <c r="A167">
        <v>11111734</v>
      </c>
      <c r="B167" t="s">
        <v>262</v>
      </c>
      <c r="C167" t="s">
        <v>1181</v>
      </c>
      <c r="D167" t="s">
        <v>1626</v>
      </c>
      <c r="E167" t="s">
        <v>1627</v>
      </c>
      <c r="F167" t="s">
        <v>1537</v>
      </c>
      <c r="G167" t="s">
        <v>1538</v>
      </c>
      <c r="H167" t="s">
        <v>2126</v>
      </c>
      <c r="I167" t="s">
        <v>4347</v>
      </c>
      <c r="J167" t="s">
        <v>2778</v>
      </c>
      <c r="K167" t="s">
        <v>2779</v>
      </c>
      <c r="M167">
        <v>50</v>
      </c>
      <c r="N167">
        <v>70</v>
      </c>
      <c r="O167" t="s">
        <v>2437</v>
      </c>
      <c r="P167" t="s">
        <v>2437</v>
      </c>
      <c r="R167" t="s">
        <v>2437</v>
      </c>
      <c r="T167" t="s">
        <v>2437</v>
      </c>
      <c r="U167" t="s">
        <v>2437</v>
      </c>
      <c r="V167" t="s">
        <v>2437</v>
      </c>
      <c r="Y167" t="s">
        <v>6948</v>
      </c>
      <c r="Z167" t="s">
        <v>6949</v>
      </c>
      <c r="AA167" t="s">
        <v>6950</v>
      </c>
      <c r="AB167" t="s">
        <v>6951</v>
      </c>
      <c r="AC167" t="s">
        <v>6952</v>
      </c>
      <c r="AD167" t="s">
        <v>6953</v>
      </c>
      <c r="AE167" t="s">
        <v>6954</v>
      </c>
      <c r="AF167" t="s">
        <v>6955</v>
      </c>
      <c r="AG167" t="s">
        <v>6956</v>
      </c>
      <c r="AH167" t="s">
        <v>6957</v>
      </c>
      <c r="AI167" t="s">
        <v>6958</v>
      </c>
      <c r="AJ167" t="s">
        <v>6959</v>
      </c>
      <c r="AR167" t="s">
        <v>4284</v>
      </c>
    </row>
    <row r="168" spans="1:44">
      <c r="A168">
        <v>11111735</v>
      </c>
      <c r="B168" t="s">
        <v>263</v>
      </c>
      <c r="C168" t="s">
        <v>1182</v>
      </c>
      <c r="D168" t="s">
        <v>1626</v>
      </c>
      <c r="E168" t="s">
        <v>1627</v>
      </c>
      <c r="F168" t="s">
        <v>1537</v>
      </c>
      <c r="G168" t="s">
        <v>1538</v>
      </c>
      <c r="H168" t="s">
        <v>2129</v>
      </c>
      <c r="I168" t="s">
        <v>4350</v>
      </c>
      <c r="J168" t="s">
        <v>2780</v>
      </c>
      <c r="K168" t="s">
        <v>2781</v>
      </c>
      <c r="M168">
        <v>50</v>
      </c>
      <c r="N168">
        <v>70</v>
      </c>
      <c r="O168" t="s">
        <v>2437</v>
      </c>
      <c r="P168" t="s">
        <v>2437</v>
      </c>
      <c r="R168" t="s">
        <v>2437</v>
      </c>
      <c r="T168" t="s">
        <v>2437</v>
      </c>
      <c r="U168" t="s">
        <v>2437</v>
      </c>
      <c r="V168" t="s">
        <v>2437</v>
      </c>
      <c r="Y168" t="s">
        <v>6948</v>
      </c>
      <c r="Z168" t="s">
        <v>6949</v>
      </c>
      <c r="AA168" t="s">
        <v>6950</v>
      </c>
      <c r="AB168" t="s">
        <v>6951</v>
      </c>
      <c r="AC168" t="s">
        <v>6952</v>
      </c>
      <c r="AD168" t="s">
        <v>6953</v>
      </c>
      <c r="AE168" t="s">
        <v>6954</v>
      </c>
      <c r="AF168" t="s">
        <v>6955</v>
      </c>
      <c r="AG168" t="s">
        <v>6956</v>
      </c>
      <c r="AH168" t="s">
        <v>6957</v>
      </c>
      <c r="AI168" t="s">
        <v>6958</v>
      </c>
      <c r="AJ168" t="s">
        <v>6959</v>
      </c>
      <c r="AR168" t="s">
        <v>4284</v>
      </c>
    </row>
    <row r="169" spans="1:44">
      <c r="A169">
        <v>11111736</v>
      </c>
      <c r="B169" t="s">
        <v>264</v>
      </c>
      <c r="C169" t="s">
        <v>1183</v>
      </c>
      <c r="D169" t="s">
        <v>1626</v>
      </c>
      <c r="E169" t="s">
        <v>1627</v>
      </c>
      <c r="F169" t="s">
        <v>1539</v>
      </c>
      <c r="G169" t="s">
        <v>1540</v>
      </c>
      <c r="H169" t="s">
        <v>2127</v>
      </c>
      <c r="I169" t="s">
        <v>4348</v>
      </c>
      <c r="J169" t="s">
        <v>2782</v>
      </c>
      <c r="K169" t="s">
        <v>2783</v>
      </c>
      <c r="M169">
        <v>50</v>
      </c>
      <c r="N169">
        <v>70</v>
      </c>
      <c r="O169" t="s">
        <v>2437</v>
      </c>
      <c r="P169" t="s">
        <v>2437</v>
      </c>
      <c r="R169" t="s">
        <v>2437</v>
      </c>
      <c r="T169" t="s">
        <v>2437</v>
      </c>
      <c r="U169" t="s">
        <v>2437</v>
      </c>
      <c r="V169" t="s">
        <v>2437</v>
      </c>
      <c r="Y169" t="s">
        <v>6948</v>
      </c>
      <c r="Z169" t="s">
        <v>6949</v>
      </c>
      <c r="AA169" t="s">
        <v>6950</v>
      </c>
      <c r="AB169" t="s">
        <v>6951</v>
      </c>
      <c r="AC169" t="s">
        <v>6952</v>
      </c>
      <c r="AD169" t="s">
        <v>6953</v>
      </c>
      <c r="AE169" t="s">
        <v>6954</v>
      </c>
      <c r="AF169" t="s">
        <v>6955</v>
      </c>
      <c r="AG169" t="s">
        <v>6956</v>
      </c>
      <c r="AH169" t="s">
        <v>6957</v>
      </c>
      <c r="AI169" t="s">
        <v>6958</v>
      </c>
      <c r="AJ169" t="s">
        <v>6959</v>
      </c>
      <c r="AR169" t="s">
        <v>4284</v>
      </c>
    </row>
    <row r="170" spans="1:44">
      <c r="A170">
        <v>11111737</v>
      </c>
      <c r="B170" t="s">
        <v>265</v>
      </c>
      <c r="C170" t="s">
        <v>1184</v>
      </c>
      <c r="D170" t="s">
        <v>1626</v>
      </c>
      <c r="E170" t="s">
        <v>1627</v>
      </c>
      <c r="F170" t="s">
        <v>1539</v>
      </c>
      <c r="G170" t="s">
        <v>1540</v>
      </c>
      <c r="H170" t="s">
        <v>2130</v>
      </c>
      <c r="I170" t="s">
        <v>4351</v>
      </c>
      <c r="J170" t="s">
        <v>2784</v>
      </c>
      <c r="K170" t="s">
        <v>2785</v>
      </c>
      <c r="M170">
        <v>50</v>
      </c>
      <c r="N170">
        <v>70</v>
      </c>
      <c r="O170" t="s">
        <v>2437</v>
      </c>
      <c r="P170" t="s">
        <v>2437</v>
      </c>
      <c r="R170" t="s">
        <v>2437</v>
      </c>
      <c r="T170" t="s">
        <v>2437</v>
      </c>
      <c r="U170" t="s">
        <v>2437</v>
      </c>
      <c r="V170" t="s">
        <v>2437</v>
      </c>
      <c r="Y170" t="s">
        <v>6948</v>
      </c>
      <c r="Z170" t="s">
        <v>6949</v>
      </c>
      <c r="AA170" t="s">
        <v>6950</v>
      </c>
      <c r="AB170" t="s">
        <v>6951</v>
      </c>
      <c r="AC170" t="s">
        <v>6952</v>
      </c>
      <c r="AD170" t="s">
        <v>6953</v>
      </c>
      <c r="AE170" t="s">
        <v>6954</v>
      </c>
      <c r="AF170" t="s">
        <v>6955</v>
      </c>
      <c r="AG170" t="s">
        <v>6956</v>
      </c>
      <c r="AH170" t="s">
        <v>6957</v>
      </c>
      <c r="AI170" t="s">
        <v>6958</v>
      </c>
      <c r="AJ170" t="s">
        <v>6959</v>
      </c>
      <c r="AR170" t="s">
        <v>4284</v>
      </c>
    </row>
    <row r="171" spans="1:44">
      <c r="A171">
        <v>11111738</v>
      </c>
      <c r="B171" t="s">
        <v>266</v>
      </c>
      <c r="C171" t="s">
        <v>1185</v>
      </c>
      <c r="D171" t="s">
        <v>1626</v>
      </c>
      <c r="E171" t="s">
        <v>1627</v>
      </c>
      <c r="F171" t="s">
        <v>1541</v>
      </c>
      <c r="G171" t="s">
        <v>1542</v>
      </c>
      <c r="H171" t="s">
        <v>2128</v>
      </c>
      <c r="I171" t="s">
        <v>4349</v>
      </c>
      <c r="J171" t="s">
        <v>2786</v>
      </c>
      <c r="K171" t="s">
        <v>2787</v>
      </c>
      <c r="M171">
        <v>50</v>
      </c>
      <c r="N171">
        <v>70</v>
      </c>
      <c r="O171" t="s">
        <v>2437</v>
      </c>
      <c r="P171" t="s">
        <v>2437</v>
      </c>
      <c r="R171" t="s">
        <v>2437</v>
      </c>
      <c r="T171" t="s">
        <v>2437</v>
      </c>
      <c r="U171" t="s">
        <v>2437</v>
      </c>
      <c r="V171" t="s">
        <v>2437</v>
      </c>
      <c r="Y171" t="s">
        <v>6948</v>
      </c>
      <c r="Z171" t="s">
        <v>6949</v>
      </c>
      <c r="AA171" t="s">
        <v>6950</v>
      </c>
      <c r="AB171" t="s">
        <v>6951</v>
      </c>
      <c r="AC171" t="s">
        <v>6952</v>
      </c>
      <c r="AD171" t="s">
        <v>6953</v>
      </c>
      <c r="AE171" t="s">
        <v>6954</v>
      </c>
      <c r="AF171" t="s">
        <v>6955</v>
      </c>
      <c r="AG171" t="s">
        <v>6956</v>
      </c>
      <c r="AH171" t="s">
        <v>6957</v>
      </c>
      <c r="AI171" t="s">
        <v>6958</v>
      </c>
      <c r="AJ171" t="s">
        <v>6959</v>
      </c>
      <c r="AR171" t="s">
        <v>4284</v>
      </c>
    </row>
    <row r="172" spans="1:44">
      <c r="A172">
        <v>11111739</v>
      </c>
      <c r="B172" t="s">
        <v>267</v>
      </c>
      <c r="C172" t="s">
        <v>1186</v>
      </c>
      <c r="D172" t="s">
        <v>1626</v>
      </c>
      <c r="E172" t="s">
        <v>1627</v>
      </c>
      <c r="F172" t="s">
        <v>1541</v>
      </c>
      <c r="G172" t="s">
        <v>1542</v>
      </c>
      <c r="H172" t="s">
        <v>2131</v>
      </c>
      <c r="I172" t="s">
        <v>4352</v>
      </c>
      <c r="J172" t="s">
        <v>2788</v>
      </c>
      <c r="K172" t="s">
        <v>2789</v>
      </c>
      <c r="M172">
        <v>50</v>
      </c>
      <c r="N172">
        <v>70</v>
      </c>
      <c r="O172" t="s">
        <v>2437</v>
      </c>
      <c r="P172" t="s">
        <v>2437</v>
      </c>
      <c r="R172" t="s">
        <v>2437</v>
      </c>
      <c r="T172" t="s">
        <v>2437</v>
      </c>
      <c r="U172" t="s">
        <v>2437</v>
      </c>
      <c r="V172" t="s">
        <v>2437</v>
      </c>
      <c r="Y172" t="s">
        <v>6948</v>
      </c>
      <c r="Z172" t="s">
        <v>6949</v>
      </c>
      <c r="AA172" t="s">
        <v>6950</v>
      </c>
      <c r="AB172" t="s">
        <v>6951</v>
      </c>
      <c r="AC172" t="s">
        <v>6952</v>
      </c>
      <c r="AD172" t="s">
        <v>6953</v>
      </c>
      <c r="AE172" t="s">
        <v>6954</v>
      </c>
      <c r="AF172" t="s">
        <v>6955</v>
      </c>
      <c r="AG172" t="s">
        <v>6956</v>
      </c>
      <c r="AH172" t="s">
        <v>6957</v>
      </c>
      <c r="AI172" t="s">
        <v>6958</v>
      </c>
      <c r="AJ172" t="s">
        <v>6959</v>
      </c>
      <c r="AR172" t="s">
        <v>4284</v>
      </c>
    </row>
    <row r="173" spans="1:44">
      <c r="A173">
        <v>11111807</v>
      </c>
      <c r="B173" t="s">
        <v>268</v>
      </c>
      <c r="C173" t="s">
        <v>1187</v>
      </c>
      <c r="D173" t="s">
        <v>1628</v>
      </c>
      <c r="E173" t="s">
        <v>1629</v>
      </c>
      <c r="F173" t="s">
        <v>1586</v>
      </c>
      <c r="G173" t="s">
        <v>1587</v>
      </c>
      <c r="H173" t="s">
        <v>2180</v>
      </c>
      <c r="I173" t="s">
        <v>4385</v>
      </c>
      <c r="J173" t="s">
        <v>2790</v>
      </c>
      <c r="K173" t="s">
        <v>2791</v>
      </c>
      <c r="M173">
        <v>60</v>
      </c>
      <c r="N173">
        <v>70</v>
      </c>
      <c r="O173" t="s">
        <v>2437</v>
      </c>
      <c r="P173" t="s">
        <v>2437</v>
      </c>
      <c r="R173" t="s">
        <v>2437</v>
      </c>
      <c r="T173" t="s">
        <v>2437</v>
      </c>
      <c r="U173" t="s">
        <v>2437</v>
      </c>
      <c r="V173" t="s">
        <v>2437</v>
      </c>
      <c r="Y173" t="s">
        <v>6948</v>
      </c>
      <c r="Z173" t="s">
        <v>6949</v>
      </c>
      <c r="AA173" t="s">
        <v>6950</v>
      </c>
      <c r="AB173" t="s">
        <v>6951</v>
      </c>
      <c r="AC173" t="s">
        <v>6952</v>
      </c>
      <c r="AD173" t="s">
        <v>6953</v>
      </c>
      <c r="AE173" t="s">
        <v>6961</v>
      </c>
      <c r="AF173" t="s">
        <v>6962</v>
      </c>
      <c r="AG173" t="s">
        <v>6963</v>
      </c>
      <c r="AH173" t="s">
        <v>6964</v>
      </c>
      <c r="AI173" t="s">
        <v>6965</v>
      </c>
      <c r="AJ173" t="s">
        <v>6966</v>
      </c>
      <c r="AR173" t="s">
        <v>4284</v>
      </c>
    </row>
    <row r="174" spans="1:44">
      <c r="A174">
        <v>11111808</v>
      </c>
      <c r="B174" t="s">
        <v>269</v>
      </c>
      <c r="C174" t="s">
        <v>1188</v>
      </c>
      <c r="D174" t="s">
        <v>1628</v>
      </c>
      <c r="E174" t="s">
        <v>1629</v>
      </c>
      <c r="F174" t="s">
        <v>1586</v>
      </c>
      <c r="G174" t="s">
        <v>1587</v>
      </c>
      <c r="H174" t="s">
        <v>2182</v>
      </c>
      <c r="I174" t="s">
        <v>4377</v>
      </c>
      <c r="J174" t="s">
        <v>2792</v>
      </c>
      <c r="K174" t="s">
        <v>2793</v>
      </c>
      <c r="M174">
        <v>60</v>
      </c>
      <c r="N174">
        <v>70</v>
      </c>
      <c r="O174" t="s">
        <v>2437</v>
      </c>
      <c r="P174" t="s">
        <v>2437</v>
      </c>
      <c r="R174" t="s">
        <v>2437</v>
      </c>
      <c r="T174" t="s">
        <v>2437</v>
      </c>
      <c r="U174" t="s">
        <v>2437</v>
      </c>
      <c r="V174" t="s">
        <v>2437</v>
      </c>
      <c r="Y174" t="s">
        <v>6948</v>
      </c>
      <c r="Z174" t="s">
        <v>6949</v>
      </c>
      <c r="AA174" t="s">
        <v>6950</v>
      </c>
      <c r="AB174" t="s">
        <v>6951</v>
      </c>
      <c r="AC174" t="s">
        <v>6952</v>
      </c>
      <c r="AD174" t="s">
        <v>6953</v>
      </c>
      <c r="AE174" t="s">
        <v>6961</v>
      </c>
      <c r="AF174" t="s">
        <v>6962</v>
      </c>
      <c r="AG174" t="s">
        <v>6963</v>
      </c>
      <c r="AH174" t="s">
        <v>6964</v>
      </c>
      <c r="AI174" t="s">
        <v>6965</v>
      </c>
      <c r="AJ174" t="s">
        <v>6966</v>
      </c>
      <c r="AR174" t="s">
        <v>4284</v>
      </c>
    </row>
    <row r="175" spans="1:44">
      <c r="A175">
        <v>11111809</v>
      </c>
      <c r="B175" t="s">
        <v>270</v>
      </c>
      <c r="C175" t="s">
        <v>1189</v>
      </c>
      <c r="D175" t="s">
        <v>1628</v>
      </c>
      <c r="E175" t="s">
        <v>1629</v>
      </c>
      <c r="F175" t="s">
        <v>1586</v>
      </c>
      <c r="G175" t="s">
        <v>1587</v>
      </c>
      <c r="H175" t="s">
        <v>2184</v>
      </c>
      <c r="I175" t="s">
        <v>4388</v>
      </c>
      <c r="J175" t="s">
        <v>2794</v>
      </c>
      <c r="K175" t="s">
        <v>2795</v>
      </c>
      <c r="M175">
        <v>60</v>
      </c>
      <c r="N175">
        <v>70</v>
      </c>
      <c r="O175" t="s">
        <v>2437</v>
      </c>
      <c r="P175" t="s">
        <v>2437</v>
      </c>
      <c r="R175" t="s">
        <v>2437</v>
      </c>
      <c r="T175" t="s">
        <v>2437</v>
      </c>
      <c r="U175" t="s">
        <v>2437</v>
      </c>
      <c r="V175" t="s">
        <v>2437</v>
      </c>
      <c r="Y175" t="s">
        <v>6948</v>
      </c>
      <c r="Z175" t="s">
        <v>6949</v>
      </c>
      <c r="AA175" t="s">
        <v>6950</v>
      </c>
      <c r="AB175" t="s">
        <v>6951</v>
      </c>
      <c r="AC175" t="s">
        <v>6952</v>
      </c>
      <c r="AD175" t="s">
        <v>6953</v>
      </c>
      <c r="AE175" t="s">
        <v>6961</v>
      </c>
      <c r="AF175" t="s">
        <v>6962</v>
      </c>
      <c r="AG175" t="s">
        <v>6963</v>
      </c>
      <c r="AH175" t="s">
        <v>6964</v>
      </c>
      <c r="AI175" t="s">
        <v>6965</v>
      </c>
      <c r="AJ175" t="s">
        <v>6966</v>
      </c>
      <c r="AR175" t="s">
        <v>4284</v>
      </c>
    </row>
    <row r="176" spans="1:44">
      <c r="A176">
        <v>11111810</v>
      </c>
      <c r="B176" t="s">
        <v>271</v>
      </c>
      <c r="C176" t="s">
        <v>1190</v>
      </c>
      <c r="D176" t="s">
        <v>1628</v>
      </c>
      <c r="E176" t="s">
        <v>1629</v>
      </c>
      <c r="F176" t="s">
        <v>1586</v>
      </c>
      <c r="G176" t="s">
        <v>1587</v>
      </c>
      <c r="H176" t="s">
        <v>2179</v>
      </c>
      <c r="I176" t="s">
        <v>4376</v>
      </c>
      <c r="J176" t="s">
        <v>2796</v>
      </c>
      <c r="K176" t="s">
        <v>2797</v>
      </c>
      <c r="M176">
        <v>60</v>
      </c>
      <c r="N176">
        <v>70</v>
      </c>
      <c r="O176" t="s">
        <v>2437</v>
      </c>
      <c r="P176" t="s">
        <v>2437</v>
      </c>
      <c r="R176" t="s">
        <v>2437</v>
      </c>
      <c r="T176" t="s">
        <v>2437</v>
      </c>
      <c r="U176" t="s">
        <v>2437</v>
      </c>
      <c r="V176" t="s">
        <v>2437</v>
      </c>
      <c r="Y176" t="s">
        <v>6948</v>
      </c>
      <c r="Z176" t="s">
        <v>6949</v>
      </c>
      <c r="AA176" t="s">
        <v>6950</v>
      </c>
      <c r="AB176" t="s">
        <v>6951</v>
      </c>
      <c r="AC176" t="s">
        <v>6952</v>
      </c>
      <c r="AD176" t="s">
        <v>6953</v>
      </c>
      <c r="AE176" t="s">
        <v>6961</v>
      </c>
      <c r="AF176" t="s">
        <v>6962</v>
      </c>
      <c r="AG176" t="s">
        <v>6963</v>
      </c>
      <c r="AH176" t="s">
        <v>6964</v>
      </c>
      <c r="AI176" t="s">
        <v>6965</v>
      </c>
      <c r="AJ176" t="s">
        <v>6966</v>
      </c>
      <c r="AR176" t="s">
        <v>4284</v>
      </c>
    </row>
    <row r="177" spans="1:44">
      <c r="A177">
        <v>11111811</v>
      </c>
      <c r="B177" t="s">
        <v>272</v>
      </c>
      <c r="C177" t="s">
        <v>1191</v>
      </c>
      <c r="D177" t="s">
        <v>1628</v>
      </c>
      <c r="E177" t="s">
        <v>1629</v>
      </c>
      <c r="F177" t="s">
        <v>1586</v>
      </c>
      <c r="G177" t="s">
        <v>1587</v>
      </c>
      <c r="H177" t="s">
        <v>2181</v>
      </c>
      <c r="I177" t="s">
        <v>4386</v>
      </c>
      <c r="J177" t="s">
        <v>2798</v>
      </c>
      <c r="K177" t="s">
        <v>2799</v>
      </c>
      <c r="M177">
        <v>60</v>
      </c>
      <c r="N177">
        <v>70</v>
      </c>
      <c r="O177" t="s">
        <v>2437</v>
      </c>
      <c r="P177" t="s">
        <v>2437</v>
      </c>
      <c r="R177" t="s">
        <v>2437</v>
      </c>
      <c r="T177" t="s">
        <v>2437</v>
      </c>
      <c r="U177" t="s">
        <v>2437</v>
      </c>
      <c r="V177" t="s">
        <v>2437</v>
      </c>
      <c r="Y177" t="s">
        <v>6948</v>
      </c>
      <c r="Z177" t="s">
        <v>6949</v>
      </c>
      <c r="AA177" t="s">
        <v>6950</v>
      </c>
      <c r="AB177" t="s">
        <v>6951</v>
      </c>
      <c r="AC177" t="s">
        <v>6952</v>
      </c>
      <c r="AD177" t="s">
        <v>6953</v>
      </c>
      <c r="AE177" t="s">
        <v>6961</v>
      </c>
      <c r="AF177" t="s">
        <v>6962</v>
      </c>
      <c r="AG177" t="s">
        <v>6963</v>
      </c>
      <c r="AH177" t="s">
        <v>6964</v>
      </c>
      <c r="AI177" t="s">
        <v>6965</v>
      </c>
      <c r="AJ177" t="s">
        <v>6966</v>
      </c>
      <c r="AR177" t="s">
        <v>4284</v>
      </c>
    </row>
    <row r="178" spans="1:44">
      <c r="A178">
        <v>11111812</v>
      </c>
      <c r="B178" t="s">
        <v>273</v>
      </c>
      <c r="C178" t="s">
        <v>1192</v>
      </c>
      <c r="D178" t="s">
        <v>1628</v>
      </c>
      <c r="E178" t="s">
        <v>1629</v>
      </c>
      <c r="F178" t="s">
        <v>1586</v>
      </c>
      <c r="G178" t="s">
        <v>1587</v>
      </c>
      <c r="H178" t="s">
        <v>2183</v>
      </c>
      <c r="I178" t="s">
        <v>4387</v>
      </c>
      <c r="J178" t="s">
        <v>2800</v>
      </c>
      <c r="K178" t="s">
        <v>2801</v>
      </c>
      <c r="M178">
        <v>60</v>
      </c>
      <c r="N178">
        <v>70</v>
      </c>
      <c r="O178" t="s">
        <v>2437</v>
      </c>
      <c r="P178" t="s">
        <v>2437</v>
      </c>
      <c r="R178" t="s">
        <v>2437</v>
      </c>
      <c r="T178" t="s">
        <v>2437</v>
      </c>
      <c r="U178" t="s">
        <v>2437</v>
      </c>
      <c r="V178" t="s">
        <v>2437</v>
      </c>
      <c r="Y178" t="s">
        <v>6948</v>
      </c>
      <c r="Z178" t="s">
        <v>6949</v>
      </c>
      <c r="AA178" t="s">
        <v>6950</v>
      </c>
      <c r="AB178" t="s">
        <v>6951</v>
      </c>
      <c r="AC178" t="s">
        <v>6952</v>
      </c>
      <c r="AD178" t="s">
        <v>6953</v>
      </c>
      <c r="AE178" t="s">
        <v>6961</v>
      </c>
      <c r="AF178" t="s">
        <v>6962</v>
      </c>
      <c r="AG178" t="s">
        <v>6963</v>
      </c>
      <c r="AH178" t="s">
        <v>6964</v>
      </c>
      <c r="AI178" t="s">
        <v>6965</v>
      </c>
      <c r="AJ178" t="s">
        <v>6966</v>
      </c>
      <c r="AR178" t="s">
        <v>4284</v>
      </c>
    </row>
    <row r="179" spans="1:44">
      <c r="A179">
        <v>11112172</v>
      </c>
      <c r="B179" t="s">
        <v>274</v>
      </c>
      <c r="C179" t="s">
        <v>1193</v>
      </c>
      <c r="D179" t="s">
        <v>1630</v>
      </c>
      <c r="E179" t="s">
        <v>1631</v>
      </c>
      <c r="F179" t="s">
        <v>1486</v>
      </c>
      <c r="G179" t="s">
        <v>1487</v>
      </c>
      <c r="H179" t="s">
        <v>2221</v>
      </c>
      <c r="I179" t="s">
        <v>4415</v>
      </c>
      <c r="J179" t="s">
        <v>2802</v>
      </c>
      <c r="K179" t="s">
        <v>2803</v>
      </c>
      <c r="M179">
        <v>50</v>
      </c>
      <c r="N179">
        <v>70</v>
      </c>
      <c r="O179" t="s">
        <v>2437</v>
      </c>
      <c r="P179" t="s">
        <v>2437</v>
      </c>
      <c r="R179" t="s">
        <v>2437</v>
      </c>
      <c r="T179" t="s">
        <v>2437</v>
      </c>
      <c r="U179" t="s">
        <v>2437</v>
      </c>
      <c r="V179" t="s">
        <v>2437</v>
      </c>
      <c r="Y179" t="s">
        <v>6948</v>
      </c>
      <c r="Z179" t="s">
        <v>6949</v>
      </c>
      <c r="AA179" t="s">
        <v>6950</v>
      </c>
      <c r="AB179" t="s">
        <v>6951</v>
      </c>
      <c r="AC179" t="s">
        <v>6952</v>
      </c>
      <c r="AD179" t="s">
        <v>6953</v>
      </c>
      <c r="AE179" t="s">
        <v>6954</v>
      </c>
      <c r="AF179" t="s">
        <v>6955</v>
      </c>
      <c r="AG179" t="s">
        <v>6956</v>
      </c>
      <c r="AH179" t="s">
        <v>6957</v>
      </c>
      <c r="AI179" t="s">
        <v>6958</v>
      </c>
      <c r="AJ179" t="s">
        <v>6959</v>
      </c>
      <c r="AR179" t="s">
        <v>4284</v>
      </c>
    </row>
    <row r="180" spans="1:44">
      <c r="A180">
        <v>11112173</v>
      </c>
      <c r="B180" t="s">
        <v>275</v>
      </c>
      <c r="C180" t="s">
        <v>1086</v>
      </c>
      <c r="D180" t="s">
        <v>1630</v>
      </c>
      <c r="E180" t="s">
        <v>1631</v>
      </c>
      <c r="F180" t="s">
        <v>1486</v>
      </c>
      <c r="G180" t="s">
        <v>1487</v>
      </c>
      <c r="H180" t="s">
        <v>2222</v>
      </c>
      <c r="I180" t="s">
        <v>4318</v>
      </c>
      <c r="J180" t="s">
        <v>2804</v>
      </c>
      <c r="K180" t="s">
        <v>2805</v>
      </c>
      <c r="M180">
        <v>50</v>
      </c>
      <c r="N180">
        <v>70</v>
      </c>
      <c r="O180" t="s">
        <v>2437</v>
      </c>
      <c r="P180" t="s">
        <v>2437</v>
      </c>
      <c r="R180" t="s">
        <v>2437</v>
      </c>
      <c r="T180" t="s">
        <v>2437</v>
      </c>
      <c r="U180" t="s">
        <v>2437</v>
      </c>
      <c r="V180" t="s">
        <v>2437</v>
      </c>
      <c r="Y180" t="s">
        <v>6948</v>
      </c>
      <c r="Z180" t="s">
        <v>6949</v>
      </c>
      <c r="AA180" t="s">
        <v>6950</v>
      </c>
      <c r="AB180" t="s">
        <v>6951</v>
      </c>
      <c r="AC180" t="s">
        <v>6952</v>
      </c>
      <c r="AD180" t="s">
        <v>6953</v>
      </c>
      <c r="AE180" t="s">
        <v>6954</v>
      </c>
      <c r="AF180" t="s">
        <v>6955</v>
      </c>
      <c r="AG180" t="s">
        <v>6956</v>
      </c>
      <c r="AH180" t="s">
        <v>6957</v>
      </c>
      <c r="AI180" t="s">
        <v>6958</v>
      </c>
      <c r="AJ180" t="s">
        <v>6959</v>
      </c>
      <c r="AR180" t="s">
        <v>4284</v>
      </c>
    </row>
    <row r="181" spans="1:44">
      <c r="A181">
        <v>11112831</v>
      </c>
      <c r="B181" t="s">
        <v>276</v>
      </c>
      <c r="C181" t="s">
        <v>972</v>
      </c>
      <c r="D181" t="s">
        <v>1528</v>
      </c>
      <c r="E181" t="s">
        <v>1489</v>
      </c>
      <c r="F181" t="s">
        <v>1476</v>
      </c>
      <c r="G181" t="s">
        <v>1477</v>
      </c>
      <c r="H181" t="s">
        <v>2223</v>
      </c>
      <c r="I181" t="s">
        <v>4315</v>
      </c>
      <c r="J181" t="s">
        <v>2571</v>
      </c>
      <c r="K181" t="s">
        <v>2572</v>
      </c>
      <c r="M181">
        <v>60</v>
      </c>
      <c r="N181">
        <v>70</v>
      </c>
      <c r="O181">
        <v>68</v>
      </c>
      <c r="P181">
        <v>105</v>
      </c>
      <c r="R181" t="s">
        <v>2437</v>
      </c>
      <c r="T181" t="s">
        <v>2573</v>
      </c>
      <c r="U181" t="s">
        <v>2574</v>
      </c>
      <c r="V181" t="s">
        <v>89</v>
      </c>
      <c r="Y181" t="s">
        <v>6948</v>
      </c>
      <c r="Z181" t="s">
        <v>6949</v>
      </c>
      <c r="AA181" t="s">
        <v>6950</v>
      </c>
      <c r="AB181" t="s">
        <v>6951</v>
      </c>
      <c r="AC181" t="s">
        <v>6952</v>
      </c>
      <c r="AD181" t="s">
        <v>6953</v>
      </c>
      <c r="AE181" t="s">
        <v>6961</v>
      </c>
      <c r="AF181" t="s">
        <v>6962</v>
      </c>
      <c r="AG181" t="s">
        <v>6963</v>
      </c>
      <c r="AH181" t="s">
        <v>6964</v>
      </c>
      <c r="AI181" t="s">
        <v>6965</v>
      </c>
      <c r="AJ181" t="s">
        <v>6966</v>
      </c>
      <c r="AK181" t="s">
        <v>6969</v>
      </c>
      <c r="AL181" t="s">
        <v>6970</v>
      </c>
      <c r="AM181" t="s">
        <v>6971</v>
      </c>
      <c r="AN181" t="s">
        <v>6972</v>
      </c>
      <c r="AR181" t="s">
        <v>4284</v>
      </c>
    </row>
    <row r="182" spans="1:44">
      <c r="A182">
        <v>11112836</v>
      </c>
      <c r="B182" t="s">
        <v>277</v>
      </c>
      <c r="C182" t="s">
        <v>1064</v>
      </c>
      <c r="D182" t="s">
        <v>1528</v>
      </c>
      <c r="E182" t="s">
        <v>1489</v>
      </c>
      <c r="F182" t="s">
        <v>1476</v>
      </c>
      <c r="G182" t="s">
        <v>1477</v>
      </c>
      <c r="H182" t="s">
        <v>2224</v>
      </c>
      <c r="I182" t="s">
        <v>4312</v>
      </c>
      <c r="J182" t="s">
        <v>2583</v>
      </c>
      <c r="K182" t="s">
        <v>2584</v>
      </c>
      <c r="M182">
        <v>60</v>
      </c>
      <c r="N182">
        <v>70</v>
      </c>
      <c r="O182">
        <v>68</v>
      </c>
      <c r="P182">
        <v>105</v>
      </c>
      <c r="R182" t="s">
        <v>2437</v>
      </c>
      <c r="T182" t="s">
        <v>2585</v>
      </c>
      <c r="U182" t="s">
        <v>2586</v>
      </c>
      <c r="V182" t="s">
        <v>89</v>
      </c>
      <c r="Y182" t="s">
        <v>6948</v>
      </c>
      <c r="Z182" t="s">
        <v>6949</v>
      </c>
      <c r="AA182" t="s">
        <v>6950</v>
      </c>
      <c r="AB182" t="s">
        <v>6951</v>
      </c>
      <c r="AC182" t="s">
        <v>6952</v>
      </c>
      <c r="AD182" t="s">
        <v>6953</v>
      </c>
      <c r="AE182" t="s">
        <v>6961</v>
      </c>
      <c r="AF182" t="s">
        <v>6962</v>
      </c>
      <c r="AG182" t="s">
        <v>6963</v>
      </c>
      <c r="AH182" t="s">
        <v>6964</v>
      </c>
      <c r="AI182" t="s">
        <v>6965</v>
      </c>
      <c r="AJ182" t="s">
        <v>6966</v>
      </c>
      <c r="AK182" t="s">
        <v>6969</v>
      </c>
      <c r="AL182" t="s">
        <v>6970</v>
      </c>
      <c r="AM182" t="s">
        <v>6971</v>
      </c>
      <c r="AN182" t="s">
        <v>6972</v>
      </c>
      <c r="AR182" t="s">
        <v>4284</v>
      </c>
    </row>
    <row r="183" spans="1:44">
      <c r="A183">
        <v>11112833</v>
      </c>
      <c r="B183" t="s">
        <v>278</v>
      </c>
      <c r="C183" t="s">
        <v>968</v>
      </c>
      <c r="D183" t="s">
        <v>1528</v>
      </c>
      <c r="E183" t="s">
        <v>1489</v>
      </c>
      <c r="F183" t="s">
        <v>1476</v>
      </c>
      <c r="G183" t="s">
        <v>1477</v>
      </c>
      <c r="H183" t="s">
        <v>2225</v>
      </c>
      <c r="I183" t="s">
        <v>4313</v>
      </c>
      <c r="J183" t="s">
        <v>2587</v>
      </c>
      <c r="K183" t="s">
        <v>2588</v>
      </c>
      <c r="M183">
        <v>60</v>
      </c>
      <c r="N183">
        <v>70</v>
      </c>
      <c r="O183">
        <v>68</v>
      </c>
      <c r="P183">
        <v>105</v>
      </c>
      <c r="R183" t="s">
        <v>2437</v>
      </c>
      <c r="T183" t="s">
        <v>2589</v>
      </c>
      <c r="U183" t="s">
        <v>2590</v>
      </c>
      <c r="V183" t="s">
        <v>89</v>
      </c>
      <c r="Y183" t="s">
        <v>6948</v>
      </c>
      <c r="Z183" t="s">
        <v>6949</v>
      </c>
      <c r="AA183" t="s">
        <v>6950</v>
      </c>
      <c r="AB183" t="s">
        <v>6951</v>
      </c>
      <c r="AC183" t="s">
        <v>6952</v>
      </c>
      <c r="AD183" t="s">
        <v>6953</v>
      </c>
      <c r="AE183" t="s">
        <v>6961</v>
      </c>
      <c r="AF183" t="s">
        <v>6962</v>
      </c>
      <c r="AG183" t="s">
        <v>6963</v>
      </c>
      <c r="AH183" t="s">
        <v>6964</v>
      </c>
      <c r="AI183" t="s">
        <v>6965</v>
      </c>
      <c r="AJ183" t="s">
        <v>6966</v>
      </c>
      <c r="AK183" t="s">
        <v>6969</v>
      </c>
      <c r="AL183" t="s">
        <v>6970</v>
      </c>
      <c r="AM183" t="s">
        <v>6971</v>
      </c>
      <c r="AN183" t="s">
        <v>6972</v>
      </c>
      <c r="AR183" t="s">
        <v>4284</v>
      </c>
    </row>
    <row r="184" spans="1:44">
      <c r="A184">
        <v>11103500</v>
      </c>
      <c r="B184" t="s">
        <v>279</v>
      </c>
      <c r="C184" t="s">
        <v>1069</v>
      </c>
      <c r="D184" t="s">
        <v>1529</v>
      </c>
      <c r="E184" t="s">
        <v>1530</v>
      </c>
      <c r="F184" t="s">
        <v>1531</v>
      </c>
      <c r="G184" t="s">
        <v>1532</v>
      </c>
      <c r="H184" t="s">
        <v>2124</v>
      </c>
      <c r="I184" t="s">
        <v>4345</v>
      </c>
      <c r="J184" t="s">
        <v>2593</v>
      </c>
      <c r="K184" t="s">
        <v>2594</v>
      </c>
      <c r="M184">
        <v>50</v>
      </c>
      <c r="N184">
        <v>70</v>
      </c>
      <c r="O184" t="s">
        <v>2437</v>
      </c>
      <c r="P184" t="s">
        <v>2437</v>
      </c>
      <c r="R184" t="s">
        <v>2437</v>
      </c>
      <c r="T184" t="s">
        <v>2437</v>
      </c>
      <c r="U184" t="s">
        <v>2437</v>
      </c>
      <c r="V184" t="s">
        <v>2437</v>
      </c>
      <c r="Y184" t="s">
        <v>6948</v>
      </c>
      <c r="Z184" t="s">
        <v>6949</v>
      </c>
      <c r="AA184" t="s">
        <v>6950</v>
      </c>
      <c r="AB184" t="s">
        <v>6951</v>
      </c>
      <c r="AC184" t="s">
        <v>6952</v>
      </c>
      <c r="AD184" t="s">
        <v>6953</v>
      </c>
      <c r="AE184" t="s">
        <v>6954</v>
      </c>
      <c r="AF184" t="s">
        <v>6955</v>
      </c>
      <c r="AG184" t="s">
        <v>6956</v>
      </c>
      <c r="AH184" t="s">
        <v>6957</v>
      </c>
      <c r="AI184" t="s">
        <v>6958</v>
      </c>
      <c r="AJ184" t="s">
        <v>6959</v>
      </c>
      <c r="AR184" t="s">
        <v>4284</v>
      </c>
    </row>
    <row r="185" spans="1:44">
      <c r="A185">
        <v>11103501</v>
      </c>
      <c r="B185" t="s">
        <v>280</v>
      </c>
      <c r="C185" t="s">
        <v>1068</v>
      </c>
      <c r="D185" t="s">
        <v>1529</v>
      </c>
      <c r="E185" t="s">
        <v>1530</v>
      </c>
      <c r="F185" t="s">
        <v>1531</v>
      </c>
      <c r="G185" t="s">
        <v>1532</v>
      </c>
      <c r="H185" t="s">
        <v>2123</v>
      </c>
      <c r="I185" t="s">
        <v>4344</v>
      </c>
      <c r="J185" t="s">
        <v>2591</v>
      </c>
      <c r="K185" t="s">
        <v>2592</v>
      </c>
      <c r="M185">
        <v>50</v>
      </c>
      <c r="N185">
        <v>70</v>
      </c>
      <c r="O185" t="s">
        <v>2437</v>
      </c>
      <c r="P185" t="s">
        <v>2437</v>
      </c>
      <c r="R185" t="s">
        <v>2437</v>
      </c>
      <c r="T185" t="s">
        <v>2437</v>
      </c>
      <c r="U185" t="s">
        <v>2437</v>
      </c>
      <c r="V185" t="s">
        <v>2437</v>
      </c>
      <c r="Y185" t="s">
        <v>6948</v>
      </c>
      <c r="Z185" t="s">
        <v>6949</v>
      </c>
      <c r="AA185" t="s">
        <v>6950</v>
      </c>
      <c r="AB185" t="s">
        <v>6951</v>
      </c>
      <c r="AC185" t="s">
        <v>6952</v>
      </c>
      <c r="AD185" t="s">
        <v>6953</v>
      </c>
      <c r="AE185" t="s">
        <v>6954</v>
      </c>
      <c r="AF185" t="s">
        <v>6955</v>
      </c>
      <c r="AG185" t="s">
        <v>6956</v>
      </c>
      <c r="AH185" t="s">
        <v>6957</v>
      </c>
      <c r="AI185" t="s">
        <v>6958</v>
      </c>
      <c r="AJ185" t="s">
        <v>6959</v>
      </c>
      <c r="AR185" t="s">
        <v>4284</v>
      </c>
    </row>
    <row r="186" spans="1:44">
      <c r="A186">
        <v>11117130</v>
      </c>
      <c r="B186" t="s">
        <v>281</v>
      </c>
      <c r="C186" t="s">
        <v>994</v>
      </c>
      <c r="D186" t="s">
        <v>1632</v>
      </c>
      <c r="E186" t="s">
        <v>1633</v>
      </c>
      <c r="F186" t="s">
        <v>1548</v>
      </c>
      <c r="G186" t="s">
        <v>1549</v>
      </c>
      <c r="H186" t="s">
        <v>2155</v>
      </c>
      <c r="I186" t="s">
        <v>4335</v>
      </c>
      <c r="J186" t="s">
        <v>2806</v>
      </c>
      <c r="K186" t="s">
        <v>2807</v>
      </c>
      <c r="M186">
        <v>50</v>
      </c>
      <c r="N186">
        <v>70</v>
      </c>
      <c r="O186" t="s">
        <v>2437</v>
      </c>
      <c r="P186" t="s">
        <v>2437</v>
      </c>
      <c r="R186" t="s">
        <v>2437</v>
      </c>
      <c r="T186" t="s">
        <v>2437</v>
      </c>
      <c r="U186" t="s">
        <v>2437</v>
      </c>
      <c r="V186" t="s">
        <v>2437</v>
      </c>
      <c r="Y186" t="s">
        <v>6948</v>
      </c>
      <c r="Z186" t="s">
        <v>6949</v>
      </c>
      <c r="AA186" t="s">
        <v>6950</v>
      </c>
      <c r="AB186" t="s">
        <v>6951</v>
      </c>
      <c r="AC186" t="s">
        <v>6952</v>
      </c>
      <c r="AD186" t="s">
        <v>6953</v>
      </c>
      <c r="AE186" t="s">
        <v>6954</v>
      </c>
      <c r="AF186" t="s">
        <v>6955</v>
      </c>
      <c r="AG186" t="s">
        <v>6956</v>
      </c>
      <c r="AH186" t="s">
        <v>6957</v>
      </c>
      <c r="AI186" t="s">
        <v>6958</v>
      </c>
      <c r="AJ186" t="s">
        <v>6959</v>
      </c>
      <c r="AR186" t="s">
        <v>4284</v>
      </c>
    </row>
    <row r="187" spans="1:44">
      <c r="A187">
        <v>11117138</v>
      </c>
      <c r="B187" t="s">
        <v>282</v>
      </c>
      <c r="C187" t="s">
        <v>1093</v>
      </c>
      <c r="D187" t="s">
        <v>1634</v>
      </c>
      <c r="E187" t="s">
        <v>1635</v>
      </c>
      <c r="F187" t="s">
        <v>1550</v>
      </c>
      <c r="G187" t="s">
        <v>1551</v>
      </c>
      <c r="H187" t="s">
        <v>2150</v>
      </c>
      <c r="I187" t="s">
        <v>4362</v>
      </c>
      <c r="J187" t="s">
        <v>2808</v>
      </c>
      <c r="K187" t="s">
        <v>2809</v>
      </c>
      <c r="M187">
        <v>50</v>
      </c>
      <c r="N187">
        <v>70</v>
      </c>
      <c r="O187" t="s">
        <v>2437</v>
      </c>
      <c r="P187" t="s">
        <v>2437</v>
      </c>
      <c r="R187" t="s">
        <v>2437</v>
      </c>
      <c r="T187" t="s">
        <v>2437</v>
      </c>
      <c r="U187" t="s">
        <v>2437</v>
      </c>
      <c r="V187" t="s">
        <v>2437</v>
      </c>
      <c r="Y187" t="s">
        <v>6948</v>
      </c>
      <c r="Z187" t="s">
        <v>6949</v>
      </c>
      <c r="AA187" t="s">
        <v>6950</v>
      </c>
      <c r="AB187" t="s">
        <v>6951</v>
      </c>
      <c r="AC187" t="s">
        <v>6952</v>
      </c>
      <c r="AD187" t="s">
        <v>6953</v>
      </c>
      <c r="AE187" t="s">
        <v>6954</v>
      </c>
      <c r="AF187" t="s">
        <v>6955</v>
      </c>
      <c r="AG187" t="s">
        <v>6956</v>
      </c>
      <c r="AH187" t="s">
        <v>6957</v>
      </c>
      <c r="AI187" t="s">
        <v>6958</v>
      </c>
      <c r="AJ187" t="s">
        <v>6959</v>
      </c>
      <c r="AR187" t="s">
        <v>4284</v>
      </c>
    </row>
    <row r="188" spans="1:44">
      <c r="A188">
        <v>11117081</v>
      </c>
      <c r="B188" t="s">
        <v>283</v>
      </c>
      <c r="C188" t="s">
        <v>1139</v>
      </c>
      <c r="D188" t="s">
        <v>1636</v>
      </c>
      <c r="E188" t="s">
        <v>1637</v>
      </c>
      <c r="F188" t="s">
        <v>1486</v>
      </c>
      <c r="G188" t="s">
        <v>1487</v>
      </c>
      <c r="H188" t="s">
        <v>2199</v>
      </c>
      <c r="I188" t="s">
        <v>4355</v>
      </c>
      <c r="J188" t="s">
        <v>2810</v>
      </c>
      <c r="K188" t="s">
        <v>2811</v>
      </c>
      <c r="M188">
        <v>50</v>
      </c>
      <c r="N188">
        <v>70</v>
      </c>
      <c r="O188" t="s">
        <v>2437</v>
      </c>
      <c r="P188" t="s">
        <v>2437</v>
      </c>
      <c r="R188" t="s">
        <v>2437</v>
      </c>
      <c r="T188" t="s">
        <v>89</v>
      </c>
      <c r="U188" t="s">
        <v>89</v>
      </c>
      <c r="V188" t="s">
        <v>89</v>
      </c>
      <c r="Y188" t="s">
        <v>6948</v>
      </c>
      <c r="Z188" t="s">
        <v>6949</v>
      </c>
      <c r="AA188" t="s">
        <v>6950</v>
      </c>
      <c r="AB188" t="s">
        <v>6951</v>
      </c>
      <c r="AC188" t="s">
        <v>6952</v>
      </c>
      <c r="AD188" t="s">
        <v>6953</v>
      </c>
      <c r="AE188" t="s">
        <v>6954</v>
      </c>
      <c r="AF188" t="s">
        <v>6955</v>
      </c>
      <c r="AG188" t="s">
        <v>6956</v>
      </c>
      <c r="AH188" t="s">
        <v>6957</v>
      </c>
      <c r="AI188" t="s">
        <v>6958</v>
      </c>
      <c r="AJ188" t="s">
        <v>6959</v>
      </c>
      <c r="AR188" t="s">
        <v>4284</v>
      </c>
    </row>
    <row r="189" spans="1:44">
      <c r="A189">
        <v>11117152</v>
      </c>
      <c r="B189" t="s">
        <v>284</v>
      </c>
      <c r="C189" t="s">
        <v>1156</v>
      </c>
      <c r="D189" t="s">
        <v>1638</v>
      </c>
      <c r="E189" t="s">
        <v>1639</v>
      </c>
      <c r="F189" t="s">
        <v>1486</v>
      </c>
      <c r="G189" t="s">
        <v>1487</v>
      </c>
      <c r="H189" t="s">
        <v>2193</v>
      </c>
      <c r="I189" t="s">
        <v>4391</v>
      </c>
      <c r="J189" t="s">
        <v>2812</v>
      </c>
      <c r="K189" t="s">
        <v>2813</v>
      </c>
      <c r="M189">
        <v>50</v>
      </c>
      <c r="N189">
        <v>70</v>
      </c>
      <c r="O189" t="s">
        <v>2437</v>
      </c>
      <c r="P189" t="s">
        <v>2437</v>
      </c>
      <c r="R189" t="s">
        <v>2437</v>
      </c>
      <c r="T189" t="s">
        <v>2437</v>
      </c>
      <c r="U189" t="s">
        <v>2437</v>
      </c>
      <c r="V189" t="s">
        <v>2437</v>
      </c>
      <c r="Y189" t="s">
        <v>6948</v>
      </c>
      <c r="Z189" t="s">
        <v>6949</v>
      </c>
      <c r="AA189" t="s">
        <v>6950</v>
      </c>
      <c r="AB189" t="s">
        <v>6951</v>
      </c>
      <c r="AC189" t="s">
        <v>6952</v>
      </c>
      <c r="AD189" t="s">
        <v>6953</v>
      </c>
      <c r="AE189" t="s">
        <v>6954</v>
      </c>
      <c r="AF189" t="s">
        <v>6955</v>
      </c>
      <c r="AG189" t="s">
        <v>6956</v>
      </c>
      <c r="AH189" t="s">
        <v>6957</v>
      </c>
      <c r="AI189" t="s">
        <v>6958</v>
      </c>
      <c r="AJ189" t="s">
        <v>6959</v>
      </c>
      <c r="AR189" t="s">
        <v>4284</v>
      </c>
    </row>
    <row r="190" spans="1:44">
      <c r="A190">
        <v>11117129</v>
      </c>
      <c r="B190" t="s">
        <v>285</v>
      </c>
      <c r="C190" t="s">
        <v>1116</v>
      </c>
      <c r="D190" t="s">
        <v>1640</v>
      </c>
      <c r="E190" t="s">
        <v>1641</v>
      </c>
      <c r="F190" t="s">
        <v>1482</v>
      </c>
      <c r="G190" t="s">
        <v>1483</v>
      </c>
      <c r="H190" t="s">
        <v>2081</v>
      </c>
      <c r="I190" t="s">
        <v>4416</v>
      </c>
      <c r="J190" t="s">
        <v>2814</v>
      </c>
      <c r="K190" t="s">
        <v>2815</v>
      </c>
      <c r="M190">
        <v>50</v>
      </c>
      <c r="N190">
        <v>70</v>
      </c>
      <c r="O190" t="s">
        <v>2437</v>
      </c>
      <c r="P190" t="s">
        <v>2437</v>
      </c>
      <c r="R190" t="s">
        <v>2437</v>
      </c>
      <c r="T190" t="s">
        <v>2437</v>
      </c>
      <c r="U190" t="s">
        <v>2437</v>
      </c>
      <c r="V190" t="s">
        <v>2437</v>
      </c>
      <c r="Y190" t="s">
        <v>6948</v>
      </c>
      <c r="Z190" t="s">
        <v>6949</v>
      </c>
      <c r="AA190" t="s">
        <v>6950</v>
      </c>
      <c r="AB190" t="s">
        <v>6951</v>
      </c>
      <c r="AC190" t="s">
        <v>6952</v>
      </c>
      <c r="AD190" t="s">
        <v>6953</v>
      </c>
      <c r="AE190" t="s">
        <v>6954</v>
      </c>
      <c r="AF190" t="s">
        <v>6955</v>
      </c>
      <c r="AG190" t="s">
        <v>6956</v>
      </c>
      <c r="AH190" t="s">
        <v>6957</v>
      </c>
      <c r="AI190" t="s">
        <v>6958</v>
      </c>
      <c r="AJ190" t="s">
        <v>6959</v>
      </c>
      <c r="AR190" t="s">
        <v>4284</v>
      </c>
    </row>
    <row r="191" spans="1:44">
      <c r="A191">
        <v>11117131</v>
      </c>
      <c r="B191" t="s">
        <v>286</v>
      </c>
      <c r="C191" t="s">
        <v>995</v>
      </c>
      <c r="D191" t="s">
        <v>1632</v>
      </c>
      <c r="E191" t="s">
        <v>1633</v>
      </c>
      <c r="F191" t="s">
        <v>1548</v>
      </c>
      <c r="G191" t="s">
        <v>1549</v>
      </c>
      <c r="H191" t="s">
        <v>2156</v>
      </c>
      <c r="I191" t="s">
        <v>4336</v>
      </c>
      <c r="J191" t="s">
        <v>2816</v>
      </c>
      <c r="K191" t="s">
        <v>2817</v>
      </c>
      <c r="M191">
        <v>50</v>
      </c>
      <c r="N191">
        <v>70</v>
      </c>
      <c r="O191" t="s">
        <v>2437</v>
      </c>
      <c r="P191" t="s">
        <v>2437</v>
      </c>
      <c r="R191" t="s">
        <v>2437</v>
      </c>
      <c r="T191" t="s">
        <v>2437</v>
      </c>
      <c r="U191" t="s">
        <v>2437</v>
      </c>
      <c r="V191" t="s">
        <v>2437</v>
      </c>
      <c r="Y191" t="s">
        <v>6948</v>
      </c>
      <c r="Z191" t="s">
        <v>6949</v>
      </c>
      <c r="AA191" t="s">
        <v>6950</v>
      </c>
      <c r="AB191" t="s">
        <v>6951</v>
      </c>
      <c r="AC191" t="s">
        <v>6952</v>
      </c>
      <c r="AD191" t="s">
        <v>6953</v>
      </c>
      <c r="AE191" t="s">
        <v>6954</v>
      </c>
      <c r="AF191" t="s">
        <v>6955</v>
      </c>
      <c r="AG191" t="s">
        <v>6956</v>
      </c>
      <c r="AH191" t="s">
        <v>6957</v>
      </c>
      <c r="AI191" t="s">
        <v>6958</v>
      </c>
      <c r="AJ191" t="s">
        <v>6959</v>
      </c>
      <c r="AR191" t="s">
        <v>4284</v>
      </c>
    </row>
    <row r="192" spans="1:44">
      <c r="A192">
        <v>11117132</v>
      </c>
      <c r="B192" t="s">
        <v>287</v>
      </c>
      <c r="C192" t="s">
        <v>988</v>
      </c>
      <c r="D192" t="s">
        <v>1632</v>
      </c>
      <c r="E192" t="s">
        <v>1633</v>
      </c>
      <c r="F192" t="s">
        <v>1548</v>
      </c>
      <c r="G192" t="s">
        <v>1549</v>
      </c>
      <c r="H192" t="s">
        <v>2154</v>
      </c>
      <c r="I192" t="s">
        <v>4329</v>
      </c>
      <c r="J192" t="s">
        <v>2818</v>
      </c>
      <c r="K192" t="s">
        <v>2819</v>
      </c>
      <c r="M192">
        <v>50</v>
      </c>
      <c r="N192">
        <v>70</v>
      </c>
      <c r="O192" t="s">
        <v>2437</v>
      </c>
      <c r="P192" t="s">
        <v>2437</v>
      </c>
      <c r="R192" t="s">
        <v>2437</v>
      </c>
      <c r="T192" t="s">
        <v>2437</v>
      </c>
      <c r="U192" t="s">
        <v>2437</v>
      </c>
      <c r="V192" t="s">
        <v>2437</v>
      </c>
      <c r="Y192" t="s">
        <v>6948</v>
      </c>
      <c r="Z192" t="s">
        <v>6949</v>
      </c>
      <c r="AA192" t="s">
        <v>6950</v>
      </c>
      <c r="AB192" t="s">
        <v>6951</v>
      </c>
      <c r="AC192" t="s">
        <v>6952</v>
      </c>
      <c r="AD192" t="s">
        <v>6953</v>
      </c>
      <c r="AE192" t="s">
        <v>6954</v>
      </c>
      <c r="AF192" t="s">
        <v>6955</v>
      </c>
      <c r="AG192" t="s">
        <v>6956</v>
      </c>
      <c r="AH192" t="s">
        <v>6957</v>
      </c>
      <c r="AI192" t="s">
        <v>6958</v>
      </c>
      <c r="AJ192" t="s">
        <v>6959</v>
      </c>
      <c r="AR192" t="s">
        <v>4284</v>
      </c>
    </row>
    <row r="193" spans="1:44">
      <c r="A193">
        <v>11117133</v>
      </c>
      <c r="B193" t="s">
        <v>288</v>
      </c>
      <c r="C193" t="s">
        <v>993</v>
      </c>
      <c r="D193" t="s">
        <v>1632</v>
      </c>
      <c r="E193" t="s">
        <v>1633</v>
      </c>
      <c r="F193" t="s">
        <v>1548</v>
      </c>
      <c r="G193" t="s">
        <v>1549</v>
      </c>
      <c r="H193" t="s">
        <v>2153</v>
      </c>
      <c r="I193" t="s">
        <v>4334</v>
      </c>
      <c r="J193" t="s">
        <v>2820</v>
      </c>
      <c r="K193" t="s">
        <v>2821</v>
      </c>
      <c r="M193">
        <v>50</v>
      </c>
      <c r="N193">
        <v>70</v>
      </c>
      <c r="O193" t="s">
        <v>2437</v>
      </c>
      <c r="P193" t="s">
        <v>2437</v>
      </c>
      <c r="R193" t="s">
        <v>2437</v>
      </c>
      <c r="T193" t="s">
        <v>2437</v>
      </c>
      <c r="U193" t="s">
        <v>2437</v>
      </c>
      <c r="V193" t="s">
        <v>2437</v>
      </c>
      <c r="Y193" t="s">
        <v>6948</v>
      </c>
      <c r="Z193" t="s">
        <v>6949</v>
      </c>
      <c r="AA193" t="s">
        <v>6950</v>
      </c>
      <c r="AB193" t="s">
        <v>6951</v>
      </c>
      <c r="AC193" t="s">
        <v>6952</v>
      </c>
      <c r="AD193" t="s">
        <v>6953</v>
      </c>
      <c r="AE193" t="s">
        <v>6954</v>
      </c>
      <c r="AF193" t="s">
        <v>6955</v>
      </c>
      <c r="AG193" t="s">
        <v>6956</v>
      </c>
      <c r="AH193" t="s">
        <v>6957</v>
      </c>
      <c r="AI193" t="s">
        <v>6958</v>
      </c>
      <c r="AJ193" t="s">
        <v>6959</v>
      </c>
      <c r="AR193" t="s">
        <v>4284</v>
      </c>
    </row>
    <row r="194" spans="1:44">
      <c r="A194">
        <v>11117134</v>
      </c>
      <c r="B194" t="s">
        <v>289</v>
      </c>
      <c r="C194" t="s">
        <v>989</v>
      </c>
      <c r="D194" t="s">
        <v>1632</v>
      </c>
      <c r="E194" t="s">
        <v>1633</v>
      </c>
      <c r="F194" t="s">
        <v>1548</v>
      </c>
      <c r="G194" t="s">
        <v>1549</v>
      </c>
      <c r="H194" t="s">
        <v>2139</v>
      </c>
      <c r="I194" t="s">
        <v>4330</v>
      </c>
      <c r="J194" t="s">
        <v>2822</v>
      </c>
      <c r="K194" t="s">
        <v>2823</v>
      </c>
      <c r="M194">
        <v>50</v>
      </c>
      <c r="N194">
        <v>70</v>
      </c>
      <c r="O194" t="s">
        <v>2437</v>
      </c>
      <c r="P194" t="s">
        <v>2437</v>
      </c>
      <c r="R194" t="s">
        <v>2437</v>
      </c>
      <c r="T194" t="s">
        <v>2437</v>
      </c>
      <c r="U194" t="s">
        <v>2437</v>
      </c>
      <c r="V194" t="s">
        <v>2437</v>
      </c>
      <c r="Y194" t="s">
        <v>6948</v>
      </c>
      <c r="Z194" t="s">
        <v>6949</v>
      </c>
      <c r="AA194" t="s">
        <v>6950</v>
      </c>
      <c r="AB194" t="s">
        <v>6951</v>
      </c>
      <c r="AC194" t="s">
        <v>6952</v>
      </c>
      <c r="AD194" t="s">
        <v>6953</v>
      </c>
      <c r="AE194" t="s">
        <v>6954</v>
      </c>
      <c r="AF194" t="s">
        <v>6955</v>
      </c>
      <c r="AG194" t="s">
        <v>6956</v>
      </c>
      <c r="AH194" t="s">
        <v>6957</v>
      </c>
      <c r="AI194" t="s">
        <v>6958</v>
      </c>
      <c r="AJ194" t="s">
        <v>6959</v>
      </c>
      <c r="AR194" t="s">
        <v>4284</v>
      </c>
    </row>
    <row r="195" spans="1:44">
      <c r="A195">
        <v>11117135</v>
      </c>
      <c r="B195" t="s">
        <v>290</v>
      </c>
      <c r="C195" t="s">
        <v>991</v>
      </c>
      <c r="D195" t="s">
        <v>1632</v>
      </c>
      <c r="E195" t="s">
        <v>1633</v>
      </c>
      <c r="F195" t="s">
        <v>1548</v>
      </c>
      <c r="G195" t="s">
        <v>1549</v>
      </c>
      <c r="H195" t="s">
        <v>2141</v>
      </c>
      <c r="I195" t="s">
        <v>4332</v>
      </c>
      <c r="J195" t="s">
        <v>2824</v>
      </c>
      <c r="K195" t="s">
        <v>2825</v>
      </c>
      <c r="M195">
        <v>50</v>
      </c>
      <c r="N195">
        <v>70</v>
      </c>
      <c r="O195" t="s">
        <v>2437</v>
      </c>
      <c r="P195" t="s">
        <v>2437</v>
      </c>
      <c r="R195" t="s">
        <v>2437</v>
      </c>
      <c r="T195" t="s">
        <v>2437</v>
      </c>
      <c r="U195" t="s">
        <v>2437</v>
      </c>
      <c r="V195" t="s">
        <v>2437</v>
      </c>
      <c r="Y195" t="s">
        <v>6948</v>
      </c>
      <c r="Z195" t="s">
        <v>6949</v>
      </c>
      <c r="AA195" t="s">
        <v>6950</v>
      </c>
      <c r="AB195" t="s">
        <v>6951</v>
      </c>
      <c r="AC195" t="s">
        <v>6952</v>
      </c>
      <c r="AD195" t="s">
        <v>6953</v>
      </c>
      <c r="AE195" t="s">
        <v>6954</v>
      </c>
      <c r="AF195" t="s">
        <v>6955</v>
      </c>
      <c r="AG195" t="s">
        <v>6956</v>
      </c>
      <c r="AH195" t="s">
        <v>6957</v>
      </c>
      <c r="AI195" t="s">
        <v>6958</v>
      </c>
      <c r="AJ195" t="s">
        <v>6959</v>
      </c>
      <c r="AR195" t="s">
        <v>4284</v>
      </c>
    </row>
    <row r="196" spans="1:44">
      <c r="A196">
        <v>11117136</v>
      </c>
      <c r="B196" t="s">
        <v>291</v>
      </c>
      <c r="C196" t="s">
        <v>982</v>
      </c>
      <c r="D196" t="s">
        <v>1632</v>
      </c>
      <c r="E196" t="s">
        <v>1633</v>
      </c>
      <c r="F196" t="s">
        <v>1548</v>
      </c>
      <c r="G196" t="s">
        <v>1549</v>
      </c>
      <c r="H196" t="s">
        <v>2140</v>
      </c>
      <c r="I196" t="s">
        <v>4331</v>
      </c>
      <c r="J196" t="s">
        <v>2826</v>
      </c>
      <c r="K196" t="s">
        <v>2827</v>
      </c>
      <c r="M196">
        <v>50</v>
      </c>
      <c r="N196">
        <v>70</v>
      </c>
      <c r="O196" t="s">
        <v>2437</v>
      </c>
      <c r="P196" t="s">
        <v>2437</v>
      </c>
      <c r="R196" t="s">
        <v>2437</v>
      </c>
      <c r="T196" t="s">
        <v>2437</v>
      </c>
      <c r="U196" t="s">
        <v>2437</v>
      </c>
      <c r="V196" t="s">
        <v>2437</v>
      </c>
      <c r="Y196" t="s">
        <v>6948</v>
      </c>
      <c r="Z196" t="s">
        <v>6949</v>
      </c>
      <c r="AA196" t="s">
        <v>6950</v>
      </c>
      <c r="AB196" t="s">
        <v>6951</v>
      </c>
      <c r="AC196" t="s">
        <v>6952</v>
      </c>
      <c r="AD196" t="s">
        <v>6953</v>
      </c>
      <c r="AE196" t="s">
        <v>6954</v>
      </c>
      <c r="AF196" t="s">
        <v>6955</v>
      </c>
      <c r="AG196" t="s">
        <v>6956</v>
      </c>
      <c r="AH196" t="s">
        <v>6957</v>
      </c>
      <c r="AI196" t="s">
        <v>6958</v>
      </c>
      <c r="AJ196" t="s">
        <v>6959</v>
      </c>
      <c r="AR196" t="s">
        <v>4284</v>
      </c>
    </row>
    <row r="197" spans="1:44">
      <c r="A197">
        <v>11117137</v>
      </c>
      <c r="B197" t="s">
        <v>292</v>
      </c>
      <c r="C197" t="s">
        <v>992</v>
      </c>
      <c r="D197" t="s">
        <v>1632</v>
      </c>
      <c r="E197" t="s">
        <v>1633</v>
      </c>
      <c r="F197" t="s">
        <v>1548</v>
      </c>
      <c r="G197" t="s">
        <v>1549</v>
      </c>
      <c r="H197" t="s">
        <v>2142</v>
      </c>
      <c r="I197" t="s">
        <v>4333</v>
      </c>
      <c r="J197" t="s">
        <v>2828</v>
      </c>
      <c r="K197" t="s">
        <v>2829</v>
      </c>
      <c r="M197">
        <v>50</v>
      </c>
      <c r="N197">
        <v>70</v>
      </c>
      <c r="O197" t="s">
        <v>2437</v>
      </c>
      <c r="P197" t="s">
        <v>2437</v>
      </c>
      <c r="R197" t="s">
        <v>2437</v>
      </c>
      <c r="T197" t="s">
        <v>2437</v>
      </c>
      <c r="U197" t="s">
        <v>2437</v>
      </c>
      <c r="V197" t="s">
        <v>2437</v>
      </c>
      <c r="Y197" t="s">
        <v>6948</v>
      </c>
      <c r="Z197" t="s">
        <v>6949</v>
      </c>
      <c r="AA197" t="s">
        <v>6950</v>
      </c>
      <c r="AB197" t="s">
        <v>6951</v>
      </c>
      <c r="AC197" t="s">
        <v>6952</v>
      </c>
      <c r="AD197" t="s">
        <v>6953</v>
      </c>
      <c r="AE197" t="s">
        <v>6954</v>
      </c>
      <c r="AF197" t="s">
        <v>6955</v>
      </c>
      <c r="AG197" t="s">
        <v>6956</v>
      </c>
      <c r="AH197" t="s">
        <v>6957</v>
      </c>
      <c r="AI197" t="s">
        <v>6958</v>
      </c>
      <c r="AJ197" t="s">
        <v>6959</v>
      </c>
      <c r="AR197" t="s">
        <v>4284</v>
      </c>
    </row>
    <row r="198" spans="1:44">
      <c r="A198">
        <v>11117139</v>
      </c>
      <c r="B198" t="s">
        <v>293</v>
      </c>
      <c r="C198" t="s">
        <v>1094</v>
      </c>
      <c r="D198" t="s">
        <v>1634</v>
      </c>
      <c r="E198" t="s">
        <v>1635</v>
      </c>
      <c r="F198" t="s">
        <v>1550</v>
      </c>
      <c r="G198" t="s">
        <v>1551</v>
      </c>
      <c r="H198" t="s">
        <v>2151</v>
      </c>
      <c r="I198" t="s">
        <v>4363</v>
      </c>
      <c r="J198" t="s">
        <v>2830</v>
      </c>
      <c r="K198" t="s">
        <v>2831</v>
      </c>
      <c r="M198">
        <v>50</v>
      </c>
      <c r="N198">
        <v>70</v>
      </c>
      <c r="O198" t="s">
        <v>2437</v>
      </c>
      <c r="P198" t="s">
        <v>2437</v>
      </c>
      <c r="R198" t="s">
        <v>2437</v>
      </c>
      <c r="T198" t="s">
        <v>2437</v>
      </c>
      <c r="U198" t="s">
        <v>2437</v>
      </c>
      <c r="V198" t="s">
        <v>2437</v>
      </c>
      <c r="Y198" t="s">
        <v>6948</v>
      </c>
      <c r="Z198" t="s">
        <v>6949</v>
      </c>
      <c r="AA198" t="s">
        <v>6950</v>
      </c>
      <c r="AB198" t="s">
        <v>6951</v>
      </c>
      <c r="AC198" t="s">
        <v>6952</v>
      </c>
      <c r="AD198" t="s">
        <v>6953</v>
      </c>
      <c r="AE198" t="s">
        <v>6954</v>
      </c>
      <c r="AF198" t="s">
        <v>6955</v>
      </c>
      <c r="AG198" t="s">
        <v>6956</v>
      </c>
      <c r="AH198" t="s">
        <v>6957</v>
      </c>
      <c r="AI198" t="s">
        <v>6958</v>
      </c>
      <c r="AJ198" t="s">
        <v>6959</v>
      </c>
      <c r="AR198" t="s">
        <v>4284</v>
      </c>
    </row>
    <row r="199" spans="1:44">
      <c r="A199">
        <v>11117140</v>
      </c>
      <c r="B199" t="s">
        <v>294</v>
      </c>
      <c r="C199" t="s">
        <v>987</v>
      </c>
      <c r="D199" t="s">
        <v>1634</v>
      </c>
      <c r="E199" t="s">
        <v>1635</v>
      </c>
      <c r="F199" t="s">
        <v>1550</v>
      </c>
      <c r="G199" t="s">
        <v>1551</v>
      </c>
      <c r="H199" t="s">
        <v>2152</v>
      </c>
      <c r="I199" t="s">
        <v>4328</v>
      </c>
      <c r="J199" t="s">
        <v>2832</v>
      </c>
      <c r="K199" t="s">
        <v>2833</v>
      </c>
      <c r="M199">
        <v>50</v>
      </c>
      <c r="N199">
        <v>70</v>
      </c>
      <c r="O199" t="s">
        <v>2437</v>
      </c>
      <c r="P199" t="s">
        <v>2437</v>
      </c>
      <c r="R199" t="s">
        <v>2437</v>
      </c>
      <c r="T199" t="s">
        <v>2437</v>
      </c>
      <c r="U199" t="s">
        <v>2437</v>
      </c>
      <c r="V199" t="s">
        <v>2437</v>
      </c>
      <c r="Y199" t="s">
        <v>6948</v>
      </c>
      <c r="Z199" t="s">
        <v>6949</v>
      </c>
      <c r="AA199" t="s">
        <v>6950</v>
      </c>
      <c r="AB199" t="s">
        <v>6951</v>
      </c>
      <c r="AC199" t="s">
        <v>6952</v>
      </c>
      <c r="AD199" t="s">
        <v>6953</v>
      </c>
      <c r="AE199" t="s">
        <v>6954</v>
      </c>
      <c r="AF199" t="s">
        <v>6955</v>
      </c>
      <c r="AG199" t="s">
        <v>6956</v>
      </c>
      <c r="AH199" t="s">
        <v>6957</v>
      </c>
      <c r="AI199" t="s">
        <v>6958</v>
      </c>
      <c r="AJ199" t="s">
        <v>6959</v>
      </c>
      <c r="AR199" t="s">
        <v>4284</v>
      </c>
    </row>
    <row r="200" spans="1:44">
      <c r="A200">
        <v>11117141</v>
      </c>
      <c r="B200" t="s">
        <v>295</v>
      </c>
      <c r="C200" t="s">
        <v>998</v>
      </c>
      <c r="D200" t="s">
        <v>1634</v>
      </c>
      <c r="E200" t="s">
        <v>1635</v>
      </c>
      <c r="F200" t="s">
        <v>1550</v>
      </c>
      <c r="G200" t="s">
        <v>1551</v>
      </c>
      <c r="H200" t="s">
        <v>2149</v>
      </c>
      <c r="I200" t="s">
        <v>4339</v>
      </c>
      <c r="J200" t="s">
        <v>2834</v>
      </c>
      <c r="K200" t="s">
        <v>2835</v>
      </c>
      <c r="M200">
        <v>50</v>
      </c>
      <c r="N200">
        <v>70</v>
      </c>
      <c r="O200" t="s">
        <v>2437</v>
      </c>
      <c r="P200" t="s">
        <v>2437</v>
      </c>
      <c r="R200" t="s">
        <v>2437</v>
      </c>
      <c r="T200" t="s">
        <v>2437</v>
      </c>
      <c r="U200" t="s">
        <v>2437</v>
      </c>
      <c r="V200" t="s">
        <v>2437</v>
      </c>
      <c r="Y200" t="s">
        <v>6948</v>
      </c>
      <c r="Z200" t="s">
        <v>6949</v>
      </c>
      <c r="AA200" t="s">
        <v>6950</v>
      </c>
      <c r="AB200" t="s">
        <v>6951</v>
      </c>
      <c r="AC200" t="s">
        <v>6952</v>
      </c>
      <c r="AD200" t="s">
        <v>6953</v>
      </c>
      <c r="AE200" t="s">
        <v>6954</v>
      </c>
      <c r="AF200" t="s">
        <v>6955</v>
      </c>
      <c r="AG200" t="s">
        <v>6956</v>
      </c>
      <c r="AH200" t="s">
        <v>6957</v>
      </c>
      <c r="AI200" t="s">
        <v>6958</v>
      </c>
      <c r="AJ200" t="s">
        <v>6959</v>
      </c>
      <c r="AR200" t="s">
        <v>4284</v>
      </c>
    </row>
    <row r="201" spans="1:44">
      <c r="A201">
        <v>11117142</v>
      </c>
      <c r="B201" t="s">
        <v>296</v>
      </c>
      <c r="C201" t="s">
        <v>996</v>
      </c>
      <c r="D201" t="s">
        <v>1634</v>
      </c>
      <c r="E201" t="s">
        <v>1635</v>
      </c>
      <c r="F201" t="s">
        <v>1550</v>
      </c>
      <c r="G201" t="s">
        <v>1551</v>
      </c>
      <c r="H201" t="s">
        <v>2143</v>
      </c>
      <c r="I201" t="s">
        <v>4417</v>
      </c>
      <c r="J201" t="s">
        <v>2836</v>
      </c>
      <c r="K201" t="s">
        <v>2837</v>
      </c>
      <c r="M201">
        <v>50</v>
      </c>
      <c r="N201">
        <v>70</v>
      </c>
      <c r="O201" t="s">
        <v>2437</v>
      </c>
      <c r="P201" t="s">
        <v>2437</v>
      </c>
      <c r="R201" t="s">
        <v>2437</v>
      </c>
      <c r="T201" t="s">
        <v>2437</v>
      </c>
      <c r="U201" t="s">
        <v>2437</v>
      </c>
      <c r="V201" t="s">
        <v>2437</v>
      </c>
      <c r="Y201" t="s">
        <v>6948</v>
      </c>
      <c r="Z201" t="s">
        <v>6949</v>
      </c>
      <c r="AA201" t="s">
        <v>6950</v>
      </c>
      <c r="AB201" t="s">
        <v>6951</v>
      </c>
      <c r="AC201" t="s">
        <v>6952</v>
      </c>
      <c r="AD201" t="s">
        <v>6953</v>
      </c>
      <c r="AE201" t="s">
        <v>6954</v>
      </c>
      <c r="AF201" t="s">
        <v>6955</v>
      </c>
      <c r="AG201" t="s">
        <v>6956</v>
      </c>
      <c r="AH201" t="s">
        <v>6957</v>
      </c>
      <c r="AI201" t="s">
        <v>6958</v>
      </c>
      <c r="AJ201" t="s">
        <v>6959</v>
      </c>
      <c r="AR201" t="s">
        <v>4284</v>
      </c>
    </row>
    <row r="202" spans="1:44">
      <c r="A202">
        <v>11117143</v>
      </c>
      <c r="B202" t="s">
        <v>297</v>
      </c>
      <c r="C202" t="s">
        <v>997</v>
      </c>
      <c r="D202" t="s">
        <v>1634</v>
      </c>
      <c r="E202" t="s">
        <v>1635</v>
      </c>
      <c r="F202" t="s">
        <v>1550</v>
      </c>
      <c r="G202" t="s">
        <v>1551</v>
      </c>
      <c r="H202" t="s">
        <v>2144</v>
      </c>
      <c r="I202" t="s">
        <v>4361</v>
      </c>
      <c r="J202" t="s">
        <v>2838</v>
      </c>
      <c r="K202" t="s">
        <v>2839</v>
      </c>
      <c r="M202">
        <v>50</v>
      </c>
      <c r="N202">
        <v>70</v>
      </c>
      <c r="O202" t="s">
        <v>2437</v>
      </c>
      <c r="P202" t="s">
        <v>2437</v>
      </c>
      <c r="R202" t="s">
        <v>2437</v>
      </c>
      <c r="T202" t="s">
        <v>2437</v>
      </c>
      <c r="U202" t="s">
        <v>2437</v>
      </c>
      <c r="V202" t="s">
        <v>2437</v>
      </c>
      <c r="Y202" t="s">
        <v>6948</v>
      </c>
      <c r="Z202" t="s">
        <v>6949</v>
      </c>
      <c r="AA202" t="s">
        <v>6950</v>
      </c>
      <c r="AB202" t="s">
        <v>6951</v>
      </c>
      <c r="AC202" t="s">
        <v>6952</v>
      </c>
      <c r="AD202" t="s">
        <v>6953</v>
      </c>
      <c r="AE202" t="s">
        <v>6954</v>
      </c>
      <c r="AF202" t="s">
        <v>6955</v>
      </c>
      <c r="AG202" t="s">
        <v>6956</v>
      </c>
      <c r="AH202" t="s">
        <v>6957</v>
      </c>
      <c r="AI202" t="s">
        <v>6958</v>
      </c>
      <c r="AJ202" t="s">
        <v>6959</v>
      </c>
      <c r="AR202" t="s">
        <v>4284</v>
      </c>
    </row>
    <row r="203" spans="1:44">
      <c r="A203">
        <v>11117144</v>
      </c>
      <c r="B203" t="s">
        <v>298</v>
      </c>
      <c r="C203" t="s">
        <v>979</v>
      </c>
      <c r="D203" t="s">
        <v>1634</v>
      </c>
      <c r="E203" t="s">
        <v>1635</v>
      </c>
      <c r="F203" t="s">
        <v>1550</v>
      </c>
      <c r="G203" t="s">
        <v>1551</v>
      </c>
      <c r="H203" t="s">
        <v>2145</v>
      </c>
      <c r="I203" t="s">
        <v>4337</v>
      </c>
      <c r="J203" t="s">
        <v>2840</v>
      </c>
      <c r="K203" t="s">
        <v>2841</v>
      </c>
      <c r="M203">
        <v>50</v>
      </c>
      <c r="N203">
        <v>70</v>
      </c>
      <c r="O203" t="s">
        <v>2437</v>
      </c>
      <c r="P203" t="s">
        <v>2437</v>
      </c>
      <c r="R203" t="s">
        <v>2437</v>
      </c>
      <c r="T203" t="s">
        <v>2437</v>
      </c>
      <c r="U203" t="s">
        <v>2437</v>
      </c>
      <c r="V203" t="s">
        <v>2437</v>
      </c>
      <c r="Y203" t="s">
        <v>6948</v>
      </c>
      <c r="Z203" t="s">
        <v>6949</v>
      </c>
      <c r="AA203" t="s">
        <v>6950</v>
      </c>
      <c r="AB203" t="s">
        <v>6951</v>
      </c>
      <c r="AC203" t="s">
        <v>6952</v>
      </c>
      <c r="AD203" t="s">
        <v>6953</v>
      </c>
      <c r="AE203" t="s">
        <v>6954</v>
      </c>
      <c r="AF203" t="s">
        <v>6955</v>
      </c>
      <c r="AG203" t="s">
        <v>6956</v>
      </c>
      <c r="AH203" t="s">
        <v>6957</v>
      </c>
      <c r="AI203" t="s">
        <v>6958</v>
      </c>
      <c r="AJ203" t="s">
        <v>6959</v>
      </c>
      <c r="AR203" t="s">
        <v>4284</v>
      </c>
    </row>
    <row r="204" spans="1:44">
      <c r="A204">
        <v>11117145</v>
      </c>
      <c r="B204" t="s">
        <v>299</v>
      </c>
      <c r="C204" t="s">
        <v>980</v>
      </c>
      <c r="D204" t="s">
        <v>1634</v>
      </c>
      <c r="E204" t="s">
        <v>1635</v>
      </c>
      <c r="F204" t="s">
        <v>1550</v>
      </c>
      <c r="G204" t="s">
        <v>1551</v>
      </c>
      <c r="H204" t="s">
        <v>2146</v>
      </c>
      <c r="I204" t="s">
        <v>4338</v>
      </c>
      <c r="J204" t="s">
        <v>2842</v>
      </c>
      <c r="K204" t="s">
        <v>2843</v>
      </c>
      <c r="M204">
        <v>50</v>
      </c>
      <c r="N204">
        <v>70</v>
      </c>
      <c r="O204" t="s">
        <v>2437</v>
      </c>
      <c r="P204" t="s">
        <v>2437</v>
      </c>
      <c r="R204" t="s">
        <v>2437</v>
      </c>
      <c r="T204" t="s">
        <v>2437</v>
      </c>
      <c r="U204" t="s">
        <v>2437</v>
      </c>
      <c r="V204" t="s">
        <v>2437</v>
      </c>
      <c r="Y204" t="s">
        <v>6948</v>
      </c>
      <c r="Z204" t="s">
        <v>6949</v>
      </c>
      <c r="AA204" t="s">
        <v>6950</v>
      </c>
      <c r="AB204" t="s">
        <v>6951</v>
      </c>
      <c r="AC204" t="s">
        <v>6952</v>
      </c>
      <c r="AD204" t="s">
        <v>6953</v>
      </c>
      <c r="AE204" t="s">
        <v>6954</v>
      </c>
      <c r="AF204" t="s">
        <v>6955</v>
      </c>
      <c r="AG204" t="s">
        <v>6956</v>
      </c>
      <c r="AH204" t="s">
        <v>6957</v>
      </c>
      <c r="AI204" t="s">
        <v>6958</v>
      </c>
      <c r="AJ204" t="s">
        <v>6959</v>
      </c>
      <c r="AR204" t="s">
        <v>4284</v>
      </c>
    </row>
    <row r="205" spans="1:44">
      <c r="A205">
        <v>11117146</v>
      </c>
      <c r="B205" t="s">
        <v>300</v>
      </c>
      <c r="C205" t="s">
        <v>1204</v>
      </c>
      <c r="D205" t="s">
        <v>1642</v>
      </c>
      <c r="E205" t="s">
        <v>1643</v>
      </c>
      <c r="F205" t="s">
        <v>1564</v>
      </c>
      <c r="G205" t="s">
        <v>1565</v>
      </c>
      <c r="H205" t="s">
        <v>2226</v>
      </c>
      <c r="I205" t="s">
        <v>4418</v>
      </c>
      <c r="J205" t="s">
        <v>2844</v>
      </c>
      <c r="K205" t="s">
        <v>2845</v>
      </c>
      <c r="M205">
        <v>50</v>
      </c>
      <c r="N205">
        <v>70</v>
      </c>
      <c r="O205" t="s">
        <v>2437</v>
      </c>
      <c r="P205" t="s">
        <v>2437</v>
      </c>
      <c r="R205" t="s">
        <v>2437</v>
      </c>
      <c r="T205" t="s">
        <v>2437</v>
      </c>
      <c r="U205" t="s">
        <v>2437</v>
      </c>
      <c r="V205" t="s">
        <v>2437</v>
      </c>
      <c r="Y205" t="s">
        <v>6948</v>
      </c>
      <c r="Z205" t="s">
        <v>6949</v>
      </c>
      <c r="AA205" t="s">
        <v>6950</v>
      </c>
      <c r="AB205" t="s">
        <v>6951</v>
      </c>
      <c r="AC205" t="s">
        <v>6952</v>
      </c>
      <c r="AD205" t="s">
        <v>6953</v>
      </c>
      <c r="AE205" t="s">
        <v>6954</v>
      </c>
      <c r="AF205" t="s">
        <v>6955</v>
      </c>
      <c r="AG205" t="s">
        <v>6956</v>
      </c>
      <c r="AH205" t="s">
        <v>6957</v>
      </c>
      <c r="AI205" t="s">
        <v>6958</v>
      </c>
      <c r="AJ205" t="s">
        <v>6959</v>
      </c>
      <c r="AR205" t="s">
        <v>4284</v>
      </c>
    </row>
    <row r="206" spans="1:44">
      <c r="A206">
        <v>11117147</v>
      </c>
      <c r="B206" t="s">
        <v>301</v>
      </c>
      <c r="C206" t="s">
        <v>1205</v>
      </c>
      <c r="D206" t="s">
        <v>1642</v>
      </c>
      <c r="E206" t="s">
        <v>1643</v>
      </c>
      <c r="F206" t="s">
        <v>1564</v>
      </c>
      <c r="G206" t="s">
        <v>1565</v>
      </c>
      <c r="H206" t="s">
        <v>2227</v>
      </c>
      <c r="I206" t="s">
        <v>4419</v>
      </c>
      <c r="J206" t="s">
        <v>2846</v>
      </c>
      <c r="K206" t="s">
        <v>2847</v>
      </c>
      <c r="M206">
        <v>50</v>
      </c>
      <c r="N206">
        <v>70</v>
      </c>
      <c r="O206" t="s">
        <v>2437</v>
      </c>
      <c r="P206" t="s">
        <v>2437</v>
      </c>
      <c r="R206" t="s">
        <v>2437</v>
      </c>
      <c r="T206" t="s">
        <v>2437</v>
      </c>
      <c r="U206" t="s">
        <v>2437</v>
      </c>
      <c r="V206" t="s">
        <v>2437</v>
      </c>
      <c r="Y206" t="s">
        <v>6948</v>
      </c>
      <c r="Z206" t="s">
        <v>6949</v>
      </c>
      <c r="AA206" t="s">
        <v>6950</v>
      </c>
      <c r="AB206" t="s">
        <v>6951</v>
      </c>
      <c r="AC206" t="s">
        <v>6952</v>
      </c>
      <c r="AD206" t="s">
        <v>6953</v>
      </c>
      <c r="AE206" t="s">
        <v>6954</v>
      </c>
      <c r="AF206" t="s">
        <v>6955</v>
      </c>
      <c r="AG206" t="s">
        <v>6956</v>
      </c>
      <c r="AH206" t="s">
        <v>6957</v>
      </c>
      <c r="AI206" t="s">
        <v>6958</v>
      </c>
      <c r="AJ206" t="s">
        <v>6959</v>
      </c>
      <c r="AR206" t="s">
        <v>4284</v>
      </c>
    </row>
    <row r="207" spans="1:44">
      <c r="A207">
        <v>11117148</v>
      </c>
      <c r="B207" t="s">
        <v>302</v>
      </c>
      <c r="C207" t="s">
        <v>965</v>
      </c>
      <c r="D207" t="s">
        <v>1642</v>
      </c>
      <c r="E207" t="s">
        <v>1643</v>
      </c>
      <c r="F207" t="s">
        <v>1564</v>
      </c>
      <c r="G207" t="s">
        <v>1565</v>
      </c>
      <c r="H207" t="s">
        <v>2228</v>
      </c>
      <c r="I207" t="s">
        <v>4370</v>
      </c>
      <c r="J207" t="s">
        <v>2848</v>
      </c>
      <c r="K207" t="s">
        <v>2849</v>
      </c>
      <c r="M207">
        <v>50</v>
      </c>
      <c r="N207">
        <v>70</v>
      </c>
      <c r="O207" t="s">
        <v>2437</v>
      </c>
      <c r="P207" t="s">
        <v>2437</v>
      </c>
      <c r="R207" t="s">
        <v>2437</v>
      </c>
      <c r="T207" t="s">
        <v>2437</v>
      </c>
      <c r="U207" t="s">
        <v>2437</v>
      </c>
      <c r="V207" t="s">
        <v>2437</v>
      </c>
      <c r="Y207" t="s">
        <v>6948</v>
      </c>
      <c r="Z207" t="s">
        <v>6949</v>
      </c>
      <c r="AA207" t="s">
        <v>6950</v>
      </c>
      <c r="AB207" t="s">
        <v>6951</v>
      </c>
      <c r="AC207" t="s">
        <v>6952</v>
      </c>
      <c r="AD207" t="s">
        <v>6953</v>
      </c>
      <c r="AE207" t="s">
        <v>6954</v>
      </c>
      <c r="AF207" t="s">
        <v>6955</v>
      </c>
      <c r="AG207" t="s">
        <v>6956</v>
      </c>
      <c r="AH207" t="s">
        <v>6957</v>
      </c>
      <c r="AI207" t="s">
        <v>6958</v>
      </c>
      <c r="AJ207" t="s">
        <v>6959</v>
      </c>
      <c r="AR207" t="s">
        <v>4284</v>
      </c>
    </row>
    <row r="208" spans="1:44">
      <c r="A208">
        <v>11117149</v>
      </c>
      <c r="B208" t="s">
        <v>303</v>
      </c>
      <c r="C208" t="s">
        <v>1206</v>
      </c>
      <c r="D208" t="s">
        <v>1642</v>
      </c>
      <c r="E208" t="s">
        <v>1643</v>
      </c>
      <c r="F208" t="s">
        <v>1564</v>
      </c>
      <c r="G208" t="s">
        <v>1565</v>
      </c>
      <c r="H208" t="s">
        <v>2229</v>
      </c>
      <c r="I208" t="s">
        <v>4420</v>
      </c>
      <c r="J208" t="s">
        <v>2850</v>
      </c>
      <c r="K208" t="s">
        <v>2851</v>
      </c>
      <c r="M208">
        <v>50</v>
      </c>
      <c r="N208">
        <v>70</v>
      </c>
      <c r="O208" t="s">
        <v>2437</v>
      </c>
      <c r="P208" t="s">
        <v>2437</v>
      </c>
      <c r="R208" t="s">
        <v>2437</v>
      </c>
      <c r="T208" t="s">
        <v>2437</v>
      </c>
      <c r="U208" t="s">
        <v>2437</v>
      </c>
      <c r="V208" t="s">
        <v>2437</v>
      </c>
      <c r="Y208" t="s">
        <v>6948</v>
      </c>
      <c r="Z208" t="s">
        <v>6949</v>
      </c>
      <c r="AA208" t="s">
        <v>6950</v>
      </c>
      <c r="AB208" t="s">
        <v>6951</v>
      </c>
      <c r="AC208" t="s">
        <v>6952</v>
      </c>
      <c r="AD208" t="s">
        <v>6953</v>
      </c>
      <c r="AE208" t="s">
        <v>6954</v>
      </c>
      <c r="AF208" t="s">
        <v>6955</v>
      </c>
      <c r="AG208" t="s">
        <v>6956</v>
      </c>
      <c r="AH208" t="s">
        <v>6957</v>
      </c>
      <c r="AI208" t="s">
        <v>6958</v>
      </c>
      <c r="AJ208" t="s">
        <v>6959</v>
      </c>
      <c r="AR208" t="s">
        <v>4284</v>
      </c>
    </row>
    <row r="209" spans="1:44">
      <c r="A209">
        <v>11117150</v>
      </c>
      <c r="B209" t="s">
        <v>304</v>
      </c>
      <c r="C209" t="s">
        <v>977</v>
      </c>
      <c r="D209" t="s">
        <v>1642</v>
      </c>
      <c r="E209" t="s">
        <v>1643</v>
      </c>
      <c r="F209" t="s">
        <v>1564</v>
      </c>
      <c r="G209" t="s">
        <v>1565</v>
      </c>
      <c r="H209" t="s">
        <v>2230</v>
      </c>
      <c r="I209" t="s">
        <v>4421</v>
      </c>
      <c r="J209" t="s">
        <v>2852</v>
      </c>
      <c r="K209" t="s">
        <v>2853</v>
      </c>
      <c r="M209">
        <v>50</v>
      </c>
      <c r="N209">
        <v>70</v>
      </c>
      <c r="O209" t="s">
        <v>2437</v>
      </c>
      <c r="P209" t="s">
        <v>2437</v>
      </c>
      <c r="R209" t="s">
        <v>2437</v>
      </c>
      <c r="T209" t="s">
        <v>2437</v>
      </c>
      <c r="U209" t="s">
        <v>2437</v>
      </c>
      <c r="V209" t="s">
        <v>2437</v>
      </c>
      <c r="Y209" t="s">
        <v>6948</v>
      </c>
      <c r="Z209" t="s">
        <v>6949</v>
      </c>
      <c r="AA209" t="s">
        <v>6950</v>
      </c>
      <c r="AB209" t="s">
        <v>6951</v>
      </c>
      <c r="AC209" t="s">
        <v>6952</v>
      </c>
      <c r="AD209" t="s">
        <v>6953</v>
      </c>
      <c r="AE209" t="s">
        <v>6954</v>
      </c>
      <c r="AF209" t="s">
        <v>6955</v>
      </c>
      <c r="AG209" t="s">
        <v>6956</v>
      </c>
      <c r="AH209" t="s">
        <v>6957</v>
      </c>
      <c r="AI209" t="s">
        <v>6958</v>
      </c>
      <c r="AJ209" t="s">
        <v>6959</v>
      </c>
      <c r="AR209" t="s">
        <v>4284</v>
      </c>
    </row>
    <row r="210" spans="1:44">
      <c r="A210">
        <v>11117151</v>
      </c>
      <c r="B210" t="s">
        <v>305</v>
      </c>
      <c r="C210" t="s">
        <v>976</v>
      </c>
      <c r="D210" t="s">
        <v>1642</v>
      </c>
      <c r="E210" t="s">
        <v>1643</v>
      </c>
      <c r="F210" t="s">
        <v>1564</v>
      </c>
      <c r="G210" t="s">
        <v>1565</v>
      </c>
      <c r="H210" t="s">
        <v>2231</v>
      </c>
      <c r="I210" t="s">
        <v>4422</v>
      </c>
      <c r="J210" t="s">
        <v>2854</v>
      </c>
      <c r="K210" t="s">
        <v>2855</v>
      </c>
      <c r="M210">
        <v>50</v>
      </c>
      <c r="N210">
        <v>70</v>
      </c>
      <c r="O210" t="s">
        <v>2437</v>
      </c>
      <c r="P210" t="s">
        <v>2437</v>
      </c>
      <c r="R210" t="s">
        <v>2437</v>
      </c>
      <c r="T210" t="s">
        <v>2437</v>
      </c>
      <c r="U210" t="s">
        <v>2437</v>
      </c>
      <c r="V210" t="s">
        <v>2437</v>
      </c>
      <c r="Y210" t="s">
        <v>6948</v>
      </c>
      <c r="Z210" t="s">
        <v>6949</v>
      </c>
      <c r="AA210" t="s">
        <v>6950</v>
      </c>
      <c r="AB210" t="s">
        <v>6951</v>
      </c>
      <c r="AC210" t="s">
        <v>6952</v>
      </c>
      <c r="AD210" t="s">
        <v>6953</v>
      </c>
      <c r="AE210" t="s">
        <v>6954</v>
      </c>
      <c r="AF210" t="s">
        <v>6955</v>
      </c>
      <c r="AG210" t="s">
        <v>6956</v>
      </c>
      <c r="AH210" t="s">
        <v>6957</v>
      </c>
      <c r="AI210" t="s">
        <v>6958</v>
      </c>
      <c r="AJ210" t="s">
        <v>6959</v>
      </c>
      <c r="AR210" t="s">
        <v>4284</v>
      </c>
    </row>
    <row r="211" spans="1:44">
      <c r="A211">
        <v>11117153</v>
      </c>
      <c r="B211" t="s">
        <v>306</v>
      </c>
      <c r="C211" t="s">
        <v>1157</v>
      </c>
      <c r="D211" t="s">
        <v>1638</v>
      </c>
      <c r="E211" t="s">
        <v>1639</v>
      </c>
      <c r="F211" t="s">
        <v>1486</v>
      </c>
      <c r="G211" t="s">
        <v>1487</v>
      </c>
      <c r="H211" t="s">
        <v>2207</v>
      </c>
      <c r="I211" t="s">
        <v>4401</v>
      </c>
      <c r="J211" t="s">
        <v>2856</v>
      </c>
      <c r="K211" t="s">
        <v>2857</v>
      </c>
      <c r="M211">
        <v>50</v>
      </c>
      <c r="N211">
        <v>70</v>
      </c>
      <c r="O211" t="s">
        <v>2437</v>
      </c>
      <c r="P211" t="s">
        <v>2437</v>
      </c>
      <c r="R211" t="s">
        <v>2437</v>
      </c>
      <c r="T211" t="s">
        <v>2437</v>
      </c>
      <c r="U211" t="s">
        <v>2437</v>
      </c>
      <c r="V211" t="s">
        <v>2437</v>
      </c>
      <c r="Y211" t="s">
        <v>6948</v>
      </c>
      <c r="Z211" t="s">
        <v>6949</v>
      </c>
      <c r="AA211" t="s">
        <v>6950</v>
      </c>
      <c r="AB211" t="s">
        <v>6951</v>
      </c>
      <c r="AC211" t="s">
        <v>6952</v>
      </c>
      <c r="AD211" t="s">
        <v>6953</v>
      </c>
      <c r="AE211" t="s">
        <v>6954</v>
      </c>
      <c r="AF211" t="s">
        <v>6955</v>
      </c>
      <c r="AG211" t="s">
        <v>6956</v>
      </c>
      <c r="AH211" t="s">
        <v>6957</v>
      </c>
      <c r="AI211" t="s">
        <v>6958</v>
      </c>
      <c r="AJ211" t="s">
        <v>6959</v>
      </c>
      <c r="AR211" t="s">
        <v>4284</v>
      </c>
    </row>
    <row r="212" spans="1:44">
      <c r="A212">
        <v>11117154</v>
      </c>
      <c r="B212" t="s">
        <v>307</v>
      </c>
      <c r="C212" t="s">
        <v>1158</v>
      </c>
      <c r="D212" t="s">
        <v>1638</v>
      </c>
      <c r="E212" t="s">
        <v>1639</v>
      </c>
      <c r="F212" t="s">
        <v>1486</v>
      </c>
      <c r="G212" t="s">
        <v>1487</v>
      </c>
      <c r="H212" t="s">
        <v>2208</v>
      </c>
      <c r="I212" t="s">
        <v>4402</v>
      </c>
      <c r="J212" t="s">
        <v>2858</v>
      </c>
      <c r="K212" t="s">
        <v>2859</v>
      </c>
      <c r="M212">
        <v>50</v>
      </c>
      <c r="N212">
        <v>70</v>
      </c>
      <c r="O212" t="s">
        <v>2437</v>
      </c>
      <c r="P212" t="s">
        <v>2437</v>
      </c>
      <c r="R212" t="s">
        <v>2437</v>
      </c>
      <c r="T212" t="s">
        <v>2437</v>
      </c>
      <c r="U212" t="s">
        <v>2437</v>
      </c>
      <c r="V212" t="s">
        <v>2437</v>
      </c>
      <c r="Y212" t="s">
        <v>6948</v>
      </c>
      <c r="Z212" t="s">
        <v>6949</v>
      </c>
      <c r="AA212" t="s">
        <v>6950</v>
      </c>
      <c r="AB212" t="s">
        <v>6951</v>
      </c>
      <c r="AC212" t="s">
        <v>6952</v>
      </c>
      <c r="AD212" t="s">
        <v>6953</v>
      </c>
      <c r="AE212" t="s">
        <v>6954</v>
      </c>
      <c r="AF212" t="s">
        <v>6955</v>
      </c>
      <c r="AG212" t="s">
        <v>6956</v>
      </c>
      <c r="AH212" t="s">
        <v>6957</v>
      </c>
      <c r="AI212" t="s">
        <v>6958</v>
      </c>
      <c r="AJ212" t="s">
        <v>6959</v>
      </c>
      <c r="AR212" t="s">
        <v>4284</v>
      </c>
    </row>
    <row r="213" spans="1:44">
      <c r="A213">
        <v>11117155</v>
      </c>
      <c r="B213" t="s">
        <v>308</v>
      </c>
      <c r="C213" t="s">
        <v>1159</v>
      </c>
      <c r="D213" t="s">
        <v>1638</v>
      </c>
      <c r="E213" t="s">
        <v>1639</v>
      </c>
      <c r="F213" t="s">
        <v>1486</v>
      </c>
      <c r="G213" t="s">
        <v>1487</v>
      </c>
      <c r="H213" t="s">
        <v>2209</v>
      </c>
      <c r="I213" t="s">
        <v>4403</v>
      </c>
      <c r="J213" t="s">
        <v>2860</v>
      </c>
      <c r="K213" t="s">
        <v>2861</v>
      </c>
      <c r="M213">
        <v>50</v>
      </c>
      <c r="N213">
        <v>70</v>
      </c>
      <c r="O213" t="s">
        <v>2437</v>
      </c>
      <c r="P213" t="s">
        <v>2437</v>
      </c>
      <c r="R213" t="s">
        <v>2437</v>
      </c>
      <c r="T213" t="s">
        <v>2437</v>
      </c>
      <c r="U213" t="s">
        <v>2437</v>
      </c>
      <c r="V213" t="s">
        <v>2437</v>
      </c>
      <c r="Y213" t="s">
        <v>6948</v>
      </c>
      <c r="Z213" t="s">
        <v>6949</v>
      </c>
      <c r="AA213" t="s">
        <v>6950</v>
      </c>
      <c r="AB213" t="s">
        <v>6951</v>
      </c>
      <c r="AC213" t="s">
        <v>6952</v>
      </c>
      <c r="AD213" t="s">
        <v>6953</v>
      </c>
      <c r="AE213" t="s">
        <v>6954</v>
      </c>
      <c r="AF213" t="s">
        <v>6955</v>
      </c>
      <c r="AG213" t="s">
        <v>6956</v>
      </c>
      <c r="AH213" t="s">
        <v>6957</v>
      </c>
      <c r="AI213" t="s">
        <v>6958</v>
      </c>
      <c r="AJ213" t="s">
        <v>6959</v>
      </c>
      <c r="AR213" t="s">
        <v>4284</v>
      </c>
    </row>
    <row r="214" spans="1:44">
      <c r="A214">
        <v>11117156</v>
      </c>
      <c r="B214" t="s">
        <v>309</v>
      </c>
      <c r="C214" t="s">
        <v>1160</v>
      </c>
      <c r="D214" t="s">
        <v>1638</v>
      </c>
      <c r="E214" t="s">
        <v>1639</v>
      </c>
      <c r="F214" t="s">
        <v>1486</v>
      </c>
      <c r="G214" t="s">
        <v>1487</v>
      </c>
      <c r="H214" t="s">
        <v>2194</v>
      </c>
      <c r="I214" t="s">
        <v>4392</v>
      </c>
      <c r="J214" t="s">
        <v>2862</v>
      </c>
      <c r="K214" t="s">
        <v>2863</v>
      </c>
      <c r="M214">
        <v>50</v>
      </c>
      <c r="N214">
        <v>70</v>
      </c>
      <c r="O214" t="s">
        <v>2437</v>
      </c>
      <c r="P214" t="s">
        <v>2437</v>
      </c>
      <c r="R214" t="s">
        <v>2437</v>
      </c>
      <c r="T214" t="s">
        <v>2437</v>
      </c>
      <c r="U214" t="s">
        <v>2437</v>
      </c>
      <c r="V214" t="s">
        <v>2437</v>
      </c>
      <c r="Y214" t="s">
        <v>6948</v>
      </c>
      <c r="Z214" t="s">
        <v>6949</v>
      </c>
      <c r="AA214" t="s">
        <v>6950</v>
      </c>
      <c r="AB214" t="s">
        <v>6951</v>
      </c>
      <c r="AC214" t="s">
        <v>6952</v>
      </c>
      <c r="AD214" t="s">
        <v>6953</v>
      </c>
      <c r="AE214" t="s">
        <v>6954</v>
      </c>
      <c r="AF214" t="s">
        <v>6955</v>
      </c>
      <c r="AG214" t="s">
        <v>6956</v>
      </c>
      <c r="AH214" t="s">
        <v>6957</v>
      </c>
      <c r="AI214" t="s">
        <v>6958</v>
      </c>
      <c r="AJ214" t="s">
        <v>6959</v>
      </c>
      <c r="AR214" t="s">
        <v>4284</v>
      </c>
    </row>
    <row r="215" spans="1:44">
      <c r="A215">
        <v>11117157</v>
      </c>
      <c r="B215" t="s">
        <v>310</v>
      </c>
      <c r="C215" t="s">
        <v>1161</v>
      </c>
      <c r="D215" t="s">
        <v>1638</v>
      </c>
      <c r="E215" t="s">
        <v>1639</v>
      </c>
      <c r="F215" t="s">
        <v>1486</v>
      </c>
      <c r="G215" t="s">
        <v>1487</v>
      </c>
      <c r="H215" t="s">
        <v>2210</v>
      </c>
      <c r="I215" t="s">
        <v>4404</v>
      </c>
      <c r="J215" t="s">
        <v>2864</v>
      </c>
      <c r="K215" t="s">
        <v>2865</v>
      </c>
      <c r="M215">
        <v>50</v>
      </c>
      <c r="N215">
        <v>70</v>
      </c>
      <c r="O215" t="s">
        <v>2437</v>
      </c>
      <c r="P215" t="s">
        <v>2437</v>
      </c>
      <c r="R215" t="s">
        <v>2437</v>
      </c>
      <c r="T215" t="s">
        <v>2437</v>
      </c>
      <c r="U215" t="s">
        <v>2437</v>
      </c>
      <c r="V215" t="s">
        <v>2437</v>
      </c>
      <c r="Y215" t="s">
        <v>6948</v>
      </c>
      <c r="Z215" t="s">
        <v>6949</v>
      </c>
      <c r="AA215" t="s">
        <v>6950</v>
      </c>
      <c r="AB215" t="s">
        <v>6951</v>
      </c>
      <c r="AC215" t="s">
        <v>6952</v>
      </c>
      <c r="AD215" t="s">
        <v>6953</v>
      </c>
      <c r="AE215" t="s">
        <v>6954</v>
      </c>
      <c r="AF215" t="s">
        <v>6955</v>
      </c>
      <c r="AG215" t="s">
        <v>6956</v>
      </c>
      <c r="AH215" t="s">
        <v>6957</v>
      </c>
      <c r="AI215" t="s">
        <v>6958</v>
      </c>
      <c r="AJ215" t="s">
        <v>6959</v>
      </c>
      <c r="AR215" t="s">
        <v>4284</v>
      </c>
    </row>
    <row r="216" spans="1:44">
      <c r="A216">
        <v>11117107</v>
      </c>
      <c r="B216" t="s">
        <v>311</v>
      </c>
      <c r="C216" t="s">
        <v>1054</v>
      </c>
      <c r="D216" t="s">
        <v>1644</v>
      </c>
      <c r="E216" t="s">
        <v>1645</v>
      </c>
      <c r="F216" t="s">
        <v>1486</v>
      </c>
      <c r="G216" t="s">
        <v>1487</v>
      </c>
      <c r="H216" t="s">
        <v>2232</v>
      </c>
      <c r="I216" t="s">
        <v>4423</v>
      </c>
      <c r="J216" t="s">
        <v>2866</v>
      </c>
      <c r="K216" t="s">
        <v>2867</v>
      </c>
      <c r="M216">
        <v>50</v>
      </c>
      <c r="N216">
        <v>70</v>
      </c>
      <c r="O216" t="s">
        <v>2437</v>
      </c>
      <c r="P216" t="s">
        <v>2437</v>
      </c>
      <c r="R216" t="s">
        <v>2437</v>
      </c>
      <c r="T216" t="s">
        <v>2437</v>
      </c>
      <c r="U216" t="s">
        <v>2437</v>
      </c>
      <c r="V216" t="s">
        <v>2437</v>
      </c>
      <c r="Y216" t="s">
        <v>6948</v>
      </c>
      <c r="Z216" t="s">
        <v>6949</v>
      </c>
      <c r="AA216" t="s">
        <v>6950</v>
      </c>
      <c r="AB216" t="s">
        <v>6951</v>
      </c>
      <c r="AC216" t="s">
        <v>6952</v>
      </c>
      <c r="AD216" t="s">
        <v>6953</v>
      </c>
      <c r="AE216" t="s">
        <v>6954</v>
      </c>
      <c r="AF216" t="s">
        <v>6955</v>
      </c>
      <c r="AG216" t="s">
        <v>6956</v>
      </c>
      <c r="AH216" t="s">
        <v>6957</v>
      </c>
      <c r="AI216" t="s">
        <v>6958</v>
      </c>
      <c r="AJ216" t="s">
        <v>6959</v>
      </c>
      <c r="AR216" t="s">
        <v>4284</v>
      </c>
    </row>
    <row r="217" spans="1:44">
      <c r="A217">
        <v>11117121</v>
      </c>
      <c r="B217" t="s">
        <v>2</v>
      </c>
      <c r="C217" t="s">
        <v>1108</v>
      </c>
      <c r="D217" t="s">
        <v>34</v>
      </c>
      <c r="E217" t="s">
        <v>35</v>
      </c>
      <c r="F217" t="s">
        <v>1515</v>
      </c>
      <c r="G217" t="s">
        <v>36</v>
      </c>
      <c r="H217" t="s">
        <v>37</v>
      </c>
      <c r="I217" t="s">
        <v>38</v>
      </c>
      <c r="J217" t="s">
        <v>2868</v>
      </c>
      <c r="K217" t="s">
        <v>2869</v>
      </c>
      <c r="M217">
        <v>50</v>
      </c>
      <c r="N217">
        <v>70</v>
      </c>
      <c r="O217" t="s">
        <v>2437</v>
      </c>
      <c r="P217" t="s">
        <v>2437</v>
      </c>
      <c r="R217" t="s">
        <v>2437</v>
      </c>
      <c r="T217" t="s">
        <v>2437</v>
      </c>
      <c r="U217" t="s">
        <v>2437</v>
      </c>
      <c r="V217" t="s">
        <v>2437</v>
      </c>
      <c r="Y217" t="s">
        <v>6948</v>
      </c>
      <c r="Z217" t="s">
        <v>6949</v>
      </c>
      <c r="AA217" t="s">
        <v>6950</v>
      </c>
      <c r="AB217" t="s">
        <v>6951</v>
      </c>
      <c r="AC217" t="s">
        <v>6952</v>
      </c>
      <c r="AD217" t="s">
        <v>6953</v>
      </c>
      <c r="AE217" t="s">
        <v>6954</v>
      </c>
      <c r="AF217" t="s">
        <v>6955</v>
      </c>
      <c r="AG217" t="s">
        <v>6956</v>
      </c>
      <c r="AH217" t="s">
        <v>6957</v>
      </c>
      <c r="AI217" t="s">
        <v>6958</v>
      </c>
      <c r="AJ217" t="s">
        <v>6959</v>
      </c>
      <c r="AR217" t="s">
        <v>4284</v>
      </c>
    </row>
    <row r="218" spans="1:44">
      <c r="A218">
        <v>11117122</v>
      </c>
      <c r="B218" t="s">
        <v>312</v>
      </c>
      <c r="C218" t="s">
        <v>1109</v>
      </c>
      <c r="D218" t="s">
        <v>34</v>
      </c>
      <c r="E218" t="s">
        <v>35</v>
      </c>
      <c r="F218" t="s">
        <v>1515</v>
      </c>
      <c r="G218" t="s">
        <v>36</v>
      </c>
      <c r="H218" t="s">
        <v>2233</v>
      </c>
      <c r="I218" t="s">
        <v>4424</v>
      </c>
      <c r="J218" t="s">
        <v>2870</v>
      </c>
      <c r="K218" t="s">
        <v>2871</v>
      </c>
      <c r="M218">
        <v>50</v>
      </c>
      <c r="N218">
        <v>70</v>
      </c>
      <c r="O218" t="s">
        <v>2437</v>
      </c>
      <c r="P218" t="s">
        <v>2437</v>
      </c>
      <c r="R218" t="s">
        <v>2437</v>
      </c>
      <c r="T218" t="s">
        <v>2437</v>
      </c>
      <c r="U218" t="s">
        <v>2437</v>
      </c>
      <c r="V218" t="s">
        <v>2437</v>
      </c>
      <c r="Y218" t="s">
        <v>6948</v>
      </c>
      <c r="Z218" t="s">
        <v>6949</v>
      </c>
      <c r="AA218" t="s">
        <v>6950</v>
      </c>
      <c r="AB218" t="s">
        <v>6951</v>
      </c>
      <c r="AC218" t="s">
        <v>6952</v>
      </c>
      <c r="AD218" t="s">
        <v>6953</v>
      </c>
      <c r="AE218" t="s">
        <v>6954</v>
      </c>
      <c r="AF218" t="s">
        <v>6955</v>
      </c>
      <c r="AG218" t="s">
        <v>6956</v>
      </c>
      <c r="AH218" t="s">
        <v>6957</v>
      </c>
      <c r="AI218" t="s">
        <v>6958</v>
      </c>
      <c r="AJ218" t="s">
        <v>6959</v>
      </c>
      <c r="AR218" t="s">
        <v>4284</v>
      </c>
    </row>
    <row r="219" spans="1:44">
      <c r="A219">
        <v>11117123</v>
      </c>
      <c r="B219" t="s">
        <v>313</v>
      </c>
      <c r="C219" t="s">
        <v>1110</v>
      </c>
      <c r="D219" t="s">
        <v>34</v>
      </c>
      <c r="E219" t="s">
        <v>35</v>
      </c>
      <c r="F219" t="s">
        <v>1515</v>
      </c>
      <c r="G219" t="s">
        <v>36</v>
      </c>
      <c r="H219" t="s">
        <v>2234</v>
      </c>
      <c r="I219" t="s">
        <v>4425</v>
      </c>
      <c r="J219" t="s">
        <v>2872</v>
      </c>
      <c r="K219" t="s">
        <v>2873</v>
      </c>
      <c r="M219">
        <v>50</v>
      </c>
      <c r="N219">
        <v>70</v>
      </c>
      <c r="O219" t="s">
        <v>2437</v>
      </c>
      <c r="P219" t="s">
        <v>2437</v>
      </c>
      <c r="R219" t="s">
        <v>2437</v>
      </c>
      <c r="T219" t="s">
        <v>2437</v>
      </c>
      <c r="U219" t="s">
        <v>2437</v>
      </c>
      <c r="V219" t="s">
        <v>2437</v>
      </c>
      <c r="Y219" t="s">
        <v>6948</v>
      </c>
      <c r="Z219" t="s">
        <v>6949</v>
      </c>
      <c r="AA219" t="s">
        <v>6950</v>
      </c>
      <c r="AB219" t="s">
        <v>6951</v>
      </c>
      <c r="AC219" t="s">
        <v>6952</v>
      </c>
      <c r="AD219" t="s">
        <v>6953</v>
      </c>
      <c r="AE219" t="s">
        <v>6954</v>
      </c>
      <c r="AF219" t="s">
        <v>6955</v>
      </c>
      <c r="AG219" t="s">
        <v>6956</v>
      </c>
      <c r="AH219" t="s">
        <v>6957</v>
      </c>
      <c r="AI219" t="s">
        <v>6958</v>
      </c>
      <c r="AJ219" t="s">
        <v>6959</v>
      </c>
      <c r="AR219" t="s">
        <v>4284</v>
      </c>
    </row>
    <row r="220" spans="1:44">
      <c r="A220">
        <v>11117126</v>
      </c>
      <c r="B220" t="s">
        <v>314</v>
      </c>
      <c r="C220" t="s">
        <v>1144</v>
      </c>
      <c r="D220" t="s">
        <v>1646</v>
      </c>
      <c r="E220" t="s">
        <v>1647</v>
      </c>
      <c r="F220" t="s">
        <v>1517</v>
      </c>
      <c r="G220" t="s">
        <v>1518</v>
      </c>
      <c r="H220" t="s">
        <v>2214</v>
      </c>
      <c r="I220" t="s">
        <v>4407</v>
      </c>
      <c r="J220" t="s">
        <v>2874</v>
      </c>
      <c r="K220" t="s">
        <v>2875</v>
      </c>
      <c r="M220">
        <v>50</v>
      </c>
      <c r="N220">
        <v>70</v>
      </c>
      <c r="O220" t="s">
        <v>2437</v>
      </c>
      <c r="P220" t="s">
        <v>2437</v>
      </c>
      <c r="R220" t="s">
        <v>2437</v>
      </c>
      <c r="T220" t="s">
        <v>2437</v>
      </c>
      <c r="U220" t="s">
        <v>2437</v>
      </c>
      <c r="V220" t="s">
        <v>2437</v>
      </c>
      <c r="Y220" t="s">
        <v>6948</v>
      </c>
      <c r="Z220" t="s">
        <v>6949</v>
      </c>
      <c r="AA220" t="s">
        <v>6950</v>
      </c>
      <c r="AB220" t="s">
        <v>6951</v>
      </c>
      <c r="AC220" t="s">
        <v>6952</v>
      </c>
      <c r="AD220" t="s">
        <v>6953</v>
      </c>
      <c r="AE220" t="s">
        <v>6954</v>
      </c>
      <c r="AF220" t="s">
        <v>6955</v>
      </c>
      <c r="AG220" t="s">
        <v>6956</v>
      </c>
      <c r="AH220" t="s">
        <v>6957</v>
      </c>
      <c r="AI220" t="s">
        <v>6958</v>
      </c>
      <c r="AJ220" t="s">
        <v>6959</v>
      </c>
      <c r="AR220" t="s">
        <v>4284</v>
      </c>
    </row>
    <row r="221" spans="1:44">
      <c r="A221">
        <v>11117082</v>
      </c>
      <c r="B221" t="s">
        <v>315</v>
      </c>
      <c r="C221" t="s">
        <v>1080</v>
      </c>
      <c r="D221" t="s">
        <v>1636</v>
      </c>
      <c r="E221" t="s">
        <v>1637</v>
      </c>
      <c r="F221" t="s">
        <v>1486</v>
      </c>
      <c r="G221" t="s">
        <v>1487</v>
      </c>
      <c r="H221" t="s">
        <v>2200</v>
      </c>
      <c r="I221" t="s">
        <v>4357</v>
      </c>
      <c r="J221" t="s">
        <v>2876</v>
      </c>
      <c r="K221" t="s">
        <v>2877</v>
      </c>
      <c r="M221">
        <v>50</v>
      </c>
      <c r="N221">
        <v>70</v>
      </c>
      <c r="O221" t="s">
        <v>2437</v>
      </c>
      <c r="P221" t="s">
        <v>2437</v>
      </c>
      <c r="R221" t="s">
        <v>2437</v>
      </c>
      <c r="T221" t="s">
        <v>89</v>
      </c>
      <c r="U221" t="s">
        <v>89</v>
      </c>
      <c r="V221" t="s">
        <v>89</v>
      </c>
      <c r="Y221" t="s">
        <v>6948</v>
      </c>
      <c r="Z221" t="s">
        <v>6949</v>
      </c>
      <c r="AA221" t="s">
        <v>6950</v>
      </c>
      <c r="AB221" t="s">
        <v>6951</v>
      </c>
      <c r="AC221" t="s">
        <v>6952</v>
      </c>
      <c r="AD221" t="s">
        <v>6953</v>
      </c>
      <c r="AE221" t="s">
        <v>6954</v>
      </c>
      <c r="AF221" t="s">
        <v>6955</v>
      </c>
      <c r="AG221" t="s">
        <v>6956</v>
      </c>
      <c r="AH221" t="s">
        <v>6957</v>
      </c>
      <c r="AI221" t="s">
        <v>6958</v>
      </c>
      <c r="AJ221" t="s">
        <v>6959</v>
      </c>
      <c r="AR221" t="s">
        <v>4284</v>
      </c>
    </row>
    <row r="222" spans="1:44">
      <c r="A222">
        <v>11117083</v>
      </c>
      <c r="B222" t="s">
        <v>316</v>
      </c>
      <c r="C222" t="s">
        <v>1140</v>
      </c>
      <c r="D222" t="s">
        <v>1648</v>
      </c>
      <c r="E222" t="s">
        <v>1649</v>
      </c>
      <c r="F222" t="s">
        <v>1486</v>
      </c>
      <c r="G222" t="s">
        <v>1487</v>
      </c>
      <c r="H222" t="s">
        <v>2197</v>
      </c>
      <c r="I222" t="s">
        <v>4354</v>
      </c>
      <c r="J222" t="s">
        <v>2878</v>
      </c>
      <c r="K222" t="s">
        <v>2879</v>
      </c>
      <c r="M222">
        <v>50</v>
      </c>
      <c r="N222">
        <v>70</v>
      </c>
      <c r="O222" t="s">
        <v>2437</v>
      </c>
      <c r="P222" t="s">
        <v>2437</v>
      </c>
      <c r="R222" t="s">
        <v>2437</v>
      </c>
      <c r="T222" t="s">
        <v>89</v>
      </c>
      <c r="U222" t="s">
        <v>89</v>
      </c>
      <c r="V222" t="s">
        <v>89</v>
      </c>
      <c r="Y222" t="s">
        <v>6948</v>
      </c>
      <c r="Z222" t="s">
        <v>6949</v>
      </c>
      <c r="AA222" t="s">
        <v>6950</v>
      </c>
      <c r="AB222" t="s">
        <v>6951</v>
      </c>
      <c r="AC222" t="s">
        <v>6952</v>
      </c>
      <c r="AD222" t="s">
        <v>6953</v>
      </c>
      <c r="AE222" t="s">
        <v>6954</v>
      </c>
      <c r="AF222" t="s">
        <v>6955</v>
      </c>
      <c r="AG222" t="s">
        <v>6956</v>
      </c>
      <c r="AH222" t="s">
        <v>6957</v>
      </c>
      <c r="AI222" t="s">
        <v>6958</v>
      </c>
      <c r="AJ222" t="s">
        <v>6959</v>
      </c>
      <c r="AR222" t="s">
        <v>4284</v>
      </c>
    </row>
    <row r="223" spans="1:44">
      <c r="A223">
        <v>11117084</v>
      </c>
      <c r="B223" t="s">
        <v>317</v>
      </c>
      <c r="C223" t="s">
        <v>1011</v>
      </c>
      <c r="D223" t="s">
        <v>1648</v>
      </c>
      <c r="E223" t="s">
        <v>1649</v>
      </c>
      <c r="F223" t="s">
        <v>1486</v>
      </c>
      <c r="G223" t="s">
        <v>1487</v>
      </c>
      <c r="H223" t="s">
        <v>2198</v>
      </c>
      <c r="I223" t="s">
        <v>4356</v>
      </c>
      <c r="J223" t="s">
        <v>2880</v>
      </c>
      <c r="K223" t="s">
        <v>2881</v>
      </c>
      <c r="M223">
        <v>50</v>
      </c>
      <c r="N223">
        <v>70</v>
      </c>
      <c r="O223" t="s">
        <v>2437</v>
      </c>
      <c r="P223" t="s">
        <v>2437</v>
      </c>
      <c r="R223" t="s">
        <v>2437</v>
      </c>
      <c r="T223" t="s">
        <v>89</v>
      </c>
      <c r="U223" t="s">
        <v>89</v>
      </c>
      <c r="V223" t="s">
        <v>89</v>
      </c>
      <c r="Y223" t="s">
        <v>6948</v>
      </c>
      <c r="Z223" t="s">
        <v>6949</v>
      </c>
      <c r="AA223" t="s">
        <v>6950</v>
      </c>
      <c r="AB223" t="s">
        <v>6951</v>
      </c>
      <c r="AC223" t="s">
        <v>6952</v>
      </c>
      <c r="AD223" t="s">
        <v>6953</v>
      </c>
      <c r="AE223" t="s">
        <v>6954</v>
      </c>
      <c r="AF223" t="s">
        <v>6955</v>
      </c>
      <c r="AG223" t="s">
        <v>6956</v>
      </c>
      <c r="AH223" t="s">
        <v>6957</v>
      </c>
      <c r="AI223" t="s">
        <v>6958</v>
      </c>
      <c r="AJ223" t="s">
        <v>6959</v>
      </c>
      <c r="AR223" t="s">
        <v>4284</v>
      </c>
    </row>
    <row r="224" spans="1:44">
      <c r="A224">
        <v>11117448</v>
      </c>
      <c r="B224" t="s">
        <v>318</v>
      </c>
      <c r="C224" t="s">
        <v>1104</v>
      </c>
      <c r="D224" t="s">
        <v>1650</v>
      </c>
      <c r="E224" t="s">
        <v>1651</v>
      </c>
      <c r="F224" t="s">
        <v>1512</v>
      </c>
      <c r="G224" t="s">
        <v>1513</v>
      </c>
      <c r="H224" t="s">
        <v>2235</v>
      </c>
      <c r="I224" t="s">
        <v>4426</v>
      </c>
      <c r="J224" t="s">
        <v>2882</v>
      </c>
      <c r="K224" t="s">
        <v>2883</v>
      </c>
      <c r="M224">
        <v>50</v>
      </c>
      <c r="N224">
        <v>70</v>
      </c>
      <c r="O224" t="s">
        <v>2437</v>
      </c>
      <c r="P224" t="s">
        <v>2437</v>
      </c>
      <c r="R224" t="s">
        <v>2437</v>
      </c>
      <c r="T224" t="s">
        <v>2437</v>
      </c>
      <c r="U224" t="s">
        <v>2437</v>
      </c>
      <c r="V224" t="s">
        <v>2437</v>
      </c>
      <c r="Y224" t="s">
        <v>6948</v>
      </c>
      <c r="Z224" t="s">
        <v>6949</v>
      </c>
      <c r="AA224" t="s">
        <v>6950</v>
      </c>
      <c r="AB224" t="s">
        <v>6951</v>
      </c>
      <c r="AC224" t="s">
        <v>6952</v>
      </c>
      <c r="AD224" t="s">
        <v>6953</v>
      </c>
      <c r="AE224" t="s">
        <v>6954</v>
      </c>
      <c r="AF224" t="s">
        <v>6955</v>
      </c>
      <c r="AG224" t="s">
        <v>6956</v>
      </c>
      <c r="AH224" t="s">
        <v>6957</v>
      </c>
      <c r="AI224" t="s">
        <v>6958</v>
      </c>
      <c r="AJ224" t="s">
        <v>6959</v>
      </c>
      <c r="AR224" t="s">
        <v>4284</v>
      </c>
    </row>
    <row r="225" spans="1:44">
      <c r="A225">
        <v>11117449</v>
      </c>
      <c r="B225" t="s">
        <v>319</v>
      </c>
      <c r="C225" t="s">
        <v>1001</v>
      </c>
      <c r="D225" t="s">
        <v>1650</v>
      </c>
      <c r="E225" t="s">
        <v>1651</v>
      </c>
      <c r="F225" t="s">
        <v>1512</v>
      </c>
      <c r="G225" t="s">
        <v>1513</v>
      </c>
      <c r="H225" t="s">
        <v>2236</v>
      </c>
      <c r="I225" t="s">
        <v>4427</v>
      </c>
      <c r="J225" t="s">
        <v>2884</v>
      </c>
      <c r="K225" t="s">
        <v>2885</v>
      </c>
      <c r="M225">
        <v>50</v>
      </c>
      <c r="N225">
        <v>70</v>
      </c>
      <c r="O225" t="s">
        <v>2437</v>
      </c>
      <c r="P225" t="s">
        <v>2437</v>
      </c>
      <c r="R225" t="s">
        <v>2437</v>
      </c>
      <c r="T225" t="s">
        <v>2437</v>
      </c>
      <c r="U225" t="s">
        <v>2437</v>
      </c>
      <c r="V225" t="s">
        <v>2437</v>
      </c>
      <c r="Y225" t="s">
        <v>6948</v>
      </c>
      <c r="Z225" t="s">
        <v>6949</v>
      </c>
      <c r="AA225" t="s">
        <v>6950</v>
      </c>
      <c r="AB225" t="s">
        <v>6951</v>
      </c>
      <c r="AC225" t="s">
        <v>6952</v>
      </c>
      <c r="AD225" t="s">
        <v>6953</v>
      </c>
      <c r="AE225" t="s">
        <v>6954</v>
      </c>
      <c r="AF225" t="s">
        <v>6955</v>
      </c>
      <c r="AG225" t="s">
        <v>6956</v>
      </c>
      <c r="AH225" t="s">
        <v>6957</v>
      </c>
      <c r="AI225" t="s">
        <v>6958</v>
      </c>
      <c r="AJ225" t="s">
        <v>6959</v>
      </c>
      <c r="AR225" t="s">
        <v>4284</v>
      </c>
    </row>
    <row r="226" spans="1:44">
      <c r="A226">
        <v>11117450</v>
      </c>
      <c r="B226" t="s">
        <v>320</v>
      </c>
      <c r="C226" t="s">
        <v>1002</v>
      </c>
      <c r="D226" t="s">
        <v>1650</v>
      </c>
      <c r="E226" t="s">
        <v>1651</v>
      </c>
      <c r="F226" t="s">
        <v>1512</v>
      </c>
      <c r="G226" t="s">
        <v>1513</v>
      </c>
      <c r="H226" t="s">
        <v>2237</v>
      </c>
      <c r="I226" t="s">
        <v>4428</v>
      </c>
      <c r="J226" t="s">
        <v>2886</v>
      </c>
      <c r="K226" t="s">
        <v>2887</v>
      </c>
      <c r="M226">
        <v>50</v>
      </c>
      <c r="N226">
        <v>70</v>
      </c>
      <c r="O226" t="s">
        <v>2437</v>
      </c>
      <c r="P226" t="s">
        <v>2437</v>
      </c>
      <c r="R226" t="s">
        <v>2437</v>
      </c>
      <c r="T226" t="s">
        <v>2437</v>
      </c>
      <c r="U226" t="s">
        <v>2437</v>
      </c>
      <c r="V226" t="s">
        <v>2437</v>
      </c>
      <c r="Y226" t="s">
        <v>6948</v>
      </c>
      <c r="Z226" t="s">
        <v>6949</v>
      </c>
      <c r="AA226" t="s">
        <v>6950</v>
      </c>
      <c r="AB226" t="s">
        <v>6951</v>
      </c>
      <c r="AC226" t="s">
        <v>6952</v>
      </c>
      <c r="AD226" t="s">
        <v>6953</v>
      </c>
      <c r="AE226" t="s">
        <v>6954</v>
      </c>
      <c r="AF226" t="s">
        <v>6955</v>
      </c>
      <c r="AG226" t="s">
        <v>6956</v>
      </c>
      <c r="AH226" t="s">
        <v>6957</v>
      </c>
      <c r="AI226" t="s">
        <v>6958</v>
      </c>
      <c r="AJ226" t="s">
        <v>6959</v>
      </c>
      <c r="AR226" t="s">
        <v>4284</v>
      </c>
    </row>
    <row r="227" spans="1:44">
      <c r="A227">
        <v>11117451</v>
      </c>
      <c r="B227" t="s">
        <v>321</v>
      </c>
      <c r="C227" t="s">
        <v>999</v>
      </c>
      <c r="D227" t="s">
        <v>1650</v>
      </c>
      <c r="E227" t="s">
        <v>1651</v>
      </c>
      <c r="F227" t="s">
        <v>1512</v>
      </c>
      <c r="G227" t="s">
        <v>1513</v>
      </c>
      <c r="H227" t="s">
        <v>2238</v>
      </c>
      <c r="I227" t="s">
        <v>4429</v>
      </c>
      <c r="J227" t="s">
        <v>2888</v>
      </c>
      <c r="K227" t="s">
        <v>2889</v>
      </c>
      <c r="M227">
        <v>50</v>
      </c>
      <c r="N227">
        <v>70</v>
      </c>
      <c r="O227" t="s">
        <v>2437</v>
      </c>
      <c r="P227" t="s">
        <v>2437</v>
      </c>
      <c r="R227" t="s">
        <v>2437</v>
      </c>
      <c r="T227" t="s">
        <v>2437</v>
      </c>
      <c r="U227" t="s">
        <v>2437</v>
      </c>
      <c r="V227" t="s">
        <v>2437</v>
      </c>
      <c r="Y227" t="s">
        <v>6948</v>
      </c>
      <c r="Z227" t="s">
        <v>6949</v>
      </c>
      <c r="AA227" t="s">
        <v>6950</v>
      </c>
      <c r="AB227" t="s">
        <v>6951</v>
      </c>
      <c r="AC227" t="s">
        <v>6952</v>
      </c>
      <c r="AD227" t="s">
        <v>6953</v>
      </c>
      <c r="AE227" t="s">
        <v>6954</v>
      </c>
      <c r="AF227" t="s">
        <v>6955</v>
      </c>
      <c r="AG227" t="s">
        <v>6956</v>
      </c>
      <c r="AH227" t="s">
        <v>6957</v>
      </c>
      <c r="AI227" t="s">
        <v>6958</v>
      </c>
      <c r="AJ227" t="s">
        <v>6959</v>
      </c>
      <c r="AR227" t="s">
        <v>4284</v>
      </c>
    </row>
    <row r="228" spans="1:44">
      <c r="A228">
        <v>11117455</v>
      </c>
      <c r="B228" t="s">
        <v>322</v>
      </c>
      <c r="C228" t="s">
        <v>1005</v>
      </c>
      <c r="D228" t="s">
        <v>1652</v>
      </c>
      <c r="E228" t="s">
        <v>1653</v>
      </c>
      <c r="F228" t="s">
        <v>1654</v>
      </c>
      <c r="G228" t="s">
        <v>1655</v>
      </c>
      <c r="H228" t="s">
        <v>2239</v>
      </c>
      <c r="I228" t="s">
        <v>4430</v>
      </c>
      <c r="J228" t="s">
        <v>2890</v>
      </c>
      <c r="K228" t="s">
        <v>2891</v>
      </c>
      <c r="M228">
        <v>50</v>
      </c>
      <c r="N228">
        <v>70</v>
      </c>
      <c r="O228" t="s">
        <v>2437</v>
      </c>
      <c r="P228" t="s">
        <v>2437</v>
      </c>
      <c r="R228" t="s">
        <v>2437</v>
      </c>
      <c r="T228" t="s">
        <v>2437</v>
      </c>
      <c r="U228" t="s">
        <v>2437</v>
      </c>
      <c r="V228" t="s">
        <v>2559</v>
      </c>
      <c r="Y228" t="s">
        <v>6948</v>
      </c>
      <c r="Z228" t="s">
        <v>6949</v>
      </c>
      <c r="AA228" t="s">
        <v>6950</v>
      </c>
      <c r="AB228" t="s">
        <v>6951</v>
      </c>
      <c r="AC228" t="s">
        <v>6952</v>
      </c>
      <c r="AD228" t="s">
        <v>6953</v>
      </c>
      <c r="AE228" t="s">
        <v>6954</v>
      </c>
      <c r="AF228" t="s">
        <v>6955</v>
      </c>
      <c r="AG228" t="s">
        <v>6956</v>
      </c>
      <c r="AH228" t="s">
        <v>6957</v>
      </c>
      <c r="AI228" t="s">
        <v>6958</v>
      </c>
      <c r="AJ228" t="s">
        <v>6959</v>
      </c>
      <c r="AR228" t="s">
        <v>4284</v>
      </c>
    </row>
    <row r="229" spans="1:44">
      <c r="A229">
        <v>11117456</v>
      </c>
      <c r="B229" t="s">
        <v>323</v>
      </c>
      <c r="C229" t="s">
        <v>1006</v>
      </c>
      <c r="D229" t="s">
        <v>1652</v>
      </c>
      <c r="E229" t="s">
        <v>1653</v>
      </c>
      <c r="F229" t="s">
        <v>1476</v>
      </c>
      <c r="G229" t="s">
        <v>1477</v>
      </c>
      <c r="H229" t="s">
        <v>2240</v>
      </c>
      <c r="I229" t="s">
        <v>4431</v>
      </c>
      <c r="J229" t="s">
        <v>2892</v>
      </c>
      <c r="K229" t="s">
        <v>2893</v>
      </c>
      <c r="M229">
        <v>50</v>
      </c>
      <c r="N229">
        <v>70</v>
      </c>
      <c r="O229" t="s">
        <v>2437</v>
      </c>
      <c r="P229" t="s">
        <v>2437</v>
      </c>
      <c r="R229" t="s">
        <v>2437</v>
      </c>
      <c r="T229" t="s">
        <v>2437</v>
      </c>
      <c r="U229" t="s">
        <v>2437</v>
      </c>
      <c r="V229" t="s">
        <v>2559</v>
      </c>
      <c r="Y229" t="s">
        <v>6948</v>
      </c>
      <c r="Z229" t="s">
        <v>6949</v>
      </c>
      <c r="AA229" t="s">
        <v>6950</v>
      </c>
      <c r="AB229" t="s">
        <v>6951</v>
      </c>
      <c r="AC229" t="s">
        <v>6952</v>
      </c>
      <c r="AD229" t="s">
        <v>6953</v>
      </c>
      <c r="AE229" t="s">
        <v>6954</v>
      </c>
      <c r="AF229" t="s">
        <v>6955</v>
      </c>
      <c r="AG229" t="s">
        <v>6956</v>
      </c>
      <c r="AH229" t="s">
        <v>6957</v>
      </c>
      <c r="AI229" t="s">
        <v>6958</v>
      </c>
      <c r="AJ229" t="s">
        <v>6959</v>
      </c>
      <c r="AR229" t="s">
        <v>4284</v>
      </c>
    </row>
    <row r="230" spans="1:44">
      <c r="A230">
        <v>11117457</v>
      </c>
      <c r="B230" t="s">
        <v>324</v>
      </c>
      <c r="C230" t="s">
        <v>1007</v>
      </c>
      <c r="D230" t="s">
        <v>1652</v>
      </c>
      <c r="E230" t="s">
        <v>1653</v>
      </c>
      <c r="F230" t="s">
        <v>1476</v>
      </c>
      <c r="G230" t="s">
        <v>1477</v>
      </c>
      <c r="H230" t="s">
        <v>2241</v>
      </c>
      <c r="I230" t="s">
        <v>4432</v>
      </c>
      <c r="J230" t="s">
        <v>2894</v>
      </c>
      <c r="K230" t="s">
        <v>2895</v>
      </c>
      <c r="M230">
        <v>50</v>
      </c>
      <c r="N230">
        <v>70</v>
      </c>
      <c r="O230" t="s">
        <v>2437</v>
      </c>
      <c r="P230" t="s">
        <v>2437</v>
      </c>
      <c r="R230" t="s">
        <v>2437</v>
      </c>
      <c r="T230" t="s">
        <v>2437</v>
      </c>
      <c r="U230" t="s">
        <v>2437</v>
      </c>
      <c r="V230" t="s">
        <v>2559</v>
      </c>
      <c r="Y230" t="s">
        <v>6948</v>
      </c>
      <c r="Z230" t="s">
        <v>6949</v>
      </c>
      <c r="AA230" t="s">
        <v>6950</v>
      </c>
      <c r="AB230" t="s">
        <v>6951</v>
      </c>
      <c r="AC230" t="s">
        <v>6952</v>
      </c>
      <c r="AD230" t="s">
        <v>6953</v>
      </c>
      <c r="AE230" t="s">
        <v>6954</v>
      </c>
      <c r="AF230" t="s">
        <v>6955</v>
      </c>
      <c r="AG230" t="s">
        <v>6956</v>
      </c>
      <c r="AH230" t="s">
        <v>6957</v>
      </c>
      <c r="AI230" t="s">
        <v>6958</v>
      </c>
      <c r="AJ230" t="s">
        <v>6959</v>
      </c>
      <c r="AR230" t="s">
        <v>4284</v>
      </c>
    </row>
    <row r="231" spans="1:44">
      <c r="A231">
        <v>11117458</v>
      </c>
      <c r="B231" t="s">
        <v>325</v>
      </c>
      <c r="C231" t="s">
        <v>1008</v>
      </c>
      <c r="D231" t="s">
        <v>1652</v>
      </c>
      <c r="E231" t="s">
        <v>1653</v>
      </c>
      <c r="F231" t="s">
        <v>1476</v>
      </c>
      <c r="G231" t="s">
        <v>1477</v>
      </c>
      <c r="H231" t="s">
        <v>2242</v>
      </c>
      <c r="I231" t="s">
        <v>4433</v>
      </c>
      <c r="J231" t="s">
        <v>2896</v>
      </c>
      <c r="K231" t="s">
        <v>2897</v>
      </c>
      <c r="M231">
        <v>50</v>
      </c>
      <c r="N231">
        <v>70</v>
      </c>
      <c r="O231" t="s">
        <v>2437</v>
      </c>
      <c r="P231" t="s">
        <v>2437</v>
      </c>
      <c r="R231" t="s">
        <v>2437</v>
      </c>
      <c r="T231" t="s">
        <v>2437</v>
      </c>
      <c r="U231" t="s">
        <v>2437</v>
      </c>
      <c r="V231" t="s">
        <v>2559</v>
      </c>
      <c r="Y231" t="s">
        <v>6948</v>
      </c>
      <c r="Z231" t="s">
        <v>6949</v>
      </c>
      <c r="AA231" t="s">
        <v>6950</v>
      </c>
      <c r="AB231" t="s">
        <v>6951</v>
      </c>
      <c r="AC231" t="s">
        <v>6952</v>
      </c>
      <c r="AD231" t="s">
        <v>6953</v>
      </c>
      <c r="AE231" t="s">
        <v>6954</v>
      </c>
      <c r="AF231" t="s">
        <v>6955</v>
      </c>
      <c r="AG231" t="s">
        <v>6956</v>
      </c>
      <c r="AH231" t="s">
        <v>6957</v>
      </c>
      <c r="AI231" t="s">
        <v>6958</v>
      </c>
      <c r="AJ231" t="s">
        <v>6959</v>
      </c>
      <c r="AR231" t="s">
        <v>4284</v>
      </c>
    </row>
    <row r="232" spans="1:44">
      <c r="A232">
        <v>11117541</v>
      </c>
      <c r="B232" t="s">
        <v>326</v>
      </c>
      <c r="C232" t="s">
        <v>1138</v>
      </c>
      <c r="D232" t="s">
        <v>1656</v>
      </c>
      <c r="E232" t="s">
        <v>1657</v>
      </c>
      <c r="F232" t="s">
        <v>1486</v>
      </c>
      <c r="G232" t="s">
        <v>1487</v>
      </c>
      <c r="H232" t="s">
        <v>2205</v>
      </c>
      <c r="I232" t="s">
        <v>4399</v>
      </c>
      <c r="J232" t="s">
        <v>2898</v>
      </c>
      <c r="K232" t="s">
        <v>2899</v>
      </c>
      <c r="M232">
        <v>50</v>
      </c>
      <c r="N232">
        <v>70</v>
      </c>
      <c r="O232" t="s">
        <v>2437</v>
      </c>
      <c r="P232" t="s">
        <v>2437</v>
      </c>
      <c r="R232" t="s">
        <v>2437</v>
      </c>
      <c r="T232" t="s">
        <v>89</v>
      </c>
      <c r="U232" t="s">
        <v>89</v>
      </c>
      <c r="V232" t="s">
        <v>2437</v>
      </c>
      <c r="Y232" t="s">
        <v>6948</v>
      </c>
      <c r="Z232" t="s">
        <v>6949</v>
      </c>
      <c r="AA232" t="s">
        <v>6950</v>
      </c>
      <c r="AB232" t="s">
        <v>6951</v>
      </c>
      <c r="AC232" t="s">
        <v>6952</v>
      </c>
      <c r="AD232" t="s">
        <v>6953</v>
      </c>
      <c r="AE232" t="s">
        <v>6954</v>
      </c>
      <c r="AF232" t="s">
        <v>6955</v>
      </c>
      <c r="AG232" t="s">
        <v>6956</v>
      </c>
      <c r="AH232" t="s">
        <v>6957</v>
      </c>
      <c r="AI232" t="s">
        <v>6958</v>
      </c>
      <c r="AJ232" t="s">
        <v>6959</v>
      </c>
      <c r="AR232" t="s">
        <v>4284</v>
      </c>
    </row>
    <row r="233" spans="1:44">
      <c r="A233">
        <v>11117537</v>
      </c>
      <c r="B233" t="s">
        <v>327</v>
      </c>
      <c r="C233" t="s">
        <v>1085</v>
      </c>
      <c r="D233" t="s">
        <v>1658</v>
      </c>
      <c r="E233" t="s">
        <v>1659</v>
      </c>
      <c r="F233" t="s">
        <v>1486</v>
      </c>
      <c r="G233" t="s">
        <v>1487</v>
      </c>
      <c r="H233" t="s">
        <v>2221</v>
      </c>
      <c r="I233" t="s">
        <v>4415</v>
      </c>
      <c r="J233" t="s">
        <v>2900</v>
      </c>
      <c r="K233" t="s">
        <v>2901</v>
      </c>
      <c r="M233">
        <v>50</v>
      </c>
      <c r="N233">
        <v>70</v>
      </c>
      <c r="O233" t="s">
        <v>2437</v>
      </c>
      <c r="P233" t="s">
        <v>2437</v>
      </c>
      <c r="R233" t="s">
        <v>2437</v>
      </c>
      <c r="T233" t="s">
        <v>89</v>
      </c>
      <c r="U233" t="s">
        <v>89</v>
      </c>
      <c r="V233" t="s">
        <v>2437</v>
      </c>
      <c r="Y233" t="s">
        <v>6948</v>
      </c>
      <c r="Z233" t="s">
        <v>6949</v>
      </c>
      <c r="AA233" t="s">
        <v>6950</v>
      </c>
      <c r="AB233" t="s">
        <v>6951</v>
      </c>
      <c r="AC233" t="s">
        <v>6952</v>
      </c>
      <c r="AD233" t="s">
        <v>6953</v>
      </c>
      <c r="AE233" t="s">
        <v>6954</v>
      </c>
      <c r="AF233" t="s">
        <v>6955</v>
      </c>
      <c r="AG233" t="s">
        <v>6956</v>
      </c>
      <c r="AH233" t="s">
        <v>6957</v>
      </c>
      <c r="AI233" t="s">
        <v>6958</v>
      </c>
      <c r="AJ233" t="s">
        <v>6959</v>
      </c>
      <c r="AR233" t="s">
        <v>4284</v>
      </c>
    </row>
    <row r="234" spans="1:44">
      <c r="A234">
        <v>11117534</v>
      </c>
      <c r="B234" t="s">
        <v>328</v>
      </c>
      <c r="C234" t="s">
        <v>1203</v>
      </c>
      <c r="D234" t="s">
        <v>1660</v>
      </c>
      <c r="E234" t="s">
        <v>1661</v>
      </c>
      <c r="F234" t="s">
        <v>1486</v>
      </c>
      <c r="G234" t="s">
        <v>1487</v>
      </c>
      <c r="H234" t="s">
        <v>2201</v>
      </c>
      <c r="I234" t="s">
        <v>4395</v>
      </c>
      <c r="J234" t="s">
        <v>2902</v>
      </c>
      <c r="K234" t="s">
        <v>2903</v>
      </c>
      <c r="M234">
        <v>50</v>
      </c>
      <c r="N234">
        <v>70</v>
      </c>
      <c r="O234" t="s">
        <v>2437</v>
      </c>
      <c r="P234" t="s">
        <v>2437</v>
      </c>
      <c r="R234" t="s">
        <v>2437</v>
      </c>
      <c r="T234" t="s">
        <v>89</v>
      </c>
      <c r="U234" t="s">
        <v>89</v>
      </c>
      <c r="V234" t="s">
        <v>2437</v>
      </c>
      <c r="Y234" t="s">
        <v>6948</v>
      </c>
      <c r="Z234" t="s">
        <v>6949</v>
      </c>
      <c r="AA234" t="s">
        <v>6950</v>
      </c>
      <c r="AB234" t="s">
        <v>6951</v>
      </c>
      <c r="AC234" t="s">
        <v>6952</v>
      </c>
      <c r="AD234" t="s">
        <v>6953</v>
      </c>
      <c r="AE234" t="s">
        <v>6954</v>
      </c>
      <c r="AF234" t="s">
        <v>6955</v>
      </c>
      <c r="AG234" t="s">
        <v>6956</v>
      </c>
      <c r="AH234" t="s">
        <v>6957</v>
      </c>
      <c r="AI234" t="s">
        <v>6958</v>
      </c>
      <c r="AJ234" t="s">
        <v>6959</v>
      </c>
      <c r="AR234" t="s">
        <v>4284</v>
      </c>
    </row>
    <row r="235" spans="1:44">
      <c r="A235">
        <v>11117539</v>
      </c>
      <c r="B235" t="s">
        <v>329</v>
      </c>
      <c r="C235" t="s">
        <v>1137</v>
      </c>
      <c r="D235" t="s">
        <v>1656</v>
      </c>
      <c r="E235" t="s">
        <v>1657</v>
      </c>
      <c r="F235" t="s">
        <v>1486</v>
      </c>
      <c r="G235" t="s">
        <v>1487</v>
      </c>
      <c r="H235" t="s">
        <v>2204</v>
      </c>
      <c r="I235" t="s">
        <v>4398</v>
      </c>
      <c r="J235" t="s">
        <v>2904</v>
      </c>
      <c r="K235" t="s">
        <v>2905</v>
      </c>
      <c r="M235">
        <v>50</v>
      </c>
      <c r="N235">
        <v>70</v>
      </c>
      <c r="O235" t="s">
        <v>2437</v>
      </c>
      <c r="P235" t="s">
        <v>2437</v>
      </c>
      <c r="R235" t="s">
        <v>2437</v>
      </c>
      <c r="T235" t="s">
        <v>89</v>
      </c>
      <c r="U235" t="s">
        <v>89</v>
      </c>
      <c r="V235" t="s">
        <v>2437</v>
      </c>
      <c r="Y235" t="s">
        <v>6948</v>
      </c>
      <c r="Z235" t="s">
        <v>6949</v>
      </c>
      <c r="AA235" t="s">
        <v>6950</v>
      </c>
      <c r="AB235" t="s">
        <v>6951</v>
      </c>
      <c r="AC235" t="s">
        <v>6952</v>
      </c>
      <c r="AD235" t="s">
        <v>6953</v>
      </c>
      <c r="AE235" t="s">
        <v>6954</v>
      </c>
      <c r="AF235" t="s">
        <v>6955</v>
      </c>
      <c r="AG235" t="s">
        <v>6956</v>
      </c>
      <c r="AH235" t="s">
        <v>6957</v>
      </c>
      <c r="AI235" t="s">
        <v>6958</v>
      </c>
      <c r="AJ235" t="s">
        <v>6959</v>
      </c>
      <c r="AR235" t="s">
        <v>4284</v>
      </c>
    </row>
    <row r="236" spans="1:44">
      <c r="A236">
        <v>11117540</v>
      </c>
      <c r="B236" t="s">
        <v>330</v>
      </c>
      <c r="C236" t="s">
        <v>1021</v>
      </c>
      <c r="D236" t="s">
        <v>1656</v>
      </c>
      <c r="E236" t="s">
        <v>1657</v>
      </c>
      <c r="F236" t="s">
        <v>1486</v>
      </c>
      <c r="G236" t="s">
        <v>1487</v>
      </c>
      <c r="H236" t="s">
        <v>2206</v>
      </c>
      <c r="I236" t="s">
        <v>4400</v>
      </c>
      <c r="J236" t="s">
        <v>2906</v>
      </c>
      <c r="K236" t="s">
        <v>2907</v>
      </c>
      <c r="M236">
        <v>50</v>
      </c>
      <c r="N236">
        <v>70</v>
      </c>
      <c r="O236" t="s">
        <v>2437</v>
      </c>
      <c r="P236" t="s">
        <v>2437</v>
      </c>
      <c r="R236" t="s">
        <v>2437</v>
      </c>
      <c r="T236" t="s">
        <v>89</v>
      </c>
      <c r="U236" t="s">
        <v>89</v>
      </c>
      <c r="V236" t="s">
        <v>2437</v>
      </c>
      <c r="Y236" t="s">
        <v>6948</v>
      </c>
      <c r="Z236" t="s">
        <v>6949</v>
      </c>
      <c r="AA236" t="s">
        <v>6950</v>
      </c>
      <c r="AB236" t="s">
        <v>6951</v>
      </c>
      <c r="AC236" t="s">
        <v>6952</v>
      </c>
      <c r="AD236" t="s">
        <v>6953</v>
      </c>
      <c r="AE236" t="s">
        <v>6954</v>
      </c>
      <c r="AF236" t="s">
        <v>6955</v>
      </c>
      <c r="AG236" t="s">
        <v>6956</v>
      </c>
      <c r="AH236" t="s">
        <v>6957</v>
      </c>
      <c r="AI236" t="s">
        <v>6958</v>
      </c>
      <c r="AJ236" t="s">
        <v>6959</v>
      </c>
      <c r="AR236" t="s">
        <v>4284</v>
      </c>
    </row>
    <row r="237" spans="1:44">
      <c r="A237">
        <v>11117530</v>
      </c>
      <c r="B237" t="s">
        <v>331</v>
      </c>
      <c r="C237" t="s">
        <v>1208</v>
      </c>
      <c r="D237" t="s">
        <v>1662</v>
      </c>
      <c r="E237" t="s">
        <v>1663</v>
      </c>
      <c r="F237" t="s">
        <v>1486</v>
      </c>
      <c r="G237" t="s">
        <v>1487</v>
      </c>
      <c r="H237" t="s">
        <v>2243</v>
      </c>
      <c r="I237" t="s">
        <v>4434</v>
      </c>
      <c r="J237" t="s">
        <v>2908</v>
      </c>
      <c r="K237" t="s">
        <v>2909</v>
      </c>
      <c r="M237">
        <v>50</v>
      </c>
      <c r="N237">
        <v>70</v>
      </c>
      <c r="O237" t="s">
        <v>2437</v>
      </c>
      <c r="P237" t="s">
        <v>2437</v>
      </c>
      <c r="R237" t="s">
        <v>2437</v>
      </c>
      <c r="T237" t="s">
        <v>89</v>
      </c>
      <c r="U237" t="s">
        <v>89</v>
      </c>
      <c r="V237" t="s">
        <v>2437</v>
      </c>
      <c r="Y237" t="s">
        <v>6948</v>
      </c>
      <c r="Z237" t="s">
        <v>6949</v>
      </c>
      <c r="AA237" t="s">
        <v>6950</v>
      </c>
      <c r="AB237" t="s">
        <v>6951</v>
      </c>
      <c r="AC237" t="s">
        <v>6952</v>
      </c>
      <c r="AD237" t="s">
        <v>6953</v>
      </c>
      <c r="AE237" t="s">
        <v>6954</v>
      </c>
      <c r="AF237" t="s">
        <v>6955</v>
      </c>
      <c r="AG237" t="s">
        <v>6956</v>
      </c>
      <c r="AH237" t="s">
        <v>6957</v>
      </c>
      <c r="AI237" t="s">
        <v>6958</v>
      </c>
      <c r="AJ237" t="s">
        <v>6959</v>
      </c>
      <c r="AR237" t="s">
        <v>4284</v>
      </c>
    </row>
    <row r="238" spans="1:44">
      <c r="A238">
        <v>11117518</v>
      </c>
      <c r="B238" t="s">
        <v>332</v>
      </c>
      <c r="C238" t="s">
        <v>1060</v>
      </c>
      <c r="D238" t="s">
        <v>1664</v>
      </c>
      <c r="E238" t="s">
        <v>1665</v>
      </c>
      <c r="F238" t="s">
        <v>1486</v>
      </c>
      <c r="G238" t="s">
        <v>1487</v>
      </c>
      <c r="H238" t="s">
        <v>2244</v>
      </c>
      <c r="I238" t="s">
        <v>4435</v>
      </c>
      <c r="J238" t="s">
        <v>2910</v>
      </c>
      <c r="K238" t="s">
        <v>2911</v>
      </c>
      <c r="M238">
        <v>50</v>
      </c>
      <c r="N238">
        <v>70</v>
      </c>
      <c r="O238" t="s">
        <v>2437</v>
      </c>
      <c r="P238" t="s">
        <v>2437</v>
      </c>
      <c r="R238" t="s">
        <v>2437</v>
      </c>
      <c r="T238" t="s">
        <v>89</v>
      </c>
      <c r="U238" t="s">
        <v>89</v>
      </c>
      <c r="V238" t="s">
        <v>2437</v>
      </c>
      <c r="Y238" t="s">
        <v>6948</v>
      </c>
      <c r="Z238" t="s">
        <v>6949</v>
      </c>
      <c r="AA238" t="s">
        <v>6950</v>
      </c>
      <c r="AB238" t="s">
        <v>6951</v>
      </c>
      <c r="AC238" t="s">
        <v>6952</v>
      </c>
      <c r="AD238" t="s">
        <v>6953</v>
      </c>
      <c r="AE238" t="s">
        <v>6954</v>
      </c>
      <c r="AF238" t="s">
        <v>6955</v>
      </c>
      <c r="AG238" t="s">
        <v>6956</v>
      </c>
      <c r="AH238" t="s">
        <v>6957</v>
      </c>
      <c r="AI238" t="s">
        <v>6958</v>
      </c>
      <c r="AJ238" t="s">
        <v>6959</v>
      </c>
      <c r="AR238" t="s">
        <v>4284</v>
      </c>
    </row>
    <row r="239" spans="1:44">
      <c r="A239">
        <v>11117519</v>
      </c>
      <c r="B239" t="s">
        <v>333</v>
      </c>
      <c r="C239" t="s">
        <v>1023</v>
      </c>
      <c r="D239" t="s">
        <v>1664</v>
      </c>
      <c r="E239" t="s">
        <v>1665</v>
      </c>
      <c r="F239" t="s">
        <v>1486</v>
      </c>
      <c r="G239" t="s">
        <v>1487</v>
      </c>
      <c r="H239" t="s">
        <v>2245</v>
      </c>
      <c r="I239" t="s">
        <v>4436</v>
      </c>
      <c r="J239" t="s">
        <v>2912</v>
      </c>
      <c r="K239" t="s">
        <v>2913</v>
      </c>
      <c r="M239">
        <v>50</v>
      </c>
      <c r="N239">
        <v>70</v>
      </c>
      <c r="O239" t="s">
        <v>2437</v>
      </c>
      <c r="P239" t="s">
        <v>2437</v>
      </c>
      <c r="R239" t="s">
        <v>2437</v>
      </c>
      <c r="T239" t="s">
        <v>89</v>
      </c>
      <c r="U239" t="s">
        <v>89</v>
      </c>
      <c r="V239" t="s">
        <v>2437</v>
      </c>
      <c r="Y239" t="s">
        <v>6948</v>
      </c>
      <c r="Z239" t="s">
        <v>6949</v>
      </c>
      <c r="AA239" t="s">
        <v>6950</v>
      </c>
      <c r="AB239" t="s">
        <v>6951</v>
      </c>
      <c r="AC239" t="s">
        <v>6952</v>
      </c>
      <c r="AD239" t="s">
        <v>6953</v>
      </c>
      <c r="AE239" t="s">
        <v>6954</v>
      </c>
      <c r="AF239" t="s">
        <v>6955</v>
      </c>
      <c r="AG239" t="s">
        <v>6956</v>
      </c>
      <c r="AH239" t="s">
        <v>6957</v>
      </c>
      <c r="AI239" t="s">
        <v>6958</v>
      </c>
      <c r="AJ239" t="s">
        <v>6959</v>
      </c>
      <c r="AR239" t="s">
        <v>4284</v>
      </c>
    </row>
    <row r="240" spans="1:44">
      <c r="A240">
        <v>11117520</v>
      </c>
      <c r="B240" t="s">
        <v>334</v>
      </c>
      <c r="C240" t="s">
        <v>1209</v>
      </c>
      <c r="D240" t="s">
        <v>1664</v>
      </c>
      <c r="E240" t="s">
        <v>1665</v>
      </c>
      <c r="F240" t="s">
        <v>1486</v>
      </c>
      <c r="G240" t="s">
        <v>1487</v>
      </c>
      <c r="H240" t="s">
        <v>2246</v>
      </c>
      <c r="I240" t="s">
        <v>4437</v>
      </c>
      <c r="J240" t="s">
        <v>2914</v>
      </c>
      <c r="K240" t="s">
        <v>2915</v>
      </c>
      <c r="M240">
        <v>50</v>
      </c>
      <c r="N240">
        <v>70</v>
      </c>
      <c r="O240" t="s">
        <v>2437</v>
      </c>
      <c r="P240" t="s">
        <v>2437</v>
      </c>
      <c r="R240" t="s">
        <v>2437</v>
      </c>
      <c r="T240" t="s">
        <v>89</v>
      </c>
      <c r="U240" t="s">
        <v>89</v>
      </c>
      <c r="V240" t="s">
        <v>2437</v>
      </c>
      <c r="Y240" t="s">
        <v>6948</v>
      </c>
      <c r="Z240" t="s">
        <v>6949</v>
      </c>
      <c r="AA240" t="s">
        <v>6950</v>
      </c>
      <c r="AB240" t="s">
        <v>6951</v>
      </c>
      <c r="AC240" t="s">
        <v>6952</v>
      </c>
      <c r="AD240" t="s">
        <v>6953</v>
      </c>
      <c r="AE240" t="s">
        <v>6954</v>
      </c>
      <c r="AF240" t="s">
        <v>6955</v>
      </c>
      <c r="AG240" t="s">
        <v>6956</v>
      </c>
      <c r="AH240" t="s">
        <v>6957</v>
      </c>
      <c r="AI240" t="s">
        <v>6958</v>
      </c>
      <c r="AJ240" t="s">
        <v>6959</v>
      </c>
      <c r="AR240" t="s">
        <v>4284</v>
      </c>
    </row>
    <row r="241" spans="1:44">
      <c r="A241">
        <v>11117521</v>
      </c>
      <c r="B241" t="s">
        <v>335</v>
      </c>
      <c r="C241" t="s">
        <v>1210</v>
      </c>
      <c r="D241" t="s">
        <v>1664</v>
      </c>
      <c r="E241" t="s">
        <v>1665</v>
      </c>
      <c r="F241" t="s">
        <v>1486</v>
      </c>
      <c r="G241" t="s">
        <v>1487</v>
      </c>
      <c r="H241" t="s">
        <v>2244</v>
      </c>
      <c r="I241" t="s">
        <v>4435</v>
      </c>
      <c r="J241" t="s">
        <v>2916</v>
      </c>
      <c r="K241" t="s">
        <v>2917</v>
      </c>
      <c r="M241">
        <v>50</v>
      </c>
      <c r="N241">
        <v>70</v>
      </c>
      <c r="O241" t="s">
        <v>2437</v>
      </c>
      <c r="P241" t="s">
        <v>2437</v>
      </c>
      <c r="R241" t="s">
        <v>2437</v>
      </c>
      <c r="T241" t="s">
        <v>89</v>
      </c>
      <c r="U241" t="s">
        <v>89</v>
      </c>
      <c r="V241" t="s">
        <v>2437</v>
      </c>
      <c r="Y241" t="s">
        <v>6948</v>
      </c>
      <c r="Z241" t="s">
        <v>6949</v>
      </c>
      <c r="AA241" t="s">
        <v>6950</v>
      </c>
      <c r="AB241" t="s">
        <v>6951</v>
      </c>
      <c r="AC241" t="s">
        <v>6952</v>
      </c>
      <c r="AD241" t="s">
        <v>6953</v>
      </c>
      <c r="AE241" t="s">
        <v>6954</v>
      </c>
      <c r="AF241" t="s">
        <v>6955</v>
      </c>
      <c r="AG241" t="s">
        <v>6956</v>
      </c>
      <c r="AH241" t="s">
        <v>6957</v>
      </c>
      <c r="AI241" t="s">
        <v>6958</v>
      </c>
      <c r="AJ241" t="s">
        <v>6959</v>
      </c>
      <c r="AR241" t="s">
        <v>4284</v>
      </c>
    </row>
    <row r="242" spans="1:44">
      <c r="A242">
        <v>11117522</v>
      </c>
      <c r="B242" t="s">
        <v>336</v>
      </c>
      <c r="C242" t="s">
        <v>1211</v>
      </c>
      <c r="D242" t="s">
        <v>1664</v>
      </c>
      <c r="E242" t="s">
        <v>1665</v>
      </c>
      <c r="F242" t="s">
        <v>1486</v>
      </c>
      <c r="G242" t="s">
        <v>1487</v>
      </c>
      <c r="H242" t="s">
        <v>2245</v>
      </c>
      <c r="I242" t="s">
        <v>4436</v>
      </c>
      <c r="J242" t="s">
        <v>2918</v>
      </c>
      <c r="K242" t="s">
        <v>2919</v>
      </c>
      <c r="M242">
        <v>50</v>
      </c>
      <c r="N242">
        <v>70</v>
      </c>
      <c r="O242" t="s">
        <v>2437</v>
      </c>
      <c r="P242" t="s">
        <v>2437</v>
      </c>
      <c r="R242" t="s">
        <v>2437</v>
      </c>
      <c r="T242" t="s">
        <v>89</v>
      </c>
      <c r="U242" t="s">
        <v>89</v>
      </c>
      <c r="V242" t="s">
        <v>2437</v>
      </c>
      <c r="Y242" t="s">
        <v>6948</v>
      </c>
      <c r="Z242" t="s">
        <v>6949</v>
      </c>
      <c r="AA242" t="s">
        <v>6950</v>
      </c>
      <c r="AB242" t="s">
        <v>6951</v>
      </c>
      <c r="AC242" t="s">
        <v>6952</v>
      </c>
      <c r="AD242" t="s">
        <v>6953</v>
      </c>
      <c r="AE242" t="s">
        <v>6954</v>
      </c>
      <c r="AF242" t="s">
        <v>6955</v>
      </c>
      <c r="AG242" t="s">
        <v>6956</v>
      </c>
      <c r="AH242" t="s">
        <v>6957</v>
      </c>
      <c r="AI242" t="s">
        <v>6958</v>
      </c>
      <c r="AJ242" t="s">
        <v>6959</v>
      </c>
      <c r="AR242" t="s">
        <v>4284</v>
      </c>
    </row>
    <row r="243" spans="1:44">
      <c r="A243">
        <v>11117523</v>
      </c>
      <c r="B243" t="s">
        <v>337</v>
      </c>
      <c r="C243" t="s">
        <v>1212</v>
      </c>
      <c r="D243" t="s">
        <v>1664</v>
      </c>
      <c r="E243" t="s">
        <v>1665</v>
      </c>
      <c r="F243" t="s">
        <v>1486</v>
      </c>
      <c r="G243" t="s">
        <v>1487</v>
      </c>
      <c r="H243" t="s">
        <v>2246</v>
      </c>
      <c r="I243" t="s">
        <v>4437</v>
      </c>
      <c r="J243" t="s">
        <v>2920</v>
      </c>
      <c r="K243" t="s">
        <v>2921</v>
      </c>
      <c r="M243">
        <v>50</v>
      </c>
      <c r="N243">
        <v>70</v>
      </c>
      <c r="O243" t="s">
        <v>2437</v>
      </c>
      <c r="P243" t="s">
        <v>2437</v>
      </c>
      <c r="R243" t="s">
        <v>2437</v>
      </c>
      <c r="T243" t="s">
        <v>89</v>
      </c>
      <c r="U243" t="s">
        <v>89</v>
      </c>
      <c r="V243" t="s">
        <v>2437</v>
      </c>
      <c r="Y243" t="s">
        <v>6948</v>
      </c>
      <c r="Z243" t="s">
        <v>6949</v>
      </c>
      <c r="AA243" t="s">
        <v>6950</v>
      </c>
      <c r="AB243" t="s">
        <v>6951</v>
      </c>
      <c r="AC243" t="s">
        <v>6952</v>
      </c>
      <c r="AD243" t="s">
        <v>6953</v>
      </c>
      <c r="AE243" t="s">
        <v>6954</v>
      </c>
      <c r="AF243" t="s">
        <v>6955</v>
      </c>
      <c r="AG243" t="s">
        <v>6956</v>
      </c>
      <c r="AH243" t="s">
        <v>6957</v>
      </c>
      <c r="AI243" t="s">
        <v>6958</v>
      </c>
      <c r="AJ243" t="s">
        <v>6959</v>
      </c>
      <c r="AR243" t="s">
        <v>4284</v>
      </c>
    </row>
    <row r="244" spans="1:44">
      <c r="A244">
        <v>11117524</v>
      </c>
      <c r="B244" t="s">
        <v>338</v>
      </c>
      <c r="C244" t="s">
        <v>1066</v>
      </c>
      <c r="D244" t="s">
        <v>1662</v>
      </c>
      <c r="E244" t="s">
        <v>1663</v>
      </c>
      <c r="F244" t="s">
        <v>1486</v>
      </c>
      <c r="G244" t="s">
        <v>1487</v>
      </c>
      <c r="H244" t="s">
        <v>2247</v>
      </c>
      <c r="I244" t="s">
        <v>4438</v>
      </c>
      <c r="J244" t="s">
        <v>2922</v>
      </c>
      <c r="K244" t="s">
        <v>2923</v>
      </c>
      <c r="M244">
        <v>50</v>
      </c>
      <c r="N244">
        <v>70</v>
      </c>
      <c r="O244" t="s">
        <v>2437</v>
      </c>
      <c r="P244" t="s">
        <v>2437</v>
      </c>
      <c r="R244" t="s">
        <v>2437</v>
      </c>
      <c r="T244" t="s">
        <v>89</v>
      </c>
      <c r="U244" t="s">
        <v>89</v>
      </c>
      <c r="V244" t="s">
        <v>2437</v>
      </c>
      <c r="Y244" t="s">
        <v>6948</v>
      </c>
      <c r="Z244" t="s">
        <v>6949</v>
      </c>
      <c r="AA244" t="s">
        <v>6950</v>
      </c>
      <c r="AB244" t="s">
        <v>6951</v>
      </c>
      <c r="AC244" t="s">
        <v>6952</v>
      </c>
      <c r="AD244" t="s">
        <v>6953</v>
      </c>
      <c r="AE244" t="s">
        <v>6954</v>
      </c>
      <c r="AF244" t="s">
        <v>6955</v>
      </c>
      <c r="AG244" t="s">
        <v>6956</v>
      </c>
      <c r="AH244" t="s">
        <v>6957</v>
      </c>
      <c r="AI244" t="s">
        <v>6958</v>
      </c>
      <c r="AJ244" t="s">
        <v>6959</v>
      </c>
      <c r="AR244" t="s">
        <v>4284</v>
      </c>
    </row>
    <row r="245" spans="1:44">
      <c r="A245">
        <v>11117525</v>
      </c>
      <c r="B245" t="s">
        <v>339</v>
      </c>
      <c r="C245" t="s">
        <v>1087</v>
      </c>
      <c r="D245" t="s">
        <v>1662</v>
      </c>
      <c r="E245" t="s">
        <v>1663</v>
      </c>
      <c r="F245" t="s">
        <v>1486</v>
      </c>
      <c r="G245" t="s">
        <v>1487</v>
      </c>
      <c r="H245" t="s">
        <v>2243</v>
      </c>
      <c r="I245" t="s">
        <v>4434</v>
      </c>
      <c r="J245" t="s">
        <v>2924</v>
      </c>
      <c r="K245" t="s">
        <v>2925</v>
      </c>
      <c r="M245">
        <v>50</v>
      </c>
      <c r="N245">
        <v>70</v>
      </c>
      <c r="O245" t="s">
        <v>2437</v>
      </c>
      <c r="P245" t="s">
        <v>2437</v>
      </c>
      <c r="R245" t="s">
        <v>2437</v>
      </c>
      <c r="T245" t="s">
        <v>89</v>
      </c>
      <c r="U245" t="s">
        <v>89</v>
      </c>
      <c r="V245" t="s">
        <v>2437</v>
      </c>
      <c r="Y245" t="s">
        <v>6948</v>
      </c>
      <c r="Z245" t="s">
        <v>6949</v>
      </c>
      <c r="AA245" t="s">
        <v>6950</v>
      </c>
      <c r="AB245" t="s">
        <v>6951</v>
      </c>
      <c r="AC245" t="s">
        <v>6952</v>
      </c>
      <c r="AD245" t="s">
        <v>6953</v>
      </c>
      <c r="AE245" t="s">
        <v>6954</v>
      </c>
      <c r="AF245" t="s">
        <v>6955</v>
      </c>
      <c r="AG245" t="s">
        <v>6956</v>
      </c>
      <c r="AH245" t="s">
        <v>6957</v>
      </c>
      <c r="AI245" t="s">
        <v>6958</v>
      </c>
      <c r="AJ245" t="s">
        <v>6959</v>
      </c>
      <c r="AR245" t="s">
        <v>4284</v>
      </c>
    </row>
    <row r="246" spans="1:44">
      <c r="A246">
        <v>11117526</v>
      </c>
      <c r="B246" t="s">
        <v>340</v>
      </c>
      <c r="C246" t="s">
        <v>1024</v>
      </c>
      <c r="D246" t="s">
        <v>1662</v>
      </c>
      <c r="E246" t="s">
        <v>1663</v>
      </c>
      <c r="F246" t="s">
        <v>1666</v>
      </c>
      <c r="G246" t="s">
        <v>1667</v>
      </c>
      <c r="H246" t="s">
        <v>2248</v>
      </c>
      <c r="I246" t="s">
        <v>4439</v>
      </c>
      <c r="J246" t="s">
        <v>2926</v>
      </c>
      <c r="K246" t="s">
        <v>2927</v>
      </c>
      <c r="M246">
        <v>50</v>
      </c>
      <c r="N246">
        <v>70</v>
      </c>
      <c r="O246" t="s">
        <v>2437</v>
      </c>
      <c r="P246" t="s">
        <v>2437</v>
      </c>
      <c r="R246" t="s">
        <v>2437</v>
      </c>
      <c r="T246" t="s">
        <v>89</v>
      </c>
      <c r="U246" t="s">
        <v>89</v>
      </c>
      <c r="V246" t="s">
        <v>2437</v>
      </c>
      <c r="Y246" t="s">
        <v>6948</v>
      </c>
      <c r="Z246" t="s">
        <v>6949</v>
      </c>
      <c r="AA246" t="s">
        <v>6950</v>
      </c>
      <c r="AB246" t="s">
        <v>6951</v>
      </c>
      <c r="AC246" t="s">
        <v>6952</v>
      </c>
      <c r="AD246" t="s">
        <v>6953</v>
      </c>
      <c r="AE246" t="s">
        <v>6954</v>
      </c>
      <c r="AF246" t="s">
        <v>6955</v>
      </c>
      <c r="AG246" t="s">
        <v>6956</v>
      </c>
      <c r="AH246" t="s">
        <v>6957</v>
      </c>
      <c r="AI246" t="s">
        <v>6958</v>
      </c>
      <c r="AJ246" t="s">
        <v>6959</v>
      </c>
      <c r="AR246" t="s">
        <v>4284</v>
      </c>
    </row>
    <row r="247" spans="1:44">
      <c r="A247">
        <v>11117527</v>
      </c>
      <c r="B247" t="s">
        <v>341</v>
      </c>
      <c r="C247" t="s">
        <v>1025</v>
      </c>
      <c r="D247" t="s">
        <v>1662</v>
      </c>
      <c r="E247" t="s">
        <v>1663</v>
      </c>
      <c r="F247" t="s">
        <v>1486</v>
      </c>
      <c r="G247" t="s">
        <v>1487</v>
      </c>
      <c r="H247" t="s">
        <v>2249</v>
      </c>
      <c r="I247" t="s">
        <v>4440</v>
      </c>
      <c r="J247" t="s">
        <v>2928</v>
      </c>
      <c r="K247" t="s">
        <v>2929</v>
      </c>
      <c r="M247">
        <v>50</v>
      </c>
      <c r="N247">
        <v>70</v>
      </c>
      <c r="O247" t="s">
        <v>2437</v>
      </c>
      <c r="P247" t="s">
        <v>2437</v>
      </c>
      <c r="R247" t="s">
        <v>2437</v>
      </c>
      <c r="T247" t="s">
        <v>89</v>
      </c>
      <c r="U247" t="s">
        <v>89</v>
      </c>
      <c r="V247" t="s">
        <v>2437</v>
      </c>
      <c r="Y247" t="s">
        <v>6948</v>
      </c>
      <c r="Z247" t="s">
        <v>6949</v>
      </c>
      <c r="AA247" t="s">
        <v>6950</v>
      </c>
      <c r="AB247" t="s">
        <v>6951</v>
      </c>
      <c r="AC247" t="s">
        <v>6952</v>
      </c>
      <c r="AD247" t="s">
        <v>6953</v>
      </c>
      <c r="AE247" t="s">
        <v>6954</v>
      </c>
      <c r="AF247" t="s">
        <v>6955</v>
      </c>
      <c r="AG247" t="s">
        <v>6956</v>
      </c>
      <c r="AH247" t="s">
        <v>6957</v>
      </c>
      <c r="AI247" t="s">
        <v>6958</v>
      </c>
      <c r="AJ247" t="s">
        <v>6959</v>
      </c>
      <c r="AR247" t="s">
        <v>4284</v>
      </c>
    </row>
    <row r="248" spans="1:44">
      <c r="A248">
        <v>11117528</v>
      </c>
      <c r="B248" t="s">
        <v>342</v>
      </c>
      <c r="C248" t="s">
        <v>1213</v>
      </c>
      <c r="D248" t="s">
        <v>1662</v>
      </c>
      <c r="E248" t="s">
        <v>1663</v>
      </c>
      <c r="F248" t="s">
        <v>1486</v>
      </c>
      <c r="G248" t="s">
        <v>1487</v>
      </c>
      <c r="H248" t="s">
        <v>2247</v>
      </c>
      <c r="I248" t="s">
        <v>4438</v>
      </c>
      <c r="J248" t="s">
        <v>2930</v>
      </c>
      <c r="K248" t="s">
        <v>2931</v>
      </c>
      <c r="M248">
        <v>50</v>
      </c>
      <c r="N248">
        <v>70</v>
      </c>
      <c r="O248" t="s">
        <v>2437</v>
      </c>
      <c r="P248" t="s">
        <v>2437</v>
      </c>
      <c r="R248" t="s">
        <v>2437</v>
      </c>
      <c r="T248" t="s">
        <v>89</v>
      </c>
      <c r="U248" t="s">
        <v>89</v>
      </c>
      <c r="V248" t="s">
        <v>2437</v>
      </c>
      <c r="Y248" t="s">
        <v>6948</v>
      </c>
      <c r="Z248" t="s">
        <v>6949</v>
      </c>
      <c r="AA248" t="s">
        <v>6950</v>
      </c>
      <c r="AB248" t="s">
        <v>6951</v>
      </c>
      <c r="AC248" t="s">
        <v>6952</v>
      </c>
      <c r="AD248" t="s">
        <v>6953</v>
      </c>
      <c r="AE248" t="s">
        <v>6954</v>
      </c>
      <c r="AF248" t="s">
        <v>6955</v>
      </c>
      <c r="AG248" t="s">
        <v>6956</v>
      </c>
      <c r="AH248" t="s">
        <v>6957</v>
      </c>
      <c r="AI248" t="s">
        <v>6958</v>
      </c>
      <c r="AJ248" t="s">
        <v>6959</v>
      </c>
      <c r="AR248" t="s">
        <v>4284</v>
      </c>
    </row>
    <row r="249" spans="1:44">
      <c r="A249">
        <v>11117529</v>
      </c>
      <c r="B249" t="s">
        <v>343</v>
      </c>
      <c r="C249" t="s">
        <v>1214</v>
      </c>
      <c r="D249" t="s">
        <v>1662</v>
      </c>
      <c r="E249" t="s">
        <v>1663</v>
      </c>
      <c r="F249" t="s">
        <v>1486</v>
      </c>
      <c r="G249" t="s">
        <v>1487</v>
      </c>
      <c r="H249" t="s">
        <v>2248</v>
      </c>
      <c r="I249" t="s">
        <v>4439</v>
      </c>
      <c r="J249" t="s">
        <v>2932</v>
      </c>
      <c r="K249" t="s">
        <v>2933</v>
      </c>
      <c r="M249">
        <v>50</v>
      </c>
      <c r="N249">
        <v>70</v>
      </c>
      <c r="O249" t="s">
        <v>2437</v>
      </c>
      <c r="P249" t="s">
        <v>2437</v>
      </c>
      <c r="R249" t="s">
        <v>2437</v>
      </c>
      <c r="T249" t="s">
        <v>89</v>
      </c>
      <c r="U249" t="s">
        <v>89</v>
      </c>
      <c r="V249" t="s">
        <v>2437</v>
      </c>
      <c r="Y249" t="s">
        <v>6948</v>
      </c>
      <c r="Z249" t="s">
        <v>6949</v>
      </c>
      <c r="AA249" t="s">
        <v>6950</v>
      </c>
      <c r="AB249" t="s">
        <v>6951</v>
      </c>
      <c r="AC249" t="s">
        <v>6952</v>
      </c>
      <c r="AD249" t="s">
        <v>6953</v>
      </c>
      <c r="AE249" t="s">
        <v>6954</v>
      </c>
      <c r="AF249" t="s">
        <v>6955</v>
      </c>
      <c r="AG249" t="s">
        <v>6956</v>
      </c>
      <c r="AH249" t="s">
        <v>6957</v>
      </c>
      <c r="AI249" t="s">
        <v>6958</v>
      </c>
      <c r="AJ249" t="s">
        <v>6959</v>
      </c>
      <c r="AR249" t="s">
        <v>4284</v>
      </c>
    </row>
    <row r="250" spans="1:44">
      <c r="A250">
        <v>11117531</v>
      </c>
      <c r="B250" t="s">
        <v>344</v>
      </c>
      <c r="C250" t="s">
        <v>1215</v>
      </c>
      <c r="D250" t="s">
        <v>1662</v>
      </c>
      <c r="E250" t="s">
        <v>1663</v>
      </c>
      <c r="F250" t="s">
        <v>1486</v>
      </c>
      <c r="G250" t="s">
        <v>1487</v>
      </c>
      <c r="H250" t="s">
        <v>2249</v>
      </c>
      <c r="I250" t="s">
        <v>4440</v>
      </c>
      <c r="J250" t="s">
        <v>2934</v>
      </c>
      <c r="K250" t="s">
        <v>2935</v>
      </c>
      <c r="M250">
        <v>50</v>
      </c>
      <c r="N250">
        <v>70</v>
      </c>
      <c r="O250" t="s">
        <v>2437</v>
      </c>
      <c r="P250" t="s">
        <v>2437</v>
      </c>
      <c r="R250" t="s">
        <v>2437</v>
      </c>
      <c r="T250" t="s">
        <v>89</v>
      </c>
      <c r="U250" t="s">
        <v>89</v>
      </c>
      <c r="V250" t="s">
        <v>2437</v>
      </c>
      <c r="Y250" t="s">
        <v>6948</v>
      </c>
      <c r="Z250" t="s">
        <v>6949</v>
      </c>
      <c r="AA250" t="s">
        <v>6950</v>
      </c>
      <c r="AB250" t="s">
        <v>6951</v>
      </c>
      <c r="AC250" t="s">
        <v>6952</v>
      </c>
      <c r="AD250" t="s">
        <v>6953</v>
      </c>
      <c r="AE250" t="s">
        <v>6954</v>
      </c>
      <c r="AF250" t="s">
        <v>6955</v>
      </c>
      <c r="AG250" t="s">
        <v>6956</v>
      </c>
      <c r="AH250" t="s">
        <v>6957</v>
      </c>
      <c r="AI250" t="s">
        <v>6958</v>
      </c>
      <c r="AJ250" t="s">
        <v>6959</v>
      </c>
      <c r="AR250" t="s">
        <v>4284</v>
      </c>
    </row>
    <row r="251" spans="1:44">
      <c r="A251">
        <v>11117532</v>
      </c>
      <c r="B251" t="s">
        <v>345</v>
      </c>
      <c r="C251" t="s">
        <v>1216</v>
      </c>
      <c r="D251" t="s">
        <v>1668</v>
      </c>
      <c r="E251" t="s">
        <v>1669</v>
      </c>
      <c r="F251" t="s">
        <v>1486</v>
      </c>
      <c r="G251" t="s">
        <v>1487</v>
      </c>
      <c r="H251" t="s">
        <v>2250</v>
      </c>
      <c r="I251" t="s">
        <v>4441</v>
      </c>
      <c r="J251" t="s">
        <v>2936</v>
      </c>
      <c r="K251" t="s">
        <v>2937</v>
      </c>
      <c r="M251">
        <v>50</v>
      </c>
      <c r="N251">
        <v>70</v>
      </c>
      <c r="O251" t="s">
        <v>2437</v>
      </c>
      <c r="P251" t="s">
        <v>2437</v>
      </c>
      <c r="R251" t="s">
        <v>2437</v>
      </c>
      <c r="T251" t="s">
        <v>89</v>
      </c>
      <c r="U251" t="s">
        <v>89</v>
      </c>
      <c r="V251" t="s">
        <v>2437</v>
      </c>
      <c r="Y251" t="s">
        <v>6948</v>
      </c>
      <c r="Z251" t="s">
        <v>6949</v>
      </c>
      <c r="AA251" t="s">
        <v>6950</v>
      </c>
      <c r="AB251" t="s">
        <v>6951</v>
      </c>
      <c r="AC251" t="s">
        <v>6952</v>
      </c>
      <c r="AD251" t="s">
        <v>6953</v>
      </c>
      <c r="AE251" t="s">
        <v>6954</v>
      </c>
      <c r="AF251" t="s">
        <v>6955</v>
      </c>
      <c r="AG251" t="s">
        <v>6956</v>
      </c>
      <c r="AH251" t="s">
        <v>6957</v>
      </c>
      <c r="AI251" t="s">
        <v>6958</v>
      </c>
      <c r="AJ251" t="s">
        <v>6959</v>
      </c>
      <c r="AR251" t="s">
        <v>4284</v>
      </c>
    </row>
    <row r="252" spans="1:44">
      <c r="A252">
        <v>11117533</v>
      </c>
      <c r="B252" t="s">
        <v>346</v>
      </c>
      <c r="C252" t="s">
        <v>1030</v>
      </c>
      <c r="D252" t="s">
        <v>1668</v>
      </c>
      <c r="E252" t="s">
        <v>1669</v>
      </c>
      <c r="F252" t="s">
        <v>1486</v>
      </c>
      <c r="G252" t="s">
        <v>1487</v>
      </c>
      <c r="H252" t="s">
        <v>2251</v>
      </c>
      <c r="I252" t="s">
        <v>4442</v>
      </c>
      <c r="J252" t="s">
        <v>2938</v>
      </c>
      <c r="K252" t="s">
        <v>2939</v>
      </c>
      <c r="M252">
        <v>50</v>
      </c>
      <c r="N252">
        <v>70</v>
      </c>
      <c r="O252" t="s">
        <v>2437</v>
      </c>
      <c r="P252" t="s">
        <v>2437</v>
      </c>
      <c r="R252" t="s">
        <v>2437</v>
      </c>
      <c r="T252" t="s">
        <v>89</v>
      </c>
      <c r="U252" t="s">
        <v>89</v>
      </c>
      <c r="V252" t="s">
        <v>2437</v>
      </c>
      <c r="Y252" t="s">
        <v>6948</v>
      </c>
      <c r="Z252" t="s">
        <v>6949</v>
      </c>
      <c r="AA252" t="s">
        <v>6950</v>
      </c>
      <c r="AB252" t="s">
        <v>6951</v>
      </c>
      <c r="AC252" t="s">
        <v>6952</v>
      </c>
      <c r="AD252" t="s">
        <v>6953</v>
      </c>
      <c r="AE252" t="s">
        <v>6954</v>
      </c>
      <c r="AF252" t="s">
        <v>6955</v>
      </c>
      <c r="AG252" t="s">
        <v>6956</v>
      </c>
      <c r="AH252" t="s">
        <v>6957</v>
      </c>
      <c r="AI252" t="s">
        <v>6958</v>
      </c>
      <c r="AJ252" t="s">
        <v>6959</v>
      </c>
      <c r="AR252" t="s">
        <v>4284</v>
      </c>
    </row>
    <row r="253" spans="1:44">
      <c r="A253">
        <v>11117535</v>
      </c>
      <c r="B253" t="s">
        <v>347</v>
      </c>
      <c r="C253" t="s">
        <v>1020</v>
      </c>
      <c r="D253" t="s">
        <v>1660</v>
      </c>
      <c r="E253" t="s">
        <v>1661</v>
      </c>
      <c r="F253" t="s">
        <v>1486</v>
      </c>
      <c r="G253" t="s">
        <v>1487</v>
      </c>
      <c r="H253" t="s">
        <v>2202</v>
      </c>
      <c r="I253" t="s">
        <v>4396</v>
      </c>
      <c r="J253" t="s">
        <v>2940</v>
      </c>
      <c r="K253" t="s">
        <v>2941</v>
      </c>
      <c r="M253">
        <v>50</v>
      </c>
      <c r="N253">
        <v>70</v>
      </c>
      <c r="O253" t="s">
        <v>2437</v>
      </c>
      <c r="P253" t="s">
        <v>2437</v>
      </c>
      <c r="R253" t="s">
        <v>2437</v>
      </c>
      <c r="T253" t="s">
        <v>89</v>
      </c>
      <c r="U253" t="s">
        <v>89</v>
      </c>
      <c r="V253" t="s">
        <v>2437</v>
      </c>
      <c r="Y253" t="s">
        <v>6948</v>
      </c>
      <c r="Z253" t="s">
        <v>6949</v>
      </c>
      <c r="AA253" t="s">
        <v>6950</v>
      </c>
      <c r="AB253" t="s">
        <v>6951</v>
      </c>
      <c r="AC253" t="s">
        <v>6952</v>
      </c>
      <c r="AD253" t="s">
        <v>6953</v>
      </c>
      <c r="AE253" t="s">
        <v>6954</v>
      </c>
      <c r="AF253" t="s">
        <v>6955</v>
      </c>
      <c r="AG253" t="s">
        <v>6956</v>
      </c>
      <c r="AH253" t="s">
        <v>6957</v>
      </c>
      <c r="AI253" t="s">
        <v>6958</v>
      </c>
      <c r="AJ253" t="s">
        <v>6959</v>
      </c>
      <c r="AR253" t="s">
        <v>4284</v>
      </c>
    </row>
    <row r="254" spans="1:44">
      <c r="A254">
        <v>11117536</v>
      </c>
      <c r="B254" t="s">
        <v>348</v>
      </c>
      <c r="C254" t="s">
        <v>1084</v>
      </c>
      <c r="D254" t="s">
        <v>1660</v>
      </c>
      <c r="E254" t="s">
        <v>1661</v>
      </c>
      <c r="F254" t="s">
        <v>1486</v>
      </c>
      <c r="G254" t="s">
        <v>1487</v>
      </c>
      <c r="H254" t="s">
        <v>2203</v>
      </c>
      <c r="I254" t="s">
        <v>4397</v>
      </c>
      <c r="J254" t="s">
        <v>2942</v>
      </c>
      <c r="K254" t="s">
        <v>2943</v>
      </c>
      <c r="M254">
        <v>50</v>
      </c>
      <c r="N254">
        <v>70</v>
      </c>
      <c r="O254" t="s">
        <v>2437</v>
      </c>
      <c r="P254" t="s">
        <v>2437</v>
      </c>
      <c r="R254" t="s">
        <v>2437</v>
      </c>
      <c r="T254" t="s">
        <v>89</v>
      </c>
      <c r="U254" t="s">
        <v>89</v>
      </c>
      <c r="V254" t="s">
        <v>2437</v>
      </c>
      <c r="Y254" t="s">
        <v>6948</v>
      </c>
      <c r="Z254" t="s">
        <v>6949</v>
      </c>
      <c r="AA254" t="s">
        <v>6950</v>
      </c>
      <c r="AB254" t="s">
        <v>6951</v>
      </c>
      <c r="AC254" t="s">
        <v>6952</v>
      </c>
      <c r="AD254" t="s">
        <v>6953</v>
      </c>
      <c r="AE254" t="s">
        <v>6954</v>
      </c>
      <c r="AF254" t="s">
        <v>6955</v>
      </c>
      <c r="AG254" t="s">
        <v>6956</v>
      </c>
      <c r="AH254" t="s">
        <v>6957</v>
      </c>
      <c r="AI254" t="s">
        <v>6958</v>
      </c>
      <c r="AJ254" t="s">
        <v>6959</v>
      </c>
      <c r="AR254" t="s">
        <v>4284</v>
      </c>
    </row>
    <row r="255" spans="1:44">
      <c r="A255">
        <v>11117538</v>
      </c>
      <c r="B255" t="s">
        <v>349</v>
      </c>
      <c r="C255" t="s">
        <v>1086</v>
      </c>
      <c r="D255" t="s">
        <v>1658</v>
      </c>
      <c r="E255" t="s">
        <v>1659</v>
      </c>
      <c r="F255" t="s">
        <v>1486</v>
      </c>
      <c r="G255" t="s">
        <v>1487</v>
      </c>
      <c r="H255" t="s">
        <v>2222</v>
      </c>
      <c r="I255" t="s">
        <v>4318</v>
      </c>
      <c r="J255" t="s">
        <v>2944</v>
      </c>
      <c r="K255" t="s">
        <v>2945</v>
      </c>
      <c r="M255">
        <v>50</v>
      </c>
      <c r="N255">
        <v>70</v>
      </c>
      <c r="O255" t="s">
        <v>2437</v>
      </c>
      <c r="P255" t="s">
        <v>2437</v>
      </c>
      <c r="R255" t="s">
        <v>2437</v>
      </c>
      <c r="T255" t="s">
        <v>89</v>
      </c>
      <c r="U255" t="s">
        <v>89</v>
      </c>
      <c r="V255" t="s">
        <v>2437</v>
      </c>
      <c r="Y255" t="s">
        <v>6948</v>
      </c>
      <c r="Z255" t="s">
        <v>6949</v>
      </c>
      <c r="AA255" t="s">
        <v>6950</v>
      </c>
      <c r="AB255" t="s">
        <v>6951</v>
      </c>
      <c r="AC255" t="s">
        <v>6952</v>
      </c>
      <c r="AD255" t="s">
        <v>6953</v>
      </c>
      <c r="AE255" t="s">
        <v>6954</v>
      </c>
      <c r="AF255" t="s">
        <v>6955</v>
      </c>
      <c r="AG255" t="s">
        <v>6956</v>
      </c>
      <c r="AH255" t="s">
        <v>6957</v>
      </c>
      <c r="AI255" t="s">
        <v>6958</v>
      </c>
      <c r="AJ255" t="s">
        <v>6959</v>
      </c>
      <c r="AR255" t="s">
        <v>4284</v>
      </c>
    </row>
    <row r="256" spans="1:44">
      <c r="A256">
        <v>11117542</v>
      </c>
      <c r="B256" t="s">
        <v>350</v>
      </c>
      <c r="C256" t="s">
        <v>1022</v>
      </c>
      <c r="D256" t="s">
        <v>1656</v>
      </c>
      <c r="E256" t="s">
        <v>1657</v>
      </c>
      <c r="F256" t="s">
        <v>1486</v>
      </c>
      <c r="G256" t="s">
        <v>1487</v>
      </c>
      <c r="H256" t="s">
        <v>2252</v>
      </c>
      <c r="I256" t="s">
        <v>4443</v>
      </c>
      <c r="J256" t="s">
        <v>2946</v>
      </c>
      <c r="K256" t="s">
        <v>2947</v>
      </c>
      <c r="M256">
        <v>50</v>
      </c>
      <c r="N256">
        <v>70</v>
      </c>
      <c r="O256" t="s">
        <v>2437</v>
      </c>
      <c r="P256" t="s">
        <v>2437</v>
      </c>
      <c r="R256" t="s">
        <v>2437</v>
      </c>
      <c r="T256" t="s">
        <v>89</v>
      </c>
      <c r="U256" t="s">
        <v>89</v>
      </c>
      <c r="V256" t="s">
        <v>2437</v>
      </c>
      <c r="Y256" t="s">
        <v>6948</v>
      </c>
      <c r="Z256" t="s">
        <v>6949</v>
      </c>
      <c r="AA256" t="s">
        <v>6950</v>
      </c>
      <c r="AB256" t="s">
        <v>6951</v>
      </c>
      <c r="AC256" t="s">
        <v>6952</v>
      </c>
      <c r="AD256" t="s">
        <v>6953</v>
      </c>
      <c r="AE256" t="s">
        <v>6954</v>
      </c>
      <c r="AF256" t="s">
        <v>6955</v>
      </c>
      <c r="AG256" t="s">
        <v>6956</v>
      </c>
      <c r="AH256" t="s">
        <v>6957</v>
      </c>
      <c r="AI256" t="s">
        <v>6958</v>
      </c>
      <c r="AJ256" t="s">
        <v>6959</v>
      </c>
      <c r="AR256" t="s">
        <v>4284</v>
      </c>
    </row>
    <row r="257" spans="1:44">
      <c r="A257">
        <v>11118506</v>
      </c>
      <c r="B257" t="s">
        <v>351</v>
      </c>
      <c r="C257" t="s">
        <v>1217</v>
      </c>
      <c r="D257" t="s">
        <v>1670</v>
      </c>
      <c r="E257" t="s">
        <v>1671</v>
      </c>
      <c r="F257" t="s">
        <v>1515</v>
      </c>
      <c r="G257" t="s">
        <v>36</v>
      </c>
      <c r="H257" t="s">
        <v>2253</v>
      </c>
      <c r="I257" t="s">
        <v>4444</v>
      </c>
      <c r="J257" t="s">
        <v>2948</v>
      </c>
      <c r="K257" t="s">
        <v>2949</v>
      </c>
      <c r="M257">
        <v>50</v>
      </c>
      <c r="N257">
        <v>70</v>
      </c>
      <c r="O257" t="s">
        <v>2437</v>
      </c>
      <c r="P257" t="s">
        <v>2437</v>
      </c>
      <c r="R257" t="s">
        <v>2437</v>
      </c>
      <c r="T257" t="s">
        <v>2437</v>
      </c>
      <c r="U257" t="s">
        <v>2437</v>
      </c>
      <c r="V257" t="s">
        <v>2437</v>
      </c>
      <c r="Y257" t="s">
        <v>6948</v>
      </c>
      <c r="Z257" t="s">
        <v>6949</v>
      </c>
      <c r="AA257" t="s">
        <v>6950</v>
      </c>
      <c r="AB257" t="s">
        <v>6951</v>
      </c>
      <c r="AC257" t="s">
        <v>6952</v>
      </c>
      <c r="AD257" t="s">
        <v>6953</v>
      </c>
      <c r="AE257" t="s">
        <v>6954</v>
      </c>
      <c r="AF257" t="s">
        <v>6955</v>
      </c>
      <c r="AG257" t="s">
        <v>6956</v>
      </c>
      <c r="AH257" t="s">
        <v>6957</v>
      </c>
      <c r="AI257" t="s">
        <v>6958</v>
      </c>
      <c r="AJ257" t="s">
        <v>6959</v>
      </c>
      <c r="AR257" t="s">
        <v>4284</v>
      </c>
    </row>
    <row r="258" spans="1:44">
      <c r="A258">
        <v>11118512</v>
      </c>
      <c r="B258" t="s">
        <v>352</v>
      </c>
      <c r="C258" t="s">
        <v>1146</v>
      </c>
      <c r="D258" t="s">
        <v>1672</v>
      </c>
      <c r="E258" t="s">
        <v>1673</v>
      </c>
      <c r="F258" t="s">
        <v>1517</v>
      </c>
      <c r="G258" t="s">
        <v>1518</v>
      </c>
      <c r="H258" t="s">
        <v>2176</v>
      </c>
      <c r="I258" t="s">
        <v>4382</v>
      </c>
      <c r="J258" t="s">
        <v>2950</v>
      </c>
      <c r="K258" t="s">
        <v>2951</v>
      </c>
      <c r="M258">
        <v>50</v>
      </c>
      <c r="N258">
        <v>70</v>
      </c>
      <c r="O258" t="s">
        <v>2437</v>
      </c>
      <c r="P258" t="s">
        <v>2437</v>
      </c>
      <c r="R258" t="s">
        <v>2437</v>
      </c>
      <c r="T258" t="s">
        <v>2437</v>
      </c>
      <c r="U258" t="s">
        <v>2437</v>
      </c>
      <c r="V258" t="s">
        <v>2437</v>
      </c>
      <c r="Y258" t="s">
        <v>6948</v>
      </c>
      <c r="Z258" t="s">
        <v>6949</v>
      </c>
      <c r="AA258" t="s">
        <v>6950</v>
      </c>
      <c r="AB258" t="s">
        <v>6951</v>
      </c>
      <c r="AC258" t="s">
        <v>6952</v>
      </c>
      <c r="AD258" t="s">
        <v>6953</v>
      </c>
      <c r="AE258" t="s">
        <v>6954</v>
      </c>
      <c r="AF258" t="s">
        <v>6955</v>
      </c>
      <c r="AG258" t="s">
        <v>6956</v>
      </c>
      <c r="AH258" t="s">
        <v>6957</v>
      </c>
      <c r="AI258" t="s">
        <v>6958</v>
      </c>
      <c r="AJ258" t="s">
        <v>6959</v>
      </c>
      <c r="AR258" t="s">
        <v>4284</v>
      </c>
    </row>
    <row r="259" spans="1:44">
      <c r="A259">
        <v>11118514</v>
      </c>
      <c r="B259" t="s">
        <v>353</v>
      </c>
      <c r="C259" t="s">
        <v>1147</v>
      </c>
      <c r="D259" t="s">
        <v>1672</v>
      </c>
      <c r="E259" t="s">
        <v>1673</v>
      </c>
      <c r="F259" t="s">
        <v>1517</v>
      </c>
      <c r="G259" t="s">
        <v>1518</v>
      </c>
      <c r="H259" t="s">
        <v>2177</v>
      </c>
      <c r="I259" t="s">
        <v>4383</v>
      </c>
      <c r="J259" t="s">
        <v>2952</v>
      </c>
      <c r="K259" t="s">
        <v>2953</v>
      </c>
      <c r="M259">
        <v>50</v>
      </c>
      <c r="N259">
        <v>70</v>
      </c>
      <c r="O259" t="s">
        <v>2437</v>
      </c>
      <c r="P259" t="s">
        <v>2437</v>
      </c>
      <c r="R259" t="s">
        <v>2437</v>
      </c>
      <c r="T259" t="s">
        <v>2437</v>
      </c>
      <c r="U259" t="s">
        <v>2437</v>
      </c>
      <c r="V259" t="s">
        <v>2437</v>
      </c>
      <c r="Y259" t="s">
        <v>6948</v>
      </c>
      <c r="Z259" t="s">
        <v>6949</v>
      </c>
      <c r="AA259" t="s">
        <v>6950</v>
      </c>
      <c r="AB259" t="s">
        <v>6951</v>
      </c>
      <c r="AC259" t="s">
        <v>6952</v>
      </c>
      <c r="AD259" t="s">
        <v>6953</v>
      </c>
      <c r="AE259" t="s">
        <v>6954</v>
      </c>
      <c r="AF259" t="s">
        <v>6955</v>
      </c>
      <c r="AG259" t="s">
        <v>6956</v>
      </c>
      <c r="AH259" t="s">
        <v>6957</v>
      </c>
      <c r="AI259" t="s">
        <v>6958</v>
      </c>
      <c r="AJ259" t="s">
        <v>6959</v>
      </c>
      <c r="AR259" t="s">
        <v>4284</v>
      </c>
    </row>
    <row r="260" spans="1:44">
      <c r="A260">
        <v>11118518</v>
      </c>
      <c r="B260" t="s">
        <v>354</v>
      </c>
      <c r="C260" t="s">
        <v>1149</v>
      </c>
      <c r="D260" t="s">
        <v>1674</v>
      </c>
      <c r="E260" t="s">
        <v>1675</v>
      </c>
      <c r="F260" t="s">
        <v>1586</v>
      </c>
      <c r="G260" t="s">
        <v>1587</v>
      </c>
      <c r="H260" t="s">
        <v>2181</v>
      </c>
      <c r="I260" t="s">
        <v>4386</v>
      </c>
      <c r="J260" t="s">
        <v>2954</v>
      </c>
      <c r="K260" t="s">
        <v>2955</v>
      </c>
      <c r="M260">
        <v>50</v>
      </c>
      <c r="N260">
        <v>70</v>
      </c>
      <c r="O260" t="s">
        <v>2437</v>
      </c>
      <c r="P260" t="s">
        <v>2437</v>
      </c>
      <c r="R260" t="s">
        <v>2437</v>
      </c>
      <c r="T260" t="s">
        <v>2437</v>
      </c>
      <c r="U260" t="s">
        <v>2437</v>
      </c>
      <c r="V260" t="s">
        <v>2437</v>
      </c>
      <c r="Y260" t="s">
        <v>6948</v>
      </c>
      <c r="Z260" t="s">
        <v>6949</v>
      </c>
      <c r="AA260" t="s">
        <v>6950</v>
      </c>
      <c r="AB260" t="s">
        <v>6951</v>
      </c>
      <c r="AC260" t="s">
        <v>6952</v>
      </c>
      <c r="AD260" t="s">
        <v>6953</v>
      </c>
      <c r="AE260" t="s">
        <v>6954</v>
      </c>
      <c r="AF260" t="s">
        <v>6955</v>
      </c>
      <c r="AG260" t="s">
        <v>6956</v>
      </c>
      <c r="AH260" t="s">
        <v>6957</v>
      </c>
      <c r="AI260" t="s">
        <v>6958</v>
      </c>
      <c r="AJ260" t="s">
        <v>6959</v>
      </c>
      <c r="AR260" t="s">
        <v>4284</v>
      </c>
    </row>
    <row r="261" spans="1:44">
      <c r="A261">
        <v>11118543</v>
      </c>
      <c r="B261" t="s">
        <v>355</v>
      </c>
      <c r="C261" t="s">
        <v>968</v>
      </c>
      <c r="D261" t="s">
        <v>1676</v>
      </c>
      <c r="E261" t="s">
        <v>1677</v>
      </c>
      <c r="F261" t="s">
        <v>1476</v>
      </c>
      <c r="G261" t="s">
        <v>1477</v>
      </c>
      <c r="H261" t="s">
        <v>2225</v>
      </c>
      <c r="I261" t="s">
        <v>4313</v>
      </c>
      <c r="J261" t="s">
        <v>2956</v>
      </c>
      <c r="K261" t="s">
        <v>2957</v>
      </c>
      <c r="M261">
        <v>60</v>
      </c>
      <c r="N261">
        <v>70</v>
      </c>
      <c r="O261" t="s">
        <v>2437</v>
      </c>
      <c r="P261" t="s">
        <v>2437</v>
      </c>
      <c r="R261" t="s">
        <v>2437</v>
      </c>
      <c r="T261" t="s">
        <v>2437</v>
      </c>
      <c r="U261" t="s">
        <v>2437</v>
      </c>
      <c r="V261" t="s">
        <v>2437</v>
      </c>
      <c r="Y261" t="s">
        <v>6948</v>
      </c>
      <c r="Z261" t="s">
        <v>6949</v>
      </c>
      <c r="AA261" t="s">
        <v>6950</v>
      </c>
      <c r="AB261" t="s">
        <v>6951</v>
      </c>
      <c r="AC261" t="s">
        <v>6952</v>
      </c>
      <c r="AD261" t="s">
        <v>6953</v>
      </c>
      <c r="AE261" t="s">
        <v>6961</v>
      </c>
      <c r="AF261" t="s">
        <v>6962</v>
      </c>
      <c r="AG261" t="s">
        <v>6963</v>
      </c>
      <c r="AH261" t="s">
        <v>6964</v>
      </c>
      <c r="AI261" t="s">
        <v>6965</v>
      </c>
      <c r="AJ261" t="s">
        <v>6966</v>
      </c>
      <c r="AR261" t="s">
        <v>4284</v>
      </c>
    </row>
    <row r="262" spans="1:44">
      <c r="A262">
        <v>11118521</v>
      </c>
      <c r="B262" t="s">
        <v>356</v>
      </c>
      <c r="C262" t="s">
        <v>1151</v>
      </c>
      <c r="D262" t="s">
        <v>1674</v>
      </c>
      <c r="E262" t="s">
        <v>1675</v>
      </c>
      <c r="F262" t="s">
        <v>1586</v>
      </c>
      <c r="G262" t="s">
        <v>1587</v>
      </c>
      <c r="H262" t="s">
        <v>2184</v>
      </c>
      <c r="I262" t="s">
        <v>4388</v>
      </c>
      <c r="J262" t="s">
        <v>2958</v>
      </c>
      <c r="K262" t="s">
        <v>2959</v>
      </c>
      <c r="M262">
        <v>50</v>
      </c>
      <c r="N262">
        <v>70</v>
      </c>
      <c r="O262" t="s">
        <v>2437</v>
      </c>
      <c r="P262" t="s">
        <v>2437</v>
      </c>
      <c r="R262" t="s">
        <v>2437</v>
      </c>
      <c r="T262" t="s">
        <v>2437</v>
      </c>
      <c r="U262" t="s">
        <v>2437</v>
      </c>
      <c r="V262" t="s">
        <v>2437</v>
      </c>
      <c r="Y262" t="s">
        <v>6948</v>
      </c>
      <c r="Z262" t="s">
        <v>6949</v>
      </c>
      <c r="AA262" t="s">
        <v>6950</v>
      </c>
      <c r="AB262" t="s">
        <v>6951</v>
      </c>
      <c r="AC262" t="s">
        <v>6952</v>
      </c>
      <c r="AD262" t="s">
        <v>6953</v>
      </c>
      <c r="AE262" t="s">
        <v>6954</v>
      </c>
      <c r="AF262" t="s">
        <v>6955</v>
      </c>
      <c r="AG262" t="s">
        <v>6956</v>
      </c>
      <c r="AH262" t="s">
        <v>6957</v>
      </c>
      <c r="AI262" t="s">
        <v>6958</v>
      </c>
      <c r="AJ262" t="s">
        <v>6959</v>
      </c>
      <c r="AR262" t="s">
        <v>4284</v>
      </c>
    </row>
    <row r="263" spans="1:44">
      <c r="A263">
        <v>11118504</v>
      </c>
      <c r="B263" t="s">
        <v>357</v>
      </c>
      <c r="C263" t="s">
        <v>1118</v>
      </c>
      <c r="D263" t="s">
        <v>1670</v>
      </c>
      <c r="E263" t="s">
        <v>1671</v>
      </c>
      <c r="F263" t="s">
        <v>1515</v>
      </c>
      <c r="G263" t="s">
        <v>36</v>
      </c>
      <c r="H263" t="s">
        <v>2254</v>
      </c>
      <c r="I263" t="s">
        <v>4445</v>
      </c>
      <c r="J263" t="s">
        <v>2960</v>
      </c>
      <c r="K263" t="s">
        <v>2961</v>
      </c>
      <c r="M263">
        <v>50</v>
      </c>
      <c r="N263">
        <v>70</v>
      </c>
      <c r="O263" t="s">
        <v>2437</v>
      </c>
      <c r="P263" t="s">
        <v>2437</v>
      </c>
      <c r="R263" t="s">
        <v>2437</v>
      </c>
      <c r="T263" t="s">
        <v>2437</v>
      </c>
      <c r="U263" t="s">
        <v>2437</v>
      </c>
      <c r="V263" t="s">
        <v>2437</v>
      </c>
      <c r="Y263" t="s">
        <v>6948</v>
      </c>
      <c r="Z263" t="s">
        <v>6949</v>
      </c>
      <c r="AA263" t="s">
        <v>6950</v>
      </c>
      <c r="AB263" t="s">
        <v>6951</v>
      </c>
      <c r="AC263" t="s">
        <v>6952</v>
      </c>
      <c r="AD263" t="s">
        <v>6953</v>
      </c>
      <c r="AE263" t="s">
        <v>6954</v>
      </c>
      <c r="AF263" t="s">
        <v>6955</v>
      </c>
      <c r="AG263" t="s">
        <v>6956</v>
      </c>
      <c r="AH263" t="s">
        <v>6957</v>
      </c>
      <c r="AI263" t="s">
        <v>6958</v>
      </c>
      <c r="AJ263" t="s">
        <v>6959</v>
      </c>
      <c r="AR263" t="s">
        <v>4284</v>
      </c>
    </row>
    <row r="264" spans="1:44">
      <c r="A264">
        <v>11118505</v>
      </c>
      <c r="B264" t="s">
        <v>358</v>
      </c>
      <c r="C264" t="s">
        <v>1119</v>
      </c>
      <c r="D264" t="s">
        <v>1670</v>
      </c>
      <c r="E264" t="s">
        <v>1671</v>
      </c>
      <c r="F264" t="s">
        <v>1515</v>
      </c>
      <c r="G264" t="s">
        <v>36</v>
      </c>
      <c r="H264" t="s">
        <v>2255</v>
      </c>
      <c r="I264" t="s">
        <v>4446</v>
      </c>
      <c r="J264" t="s">
        <v>2962</v>
      </c>
      <c r="K264" t="s">
        <v>2963</v>
      </c>
      <c r="M264">
        <v>50</v>
      </c>
      <c r="N264">
        <v>70</v>
      </c>
      <c r="O264" t="s">
        <v>2437</v>
      </c>
      <c r="P264" t="s">
        <v>2437</v>
      </c>
      <c r="R264" t="s">
        <v>2437</v>
      </c>
      <c r="T264" t="s">
        <v>2437</v>
      </c>
      <c r="U264" t="s">
        <v>2437</v>
      </c>
      <c r="V264" t="s">
        <v>2437</v>
      </c>
      <c r="Y264" t="s">
        <v>6948</v>
      </c>
      <c r="Z264" t="s">
        <v>6949</v>
      </c>
      <c r="AA264" t="s">
        <v>6950</v>
      </c>
      <c r="AB264" t="s">
        <v>6951</v>
      </c>
      <c r="AC264" t="s">
        <v>6952</v>
      </c>
      <c r="AD264" t="s">
        <v>6953</v>
      </c>
      <c r="AE264" t="s">
        <v>6954</v>
      </c>
      <c r="AF264" t="s">
        <v>6955</v>
      </c>
      <c r="AG264" t="s">
        <v>6956</v>
      </c>
      <c r="AH264" t="s">
        <v>6957</v>
      </c>
      <c r="AI264" t="s">
        <v>6958</v>
      </c>
      <c r="AJ264" t="s">
        <v>6959</v>
      </c>
      <c r="AR264" t="s">
        <v>4284</v>
      </c>
    </row>
    <row r="265" spans="1:44">
      <c r="A265">
        <v>11118507</v>
      </c>
      <c r="B265" t="s">
        <v>359</v>
      </c>
      <c r="C265" t="s">
        <v>1120</v>
      </c>
      <c r="D265" t="s">
        <v>1670</v>
      </c>
      <c r="E265" t="s">
        <v>1671</v>
      </c>
      <c r="F265" t="s">
        <v>1515</v>
      </c>
      <c r="G265" t="s">
        <v>36</v>
      </c>
      <c r="H265" t="s">
        <v>2256</v>
      </c>
      <c r="I265" t="s">
        <v>4447</v>
      </c>
      <c r="J265" t="s">
        <v>2964</v>
      </c>
      <c r="K265" t="s">
        <v>2965</v>
      </c>
      <c r="M265">
        <v>50</v>
      </c>
      <c r="N265">
        <v>70</v>
      </c>
      <c r="O265" t="s">
        <v>2437</v>
      </c>
      <c r="P265" t="s">
        <v>2437</v>
      </c>
      <c r="R265" t="s">
        <v>2437</v>
      </c>
      <c r="T265" t="s">
        <v>2437</v>
      </c>
      <c r="U265" t="s">
        <v>2437</v>
      </c>
      <c r="V265" t="s">
        <v>2437</v>
      </c>
      <c r="Y265" t="s">
        <v>6948</v>
      </c>
      <c r="Z265" t="s">
        <v>6949</v>
      </c>
      <c r="AA265" t="s">
        <v>6950</v>
      </c>
      <c r="AB265" t="s">
        <v>6951</v>
      </c>
      <c r="AC265" t="s">
        <v>6952</v>
      </c>
      <c r="AD265" t="s">
        <v>6953</v>
      </c>
      <c r="AE265" t="s">
        <v>6954</v>
      </c>
      <c r="AF265" t="s">
        <v>6955</v>
      </c>
      <c r="AG265" t="s">
        <v>6956</v>
      </c>
      <c r="AH265" t="s">
        <v>6957</v>
      </c>
      <c r="AI265" t="s">
        <v>6958</v>
      </c>
      <c r="AJ265" t="s">
        <v>6959</v>
      </c>
      <c r="AR265" t="s">
        <v>4284</v>
      </c>
    </row>
    <row r="266" spans="1:44">
      <c r="A266">
        <v>11118508</v>
      </c>
      <c r="B266" t="s">
        <v>360</v>
      </c>
      <c r="C266" t="s">
        <v>1218</v>
      </c>
      <c r="D266" t="s">
        <v>1670</v>
      </c>
      <c r="E266" t="s">
        <v>1671</v>
      </c>
      <c r="F266" t="s">
        <v>1515</v>
      </c>
      <c r="G266" t="s">
        <v>36</v>
      </c>
      <c r="H266" t="s">
        <v>2257</v>
      </c>
      <c r="I266" t="s">
        <v>4448</v>
      </c>
      <c r="J266" t="s">
        <v>2966</v>
      </c>
      <c r="K266" t="s">
        <v>2967</v>
      </c>
      <c r="M266">
        <v>50</v>
      </c>
      <c r="N266">
        <v>70</v>
      </c>
      <c r="O266" t="s">
        <v>2437</v>
      </c>
      <c r="P266" t="s">
        <v>2437</v>
      </c>
      <c r="R266" t="s">
        <v>2437</v>
      </c>
      <c r="T266" t="s">
        <v>2437</v>
      </c>
      <c r="U266" t="s">
        <v>2437</v>
      </c>
      <c r="V266" t="s">
        <v>2437</v>
      </c>
      <c r="Y266" t="s">
        <v>6948</v>
      </c>
      <c r="Z266" t="s">
        <v>6949</v>
      </c>
      <c r="AA266" t="s">
        <v>6950</v>
      </c>
      <c r="AB266" t="s">
        <v>6951</v>
      </c>
      <c r="AC266" t="s">
        <v>6952</v>
      </c>
      <c r="AD266" t="s">
        <v>6953</v>
      </c>
      <c r="AE266" t="s">
        <v>6954</v>
      </c>
      <c r="AF266" t="s">
        <v>6955</v>
      </c>
      <c r="AG266" t="s">
        <v>6956</v>
      </c>
      <c r="AH266" t="s">
        <v>6957</v>
      </c>
      <c r="AI266" t="s">
        <v>6958</v>
      </c>
      <c r="AJ266" t="s">
        <v>6959</v>
      </c>
      <c r="AR266" t="s">
        <v>4284</v>
      </c>
    </row>
    <row r="267" spans="1:44">
      <c r="A267">
        <v>11118509</v>
      </c>
      <c r="B267" t="s">
        <v>361</v>
      </c>
      <c r="C267" t="s">
        <v>1121</v>
      </c>
      <c r="D267" t="s">
        <v>1670</v>
      </c>
      <c r="E267" t="s">
        <v>1671</v>
      </c>
      <c r="F267" t="s">
        <v>1515</v>
      </c>
      <c r="G267" t="s">
        <v>36</v>
      </c>
      <c r="H267" t="s">
        <v>2258</v>
      </c>
      <c r="I267" t="s">
        <v>4374</v>
      </c>
      <c r="J267" t="s">
        <v>2968</v>
      </c>
      <c r="K267" t="s">
        <v>2969</v>
      </c>
      <c r="M267">
        <v>50</v>
      </c>
      <c r="N267">
        <v>70</v>
      </c>
      <c r="O267" t="s">
        <v>2437</v>
      </c>
      <c r="P267" t="s">
        <v>2437</v>
      </c>
      <c r="R267" t="s">
        <v>2437</v>
      </c>
      <c r="T267" t="s">
        <v>2437</v>
      </c>
      <c r="U267" t="s">
        <v>2437</v>
      </c>
      <c r="V267" t="s">
        <v>2437</v>
      </c>
      <c r="Y267" t="s">
        <v>6948</v>
      </c>
      <c r="Z267" t="s">
        <v>6949</v>
      </c>
      <c r="AA267" t="s">
        <v>6950</v>
      </c>
      <c r="AB267" t="s">
        <v>6951</v>
      </c>
      <c r="AC267" t="s">
        <v>6952</v>
      </c>
      <c r="AD267" t="s">
        <v>6953</v>
      </c>
      <c r="AE267" t="s">
        <v>6954</v>
      </c>
      <c r="AF267" t="s">
        <v>6955</v>
      </c>
      <c r="AG267" t="s">
        <v>6956</v>
      </c>
      <c r="AH267" t="s">
        <v>6957</v>
      </c>
      <c r="AI267" t="s">
        <v>6958</v>
      </c>
      <c r="AJ267" t="s">
        <v>6959</v>
      </c>
      <c r="AR267" t="s">
        <v>4284</v>
      </c>
    </row>
    <row r="268" spans="1:44">
      <c r="A268">
        <v>11118510</v>
      </c>
      <c r="B268" t="s">
        <v>362</v>
      </c>
      <c r="C268" t="s">
        <v>1122</v>
      </c>
      <c r="D268" t="s">
        <v>1672</v>
      </c>
      <c r="E268" t="s">
        <v>1673</v>
      </c>
      <c r="F268" t="s">
        <v>1517</v>
      </c>
      <c r="G268" t="s">
        <v>1518</v>
      </c>
      <c r="H268" t="s">
        <v>2174</v>
      </c>
      <c r="I268" t="s">
        <v>4449</v>
      </c>
      <c r="J268" t="s">
        <v>2970</v>
      </c>
      <c r="K268" t="s">
        <v>2971</v>
      </c>
      <c r="M268">
        <v>50</v>
      </c>
      <c r="N268">
        <v>70</v>
      </c>
      <c r="O268" t="s">
        <v>2437</v>
      </c>
      <c r="P268" t="s">
        <v>2437</v>
      </c>
      <c r="R268" t="s">
        <v>2437</v>
      </c>
      <c r="T268" t="s">
        <v>2437</v>
      </c>
      <c r="U268" t="s">
        <v>2437</v>
      </c>
      <c r="V268" t="s">
        <v>2437</v>
      </c>
      <c r="Y268" t="s">
        <v>6948</v>
      </c>
      <c r="Z268" t="s">
        <v>6949</v>
      </c>
      <c r="AA268" t="s">
        <v>6950</v>
      </c>
      <c r="AB268" t="s">
        <v>6951</v>
      </c>
      <c r="AC268" t="s">
        <v>6952</v>
      </c>
      <c r="AD268" t="s">
        <v>6953</v>
      </c>
      <c r="AE268" t="s">
        <v>6954</v>
      </c>
      <c r="AF268" t="s">
        <v>6955</v>
      </c>
      <c r="AG268" t="s">
        <v>6956</v>
      </c>
      <c r="AH268" t="s">
        <v>6957</v>
      </c>
      <c r="AI268" t="s">
        <v>6958</v>
      </c>
      <c r="AJ268" t="s">
        <v>6959</v>
      </c>
      <c r="AR268" t="s">
        <v>4284</v>
      </c>
    </row>
    <row r="269" spans="1:44">
      <c r="A269">
        <v>11118511</v>
      </c>
      <c r="B269" t="s">
        <v>363</v>
      </c>
      <c r="C269" t="s">
        <v>1123</v>
      </c>
      <c r="D269" t="s">
        <v>1672</v>
      </c>
      <c r="E269" t="s">
        <v>1673</v>
      </c>
      <c r="F269" t="s">
        <v>1517</v>
      </c>
      <c r="G269" t="s">
        <v>1518</v>
      </c>
      <c r="H269" t="s">
        <v>2175</v>
      </c>
      <c r="I269" t="s">
        <v>4450</v>
      </c>
      <c r="J269" t="s">
        <v>2972</v>
      </c>
      <c r="K269" t="s">
        <v>2973</v>
      </c>
      <c r="M269">
        <v>50</v>
      </c>
      <c r="N269">
        <v>70</v>
      </c>
      <c r="O269" t="s">
        <v>2437</v>
      </c>
      <c r="P269" t="s">
        <v>2437</v>
      </c>
      <c r="R269" t="s">
        <v>2437</v>
      </c>
      <c r="T269" t="s">
        <v>2437</v>
      </c>
      <c r="U269" t="s">
        <v>2437</v>
      </c>
      <c r="V269" t="s">
        <v>2437</v>
      </c>
      <c r="Y269" t="s">
        <v>6948</v>
      </c>
      <c r="Z269" t="s">
        <v>6949</v>
      </c>
      <c r="AA269" t="s">
        <v>6950</v>
      </c>
      <c r="AB269" t="s">
        <v>6951</v>
      </c>
      <c r="AC269" t="s">
        <v>6952</v>
      </c>
      <c r="AD269" t="s">
        <v>6953</v>
      </c>
      <c r="AE269" t="s">
        <v>6954</v>
      </c>
      <c r="AF269" t="s">
        <v>6955</v>
      </c>
      <c r="AG269" t="s">
        <v>6956</v>
      </c>
      <c r="AH269" t="s">
        <v>6957</v>
      </c>
      <c r="AI269" t="s">
        <v>6958</v>
      </c>
      <c r="AJ269" t="s">
        <v>6959</v>
      </c>
      <c r="AR269" t="s">
        <v>4284</v>
      </c>
    </row>
    <row r="270" spans="1:44">
      <c r="A270">
        <v>11118513</v>
      </c>
      <c r="B270" t="s">
        <v>364</v>
      </c>
      <c r="C270" t="s">
        <v>1124</v>
      </c>
      <c r="D270" t="s">
        <v>1672</v>
      </c>
      <c r="E270" t="s">
        <v>1673</v>
      </c>
      <c r="F270" t="s">
        <v>1517</v>
      </c>
      <c r="G270" t="s">
        <v>1518</v>
      </c>
      <c r="H270" t="s">
        <v>2259</v>
      </c>
      <c r="I270" t="s">
        <v>4375</v>
      </c>
      <c r="J270" t="s">
        <v>2974</v>
      </c>
      <c r="K270" t="s">
        <v>2975</v>
      </c>
      <c r="M270">
        <v>50</v>
      </c>
      <c r="N270">
        <v>70</v>
      </c>
      <c r="O270" t="s">
        <v>2437</v>
      </c>
      <c r="P270" t="s">
        <v>2437</v>
      </c>
      <c r="R270" t="s">
        <v>2437</v>
      </c>
      <c r="T270" t="s">
        <v>2437</v>
      </c>
      <c r="U270" t="s">
        <v>2437</v>
      </c>
      <c r="V270" t="s">
        <v>2437</v>
      </c>
      <c r="Y270" t="s">
        <v>6948</v>
      </c>
      <c r="Z270" t="s">
        <v>6949</v>
      </c>
      <c r="AA270" t="s">
        <v>6950</v>
      </c>
      <c r="AB270" t="s">
        <v>6951</v>
      </c>
      <c r="AC270" t="s">
        <v>6952</v>
      </c>
      <c r="AD270" t="s">
        <v>6953</v>
      </c>
      <c r="AE270" t="s">
        <v>6954</v>
      </c>
      <c r="AF270" t="s">
        <v>6955</v>
      </c>
      <c r="AG270" t="s">
        <v>6956</v>
      </c>
      <c r="AH270" t="s">
        <v>6957</v>
      </c>
      <c r="AI270" t="s">
        <v>6958</v>
      </c>
      <c r="AJ270" t="s">
        <v>6959</v>
      </c>
      <c r="AR270" t="s">
        <v>4284</v>
      </c>
    </row>
    <row r="271" spans="1:44">
      <c r="A271">
        <v>11118515</v>
      </c>
      <c r="B271" t="s">
        <v>365</v>
      </c>
      <c r="C271" t="s">
        <v>1148</v>
      </c>
      <c r="D271" t="s">
        <v>1672</v>
      </c>
      <c r="E271" t="s">
        <v>1673</v>
      </c>
      <c r="F271" t="s">
        <v>1517</v>
      </c>
      <c r="G271" t="s">
        <v>1518</v>
      </c>
      <c r="H271" t="s">
        <v>2178</v>
      </c>
      <c r="I271" t="s">
        <v>4384</v>
      </c>
      <c r="J271" t="s">
        <v>2976</v>
      </c>
      <c r="K271" t="s">
        <v>2977</v>
      </c>
      <c r="M271">
        <v>50</v>
      </c>
      <c r="N271">
        <v>70</v>
      </c>
      <c r="O271" t="s">
        <v>2437</v>
      </c>
      <c r="P271" t="s">
        <v>2437</v>
      </c>
      <c r="R271" t="s">
        <v>2437</v>
      </c>
      <c r="T271" t="s">
        <v>2437</v>
      </c>
      <c r="U271" t="s">
        <v>2437</v>
      </c>
      <c r="V271" t="s">
        <v>2437</v>
      </c>
      <c r="Y271" t="s">
        <v>6948</v>
      </c>
      <c r="Z271" t="s">
        <v>6949</v>
      </c>
      <c r="AA271" t="s">
        <v>6950</v>
      </c>
      <c r="AB271" t="s">
        <v>6951</v>
      </c>
      <c r="AC271" t="s">
        <v>6952</v>
      </c>
      <c r="AD271" t="s">
        <v>6953</v>
      </c>
      <c r="AE271" t="s">
        <v>6954</v>
      </c>
      <c r="AF271" t="s">
        <v>6955</v>
      </c>
      <c r="AG271" t="s">
        <v>6956</v>
      </c>
      <c r="AH271" t="s">
        <v>6957</v>
      </c>
      <c r="AI271" t="s">
        <v>6958</v>
      </c>
      <c r="AJ271" t="s">
        <v>6959</v>
      </c>
      <c r="AR271" t="s">
        <v>4284</v>
      </c>
    </row>
    <row r="272" spans="1:44">
      <c r="A272">
        <v>11118516</v>
      </c>
      <c r="B272" t="s">
        <v>366</v>
      </c>
      <c r="C272" t="s">
        <v>1125</v>
      </c>
      <c r="D272" t="s">
        <v>1674</v>
      </c>
      <c r="E272" t="s">
        <v>1675</v>
      </c>
      <c r="F272" t="s">
        <v>1586</v>
      </c>
      <c r="G272" t="s">
        <v>1587</v>
      </c>
      <c r="H272" t="s">
        <v>2179</v>
      </c>
      <c r="I272" t="s">
        <v>4376</v>
      </c>
      <c r="J272" t="s">
        <v>2978</v>
      </c>
      <c r="K272" t="s">
        <v>2979</v>
      </c>
      <c r="M272">
        <v>50</v>
      </c>
      <c r="N272">
        <v>70</v>
      </c>
      <c r="O272" t="s">
        <v>2437</v>
      </c>
      <c r="P272" t="s">
        <v>2437</v>
      </c>
      <c r="R272" t="s">
        <v>2437</v>
      </c>
      <c r="T272" t="s">
        <v>2437</v>
      </c>
      <c r="U272" t="s">
        <v>2437</v>
      </c>
      <c r="V272" t="s">
        <v>2437</v>
      </c>
      <c r="Y272" t="s">
        <v>6948</v>
      </c>
      <c r="Z272" t="s">
        <v>6949</v>
      </c>
      <c r="AA272" t="s">
        <v>6950</v>
      </c>
      <c r="AB272" t="s">
        <v>6951</v>
      </c>
      <c r="AC272" t="s">
        <v>6952</v>
      </c>
      <c r="AD272" t="s">
        <v>6953</v>
      </c>
      <c r="AE272" t="s">
        <v>6954</v>
      </c>
      <c r="AF272" t="s">
        <v>6955</v>
      </c>
      <c r="AG272" t="s">
        <v>6956</v>
      </c>
      <c r="AH272" t="s">
        <v>6957</v>
      </c>
      <c r="AI272" t="s">
        <v>6958</v>
      </c>
      <c r="AJ272" t="s">
        <v>6959</v>
      </c>
      <c r="AR272" t="s">
        <v>4284</v>
      </c>
    </row>
    <row r="273" spans="1:44">
      <c r="A273">
        <v>11118517</v>
      </c>
      <c r="B273" t="s">
        <v>367</v>
      </c>
      <c r="C273" t="s">
        <v>1126</v>
      </c>
      <c r="D273" t="s">
        <v>1674</v>
      </c>
      <c r="E273" t="s">
        <v>1675</v>
      </c>
      <c r="F273" t="s">
        <v>1586</v>
      </c>
      <c r="G273" t="s">
        <v>1587</v>
      </c>
      <c r="H273" t="s">
        <v>2180</v>
      </c>
      <c r="I273" t="s">
        <v>4385</v>
      </c>
      <c r="J273" t="s">
        <v>2980</v>
      </c>
      <c r="K273" t="s">
        <v>2981</v>
      </c>
      <c r="M273">
        <v>50</v>
      </c>
      <c r="N273">
        <v>70</v>
      </c>
      <c r="O273" t="s">
        <v>2437</v>
      </c>
      <c r="P273" t="s">
        <v>2437</v>
      </c>
      <c r="R273" t="s">
        <v>2437</v>
      </c>
      <c r="T273" t="s">
        <v>2437</v>
      </c>
      <c r="U273" t="s">
        <v>2437</v>
      </c>
      <c r="V273" t="s">
        <v>2437</v>
      </c>
      <c r="Y273" t="s">
        <v>6948</v>
      </c>
      <c r="Z273" t="s">
        <v>6949</v>
      </c>
      <c r="AA273" t="s">
        <v>6950</v>
      </c>
      <c r="AB273" t="s">
        <v>6951</v>
      </c>
      <c r="AC273" t="s">
        <v>6952</v>
      </c>
      <c r="AD273" t="s">
        <v>6953</v>
      </c>
      <c r="AE273" t="s">
        <v>6954</v>
      </c>
      <c r="AF273" t="s">
        <v>6955</v>
      </c>
      <c r="AG273" t="s">
        <v>6956</v>
      </c>
      <c r="AH273" t="s">
        <v>6957</v>
      </c>
      <c r="AI273" t="s">
        <v>6958</v>
      </c>
      <c r="AJ273" t="s">
        <v>6959</v>
      </c>
      <c r="AR273" t="s">
        <v>4284</v>
      </c>
    </row>
    <row r="274" spans="1:44">
      <c r="A274">
        <v>11118519</v>
      </c>
      <c r="B274" t="s">
        <v>368</v>
      </c>
      <c r="C274" t="s">
        <v>1127</v>
      </c>
      <c r="D274" t="s">
        <v>1674</v>
      </c>
      <c r="E274" t="s">
        <v>1675</v>
      </c>
      <c r="F274" t="s">
        <v>1586</v>
      </c>
      <c r="G274" t="s">
        <v>1587</v>
      </c>
      <c r="H274" t="s">
        <v>2182</v>
      </c>
      <c r="I274" t="s">
        <v>4377</v>
      </c>
      <c r="J274" t="s">
        <v>2982</v>
      </c>
      <c r="K274" t="s">
        <v>2983</v>
      </c>
      <c r="M274">
        <v>50</v>
      </c>
      <c r="N274">
        <v>70</v>
      </c>
      <c r="O274" t="s">
        <v>2437</v>
      </c>
      <c r="P274" t="s">
        <v>2437</v>
      </c>
      <c r="R274" t="s">
        <v>2437</v>
      </c>
      <c r="T274" t="s">
        <v>2437</v>
      </c>
      <c r="U274" t="s">
        <v>2437</v>
      </c>
      <c r="V274" t="s">
        <v>2437</v>
      </c>
      <c r="Y274" t="s">
        <v>6948</v>
      </c>
      <c r="Z274" t="s">
        <v>6949</v>
      </c>
      <c r="AA274" t="s">
        <v>6950</v>
      </c>
      <c r="AB274" t="s">
        <v>6951</v>
      </c>
      <c r="AC274" t="s">
        <v>6952</v>
      </c>
      <c r="AD274" t="s">
        <v>6953</v>
      </c>
      <c r="AE274" t="s">
        <v>6954</v>
      </c>
      <c r="AF274" t="s">
        <v>6955</v>
      </c>
      <c r="AG274" t="s">
        <v>6956</v>
      </c>
      <c r="AH274" t="s">
        <v>6957</v>
      </c>
      <c r="AI274" t="s">
        <v>6958</v>
      </c>
      <c r="AJ274" t="s">
        <v>6959</v>
      </c>
      <c r="AR274" t="s">
        <v>4284</v>
      </c>
    </row>
    <row r="275" spans="1:44">
      <c r="A275">
        <v>11118520</v>
      </c>
      <c r="B275" t="s">
        <v>369</v>
      </c>
      <c r="C275" t="s">
        <v>1150</v>
      </c>
      <c r="D275" t="s">
        <v>1674</v>
      </c>
      <c r="E275" t="s">
        <v>1675</v>
      </c>
      <c r="F275" t="s">
        <v>1586</v>
      </c>
      <c r="G275" t="s">
        <v>1587</v>
      </c>
      <c r="H275" t="s">
        <v>2183</v>
      </c>
      <c r="I275" t="s">
        <v>4387</v>
      </c>
      <c r="J275" t="s">
        <v>2984</v>
      </c>
      <c r="K275" t="s">
        <v>2985</v>
      </c>
      <c r="M275">
        <v>50</v>
      </c>
      <c r="N275">
        <v>70</v>
      </c>
      <c r="O275" t="s">
        <v>2437</v>
      </c>
      <c r="P275" t="s">
        <v>2437</v>
      </c>
      <c r="R275" t="s">
        <v>2437</v>
      </c>
      <c r="T275" t="s">
        <v>2437</v>
      </c>
      <c r="U275" t="s">
        <v>2437</v>
      </c>
      <c r="V275" t="s">
        <v>2437</v>
      </c>
      <c r="Y275" t="s">
        <v>6948</v>
      </c>
      <c r="Z275" t="s">
        <v>6949</v>
      </c>
      <c r="AA275" t="s">
        <v>6950</v>
      </c>
      <c r="AB275" t="s">
        <v>6951</v>
      </c>
      <c r="AC275" t="s">
        <v>6952</v>
      </c>
      <c r="AD275" t="s">
        <v>6953</v>
      </c>
      <c r="AE275" t="s">
        <v>6954</v>
      </c>
      <c r="AF275" t="s">
        <v>6955</v>
      </c>
      <c r="AG275" t="s">
        <v>6956</v>
      </c>
      <c r="AH275" t="s">
        <v>6957</v>
      </c>
      <c r="AI275" t="s">
        <v>6958</v>
      </c>
      <c r="AJ275" t="s">
        <v>6959</v>
      </c>
      <c r="AR275" t="s">
        <v>4284</v>
      </c>
    </row>
    <row r="276" spans="1:44">
      <c r="A276">
        <v>11118522</v>
      </c>
      <c r="B276" t="s">
        <v>370</v>
      </c>
      <c r="C276" t="s">
        <v>1219</v>
      </c>
      <c r="D276" t="s">
        <v>1678</v>
      </c>
      <c r="E276" t="s">
        <v>1679</v>
      </c>
      <c r="F276" t="s">
        <v>1476</v>
      </c>
      <c r="G276" t="s">
        <v>1477</v>
      </c>
      <c r="H276" t="s">
        <v>2260</v>
      </c>
      <c r="I276" t="s">
        <v>4451</v>
      </c>
      <c r="J276" t="s">
        <v>2986</v>
      </c>
      <c r="K276" t="s">
        <v>2987</v>
      </c>
      <c r="M276">
        <v>60</v>
      </c>
      <c r="N276">
        <v>70</v>
      </c>
      <c r="O276" t="s">
        <v>2437</v>
      </c>
      <c r="P276" t="s">
        <v>2437</v>
      </c>
      <c r="R276" t="s">
        <v>2437</v>
      </c>
      <c r="T276" t="s">
        <v>2444</v>
      </c>
      <c r="U276" t="s">
        <v>2437</v>
      </c>
      <c r="V276" t="s">
        <v>2437</v>
      </c>
      <c r="Y276" t="s">
        <v>6948</v>
      </c>
      <c r="Z276" t="s">
        <v>6949</v>
      </c>
      <c r="AA276" t="s">
        <v>6950</v>
      </c>
      <c r="AB276" t="s">
        <v>6951</v>
      </c>
      <c r="AC276" t="s">
        <v>6952</v>
      </c>
      <c r="AD276" t="s">
        <v>6953</v>
      </c>
      <c r="AE276" t="s">
        <v>6961</v>
      </c>
      <c r="AF276" t="s">
        <v>6962</v>
      </c>
      <c r="AG276" t="s">
        <v>6963</v>
      </c>
      <c r="AH276" t="s">
        <v>6964</v>
      </c>
      <c r="AI276" t="s">
        <v>6965</v>
      </c>
      <c r="AJ276" t="s">
        <v>6966</v>
      </c>
      <c r="AR276" t="s">
        <v>4284</v>
      </c>
    </row>
    <row r="277" spans="1:44">
      <c r="A277">
        <v>11118523</v>
      </c>
      <c r="B277" t="s">
        <v>371</v>
      </c>
      <c r="C277" t="s">
        <v>1220</v>
      </c>
      <c r="D277" t="s">
        <v>1678</v>
      </c>
      <c r="E277" t="s">
        <v>1679</v>
      </c>
      <c r="F277" t="s">
        <v>1476</v>
      </c>
      <c r="G277" t="s">
        <v>1477</v>
      </c>
      <c r="H277" t="s">
        <v>2261</v>
      </c>
      <c r="I277" t="s">
        <v>4452</v>
      </c>
      <c r="J277" t="s">
        <v>2988</v>
      </c>
      <c r="K277" t="s">
        <v>2989</v>
      </c>
      <c r="M277">
        <v>60</v>
      </c>
      <c r="N277">
        <v>70</v>
      </c>
      <c r="O277" t="s">
        <v>2437</v>
      </c>
      <c r="P277" t="s">
        <v>2437</v>
      </c>
      <c r="R277" t="s">
        <v>2437</v>
      </c>
      <c r="T277" t="s">
        <v>2444</v>
      </c>
      <c r="U277" t="s">
        <v>2437</v>
      </c>
      <c r="V277" t="s">
        <v>2437</v>
      </c>
      <c r="Y277" t="s">
        <v>6948</v>
      </c>
      <c r="Z277" t="s">
        <v>6949</v>
      </c>
      <c r="AA277" t="s">
        <v>6950</v>
      </c>
      <c r="AB277" t="s">
        <v>6951</v>
      </c>
      <c r="AC277" t="s">
        <v>6952</v>
      </c>
      <c r="AD277" t="s">
        <v>6953</v>
      </c>
      <c r="AE277" t="s">
        <v>6961</v>
      </c>
      <c r="AF277" t="s">
        <v>6962</v>
      </c>
      <c r="AG277" t="s">
        <v>6963</v>
      </c>
      <c r="AH277" t="s">
        <v>6964</v>
      </c>
      <c r="AI277" t="s">
        <v>6965</v>
      </c>
      <c r="AJ277" t="s">
        <v>6966</v>
      </c>
      <c r="AR277" t="s">
        <v>4284</v>
      </c>
    </row>
    <row r="278" spans="1:44">
      <c r="A278">
        <v>11118524</v>
      </c>
      <c r="B278" t="s">
        <v>372</v>
      </c>
      <c r="C278" t="s">
        <v>1049</v>
      </c>
      <c r="D278" t="s">
        <v>1678</v>
      </c>
      <c r="E278" t="s">
        <v>1679</v>
      </c>
      <c r="F278" t="s">
        <v>1476</v>
      </c>
      <c r="G278" t="s">
        <v>1477</v>
      </c>
      <c r="H278" t="s">
        <v>2262</v>
      </c>
      <c r="I278" t="s">
        <v>4453</v>
      </c>
      <c r="J278" t="s">
        <v>2990</v>
      </c>
      <c r="K278" t="s">
        <v>2991</v>
      </c>
      <c r="M278">
        <v>60</v>
      </c>
      <c r="N278">
        <v>70</v>
      </c>
      <c r="O278" t="s">
        <v>2437</v>
      </c>
      <c r="P278" t="s">
        <v>2437</v>
      </c>
      <c r="R278" t="s">
        <v>2437</v>
      </c>
      <c r="T278" t="s">
        <v>2444</v>
      </c>
      <c r="U278" t="s">
        <v>2437</v>
      </c>
      <c r="V278" t="s">
        <v>2437</v>
      </c>
      <c r="Y278" t="s">
        <v>6948</v>
      </c>
      <c r="Z278" t="s">
        <v>6949</v>
      </c>
      <c r="AA278" t="s">
        <v>6950</v>
      </c>
      <c r="AB278" t="s">
        <v>6951</v>
      </c>
      <c r="AC278" t="s">
        <v>6952</v>
      </c>
      <c r="AD278" t="s">
        <v>6953</v>
      </c>
      <c r="AE278" t="s">
        <v>6961</v>
      </c>
      <c r="AF278" t="s">
        <v>6962</v>
      </c>
      <c r="AG278" t="s">
        <v>6963</v>
      </c>
      <c r="AH278" t="s">
        <v>6964</v>
      </c>
      <c r="AI278" t="s">
        <v>6965</v>
      </c>
      <c r="AJ278" t="s">
        <v>6966</v>
      </c>
      <c r="AR278" t="s">
        <v>4284</v>
      </c>
    </row>
    <row r="279" spans="1:44">
      <c r="A279">
        <v>11118525</v>
      </c>
      <c r="B279" t="s">
        <v>373</v>
      </c>
      <c r="C279" t="s">
        <v>1221</v>
      </c>
      <c r="D279" t="s">
        <v>1678</v>
      </c>
      <c r="E279" t="s">
        <v>1679</v>
      </c>
      <c r="F279" t="s">
        <v>1476</v>
      </c>
      <c r="G279" t="s">
        <v>1477</v>
      </c>
      <c r="H279" t="s">
        <v>2263</v>
      </c>
      <c r="I279" t="s">
        <v>4454</v>
      </c>
      <c r="J279" t="s">
        <v>2992</v>
      </c>
      <c r="K279" t="s">
        <v>2993</v>
      </c>
      <c r="M279">
        <v>60</v>
      </c>
      <c r="N279">
        <v>70</v>
      </c>
      <c r="O279" t="s">
        <v>2437</v>
      </c>
      <c r="P279" t="s">
        <v>2437</v>
      </c>
      <c r="R279" t="s">
        <v>2437</v>
      </c>
      <c r="T279" t="s">
        <v>2444</v>
      </c>
      <c r="U279" t="s">
        <v>2437</v>
      </c>
      <c r="V279" t="s">
        <v>2437</v>
      </c>
      <c r="Y279" t="s">
        <v>6948</v>
      </c>
      <c r="Z279" t="s">
        <v>6949</v>
      </c>
      <c r="AA279" t="s">
        <v>6950</v>
      </c>
      <c r="AB279" t="s">
        <v>6951</v>
      </c>
      <c r="AC279" t="s">
        <v>6952</v>
      </c>
      <c r="AD279" t="s">
        <v>6953</v>
      </c>
      <c r="AE279" t="s">
        <v>6961</v>
      </c>
      <c r="AF279" t="s">
        <v>6962</v>
      </c>
      <c r="AG279" t="s">
        <v>6963</v>
      </c>
      <c r="AH279" t="s">
        <v>6964</v>
      </c>
      <c r="AI279" t="s">
        <v>6965</v>
      </c>
      <c r="AJ279" t="s">
        <v>6966</v>
      </c>
      <c r="AR279" t="s">
        <v>4284</v>
      </c>
    </row>
    <row r="280" spans="1:44">
      <c r="A280">
        <v>11118526</v>
      </c>
      <c r="B280" t="s">
        <v>374</v>
      </c>
      <c r="C280" t="s">
        <v>1048</v>
      </c>
      <c r="D280" t="s">
        <v>1678</v>
      </c>
      <c r="E280" t="s">
        <v>1679</v>
      </c>
      <c r="F280" t="s">
        <v>1476</v>
      </c>
      <c r="G280" t="s">
        <v>1477</v>
      </c>
      <c r="H280" t="s">
        <v>2264</v>
      </c>
      <c r="I280" t="s">
        <v>4455</v>
      </c>
      <c r="J280" t="s">
        <v>2994</v>
      </c>
      <c r="K280" t="s">
        <v>2995</v>
      </c>
      <c r="M280">
        <v>60</v>
      </c>
      <c r="N280">
        <v>70</v>
      </c>
      <c r="O280" t="s">
        <v>2437</v>
      </c>
      <c r="P280" t="s">
        <v>2437</v>
      </c>
      <c r="R280" t="s">
        <v>2437</v>
      </c>
      <c r="T280" t="s">
        <v>2444</v>
      </c>
      <c r="U280" t="s">
        <v>2437</v>
      </c>
      <c r="V280" t="s">
        <v>2437</v>
      </c>
      <c r="Y280" t="s">
        <v>6948</v>
      </c>
      <c r="Z280" t="s">
        <v>6949</v>
      </c>
      <c r="AA280" t="s">
        <v>6950</v>
      </c>
      <c r="AB280" t="s">
        <v>6951</v>
      </c>
      <c r="AC280" t="s">
        <v>6952</v>
      </c>
      <c r="AD280" t="s">
        <v>6953</v>
      </c>
      <c r="AE280" t="s">
        <v>6961</v>
      </c>
      <c r="AF280" t="s">
        <v>6962</v>
      </c>
      <c r="AG280" t="s">
        <v>6963</v>
      </c>
      <c r="AH280" t="s">
        <v>6964</v>
      </c>
      <c r="AI280" t="s">
        <v>6965</v>
      </c>
      <c r="AJ280" t="s">
        <v>6966</v>
      </c>
      <c r="AR280" t="s">
        <v>4284</v>
      </c>
    </row>
    <row r="281" spans="1:44">
      <c r="A281">
        <v>11118527</v>
      </c>
      <c r="B281" t="s">
        <v>375</v>
      </c>
      <c r="C281" t="s">
        <v>1222</v>
      </c>
      <c r="D281" t="s">
        <v>1678</v>
      </c>
      <c r="E281" t="s">
        <v>1679</v>
      </c>
      <c r="F281" t="s">
        <v>1476</v>
      </c>
      <c r="G281" t="s">
        <v>1477</v>
      </c>
      <c r="H281" t="s">
        <v>2265</v>
      </c>
      <c r="I281" t="s">
        <v>4456</v>
      </c>
      <c r="J281" t="s">
        <v>2996</v>
      </c>
      <c r="K281" t="s">
        <v>2997</v>
      </c>
      <c r="M281">
        <v>60</v>
      </c>
      <c r="N281">
        <v>70</v>
      </c>
      <c r="O281" t="s">
        <v>2437</v>
      </c>
      <c r="P281" t="s">
        <v>2437</v>
      </c>
      <c r="R281" t="s">
        <v>2437</v>
      </c>
      <c r="T281" t="s">
        <v>2444</v>
      </c>
      <c r="U281" t="s">
        <v>2437</v>
      </c>
      <c r="V281" t="s">
        <v>2437</v>
      </c>
      <c r="Y281" t="s">
        <v>6948</v>
      </c>
      <c r="Z281" t="s">
        <v>6949</v>
      </c>
      <c r="AA281" t="s">
        <v>6950</v>
      </c>
      <c r="AB281" t="s">
        <v>6951</v>
      </c>
      <c r="AC281" t="s">
        <v>6952</v>
      </c>
      <c r="AD281" t="s">
        <v>6953</v>
      </c>
      <c r="AE281" t="s">
        <v>6961</v>
      </c>
      <c r="AF281" t="s">
        <v>6962</v>
      </c>
      <c r="AG281" t="s">
        <v>6963</v>
      </c>
      <c r="AH281" t="s">
        <v>6964</v>
      </c>
      <c r="AI281" t="s">
        <v>6965</v>
      </c>
      <c r="AJ281" t="s">
        <v>6966</v>
      </c>
      <c r="AR281" t="s">
        <v>4284</v>
      </c>
    </row>
    <row r="282" spans="1:44">
      <c r="A282">
        <v>11118528</v>
      </c>
      <c r="B282" t="s">
        <v>376</v>
      </c>
      <c r="C282" t="s">
        <v>1223</v>
      </c>
      <c r="D282" t="s">
        <v>1680</v>
      </c>
      <c r="E282" t="s">
        <v>1681</v>
      </c>
      <c r="F282" t="s">
        <v>1476</v>
      </c>
      <c r="G282" t="s">
        <v>1477</v>
      </c>
      <c r="H282" t="s">
        <v>2266</v>
      </c>
      <c r="I282" t="s">
        <v>4457</v>
      </c>
      <c r="J282" t="s">
        <v>2998</v>
      </c>
      <c r="K282" t="s">
        <v>2999</v>
      </c>
      <c r="M282">
        <v>50</v>
      </c>
      <c r="N282">
        <v>70</v>
      </c>
      <c r="O282" t="s">
        <v>2437</v>
      </c>
      <c r="P282" t="s">
        <v>2437</v>
      </c>
      <c r="R282" t="s">
        <v>2437</v>
      </c>
      <c r="T282" t="s">
        <v>2437</v>
      </c>
      <c r="U282" t="s">
        <v>2437</v>
      </c>
      <c r="V282" t="s">
        <v>2437</v>
      </c>
      <c r="Y282" t="s">
        <v>6948</v>
      </c>
      <c r="Z282" t="s">
        <v>6949</v>
      </c>
      <c r="AA282" t="s">
        <v>6950</v>
      </c>
      <c r="AB282" t="s">
        <v>6951</v>
      </c>
      <c r="AC282" t="s">
        <v>6952</v>
      </c>
      <c r="AD282" t="s">
        <v>6953</v>
      </c>
      <c r="AE282" t="s">
        <v>6954</v>
      </c>
      <c r="AF282" t="s">
        <v>6955</v>
      </c>
      <c r="AG282" t="s">
        <v>6956</v>
      </c>
      <c r="AH282" t="s">
        <v>6957</v>
      </c>
      <c r="AI282" t="s">
        <v>6958</v>
      </c>
      <c r="AJ282" t="s">
        <v>6959</v>
      </c>
      <c r="AR282" t="s">
        <v>4284</v>
      </c>
    </row>
    <row r="283" spans="1:44">
      <c r="A283">
        <v>11118529</v>
      </c>
      <c r="B283" t="s">
        <v>377</v>
      </c>
      <c r="C283" t="s">
        <v>1224</v>
      </c>
      <c r="D283" t="s">
        <v>1680</v>
      </c>
      <c r="E283" t="s">
        <v>1681</v>
      </c>
      <c r="F283" t="s">
        <v>1476</v>
      </c>
      <c r="G283" t="s">
        <v>1477</v>
      </c>
      <c r="H283" t="s">
        <v>2267</v>
      </c>
      <c r="I283" t="s">
        <v>4458</v>
      </c>
      <c r="J283" t="s">
        <v>3000</v>
      </c>
      <c r="K283" t="s">
        <v>3001</v>
      </c>
      <c r="M283">
        <v>50</v>
      </c>
      <c r="N283">
        <v>70</v>
      </c>
      <c r="O283" t="s">
        <v>2437</v>
      </c>
      <c r="P283" t="s">
        <v>2437</v>
      </c>
      <c r="R283" t="s">
        <v>2437</v>
      </c>
      <c r="T283" t="s">
        <v>2437</v>
      </c>
      <c r="U283" t="s">
        <v>2437</v>
      </c>
      <c r="V283" t="s">
        <v>2437</v>
      </c>
      <c r="Y283" t="s">
        <v>6948</v>
      </c>
      <c r="Z283" t="s">
        <v>6949</v>
      </c>
      <c r="AA283" t="s">
        <v>6950</v>
      </c>
      <c r="AB283" t="s">
        <v>6951</v>
      </c>
      <c r="AC283" t="s">
        <v>6952</v>
      </c>
      <c r="AD283" t="s">
        <v>6953</v>
      </c>
      <c r="AE283" t="s">
        <v>6954</v>
      </c>
      <c r="AF283" t="s">
        <v>6955</v>
      </c>
      <c r="AG283" t="s">
        <v>6956</v>
      </c>
      <c r="AH283" t="s">
        <v>6957</v>
      </c>
      <c r="AI283" t="s">
        <v>6958</v>
      </c>
      <c r="AJ283" t="s">
        <v>6959</v>
      </c>
      <c r="AR283" t="s">
        <v>4284</v>
      </c>
    </row>
    <row r="284" spans="1:44">
      <c r="A284">
        <v>11118530</v>
      </c>
      <c r="B284" t="s">
        <v>378</v>
      </c>
      <c r="C284" t="s">
        <v>1195</v>
      </c>
      <c r="D284" t="s">
        <v>1680</v>
      </c>
      <c r="E284" t="s">
        <v>1681</v>
      </c>
      <c r="F284" t="s">
        <v>1476</v>
      </c>
      <c r="G284" t="s">
        <v>1477</v>
      </c>
      <c r="H284" t="s">
        <v>2268</v>
      </c>
      <c r="I284" t="s">
        <v>4459</v>
      </c>
      <c r="J284" t="s">
        <v>3002</v>
      </c>
      <c r="K284" t="s">
        <v>3003</v>
      </c>
      <c r="M284">
        <v>50</v>
      </c>
      <c r="N284">
        <v>70</v>
      </c>
      <c r="O284" t="s">
        <v>2437</v>
      </c>
      <c r="P284" t="s">
        <v>2437</v>
      </c>
      <c r="R284" t="s">
        <v>2437</v>
      </c>
      <c r="T284" t="s">
        <v>2437</v>
      </c>
      <c r="U284" t="s">
        <v>2437</v>
      </c>
      <c r="V284" t="s">
        <v>2437</v>
      </c>
      <c r="Y284" t="s">
        <v>6948</v>
      </c>
      <c r="Z284" t="s">
        <v>6949</v>
      </c>
      <c r="AA284" t="s">
        <v>6950</v>
      </c>
      <c r="AB284" t="s">
        <v>6951</v>
      </c>
      <c r="AC284" t="s">
        <v>6952</v>
      </c>
      <c r="AD284" t="s">
        <v>6953</v>
      </c>
      <c r="AE284" t="s">
        <v>6954</v>
      </c>
      <c r="AF284" t="s">
        <v>6955</v>
      </c>
      <c r="AG284" t="s">
        <v>6956</v>
      </c>
      <c r="AH284" t="s">
        <v>6957</v>
      </c>
      <c r="AI284" t="s">
        <v>6958</v>
      </c>
      <c r="AJ284" t="s">
        <v>6959</v>
      </c>
      <c r="AR284" t="s">
        <v>4284</v>
      </c>
    </row>
    <row r="285" spans="1:44">
      <c r="A285">
        <v>11118531</v>
      </c>
      <c r="B285" t="s">
        <v>379</v>
      </c>
      <c r="C285" t="s">
        <v>1196</v>
      </c>
      <c r="D285" t="s">
        <v>1680</v>
      </c>
      <c r="E285" t="s">
        <v>1681</v>
      </c>
      <c r="F285" t="s">
        <v>1476</v>
      </c>
      <c r="G285" t="s">
        <v>1477</v>
      </c>
      <c r="H285" t="s">
        <v>2269</v>
      </c>
      <c r="I285" t="s">
        <v>4460</v>
      </c>
      <c r="J285" t="s">
        <v>3004</v>
      </c>
      <c r="K285" t="s">
        <v>3005</v>
      </c>
      <c r="M285">
        <v>50</v>
      </c>
      <c r="N285">
        <v>70</v>
      </c>
      <c r="O285" t="s">
        <v>2437</v>
      </c>
      <c r="P285" t="s">
        <v>2437</v>
      </c>
      <c r="R285" t="s">
        <v>2437</v>
      </c>
      <c r="T285" t="s">
        <v>2437</v>
      </c>
      <c r="U285" t="s">
        <v>2437</v>
      </c>
      <c r="V285" t="s">
        <v>2437</v>
      </c>
      <c r="Y285" t="s">
        <v>6948</v>
      </c>
      <c r="Z285" t="s">
        <v>6949</v>
      </c>
      <c r="AA285" t="s">
        <v>6950</v>
      </c>
      <c r="AB285" t="s">
        <v>6951</v>
      </c>
      <c r="AC285" t="s">
        <v>6952</v>
      </c>
      <c r="AD285" t="s">
        <v>6953</v>
      </c>
      <c r="AE285" t="s">
        <v>6954</v>
      </c>
      <c r="AF285" t="s">
        <v>6955</v>
      </c>
      <c r="AG285" t="s">
        <v>6956</v>
      </c>
      <c r="AH285" t="s">
        <v>6957</v>
      </c>
      <c r="AI285" t="s">
        <v>6958</v>
      </c>
      <c r="AJ285" t="s">
        <v>6959</v>
      </c>
      <c r="AR285" t="s">
        <v>4284</v>
      </c>
    </row>
    <row r="286" spans="1:44">
      <c r="A286">
        <v>11118532</v>
      </c>
      <c r="B286" t="s">
        <v>380</v>
      </c>
      <c r="C286" t="s">
        <v>1051</v>
      </c>
      <c r="D286" t="s">
        <v>1682</v>
      </c>
      <c r="E286" t="s">
        <v>1683</v>
      </c>
      <c r="F286" t="s">
        <v>1526</v>
      </c>
      <c r="G286" t="s">
        <v>1527</v>
      </c>
      <c r="H286" t="s">
        <v>2270</v>
      </c>
      <c r="I286" t="s">
        <v>4461</v>
      </c>
      <c r="J286" t="s">
        <v>3006</v>
      </c>
      <c r="K286" t="s">
        <v>3007</v>
      </c>
      <c r="M286">
        <v>60</v>
      </c>
      <c r="N286">
        <v>70</v>
      </c>
      <c r="O286" t="s">
        <v>2437</v>
      </c>
      <c r="P286" t="s">
        <v>2437</v>
      </c>
      <c r="R286" t="s">
        <v>2437</v>
      </c>
      <c r="T286" t="s">
        <v>2437</v>
      </c>
      <c r="U286" t="s">
        <v>2437</v>
      </c>
      <c r="V286" t="s">
        <v>2437</v>
      </c>
      <c r="Y286" t="s">
        <v>6948</v>
      </c>
      <c r="Z286" t="s">
        <v>6949</v>
      </c>
      <c r="AA286" t="s">
        <v>6950</v>
      </c>
      <c r="AB286" t="s">
        <v>6951</v>
      </c>
      <c r="AC286" t="s">
        <v>6952</v>
      </c>
      <c r="AD286" t="s">
        <v>6953</v>
      </c>
      <c r="AE286" t="s">
        <v>6961</v>
      </c>
      <c r="AF286" t="s">
        <v>6962</v>
      </c>
      <c r="AG286" t="s">
        <v>6963</v>
      </c>
      <c r="AH286" t="s">
        <v>6964</v>
      </c>
      <c r="AI286" t="s">
        <v>6965</v>
      </c>
      <c r="AJ286" t="s">
        <v>6966</v>
      </c>
      <c r="AR286" t="s">
        <v>4284</v>
      </c>
    </row>
    <row r="287" spans="1:44">
      <c r="A287">
        <v>11118533</v>
      </c>
      <c r="B287" t="s">
        <v>381</v>
      </c>
      <c r="C287" t="s">
        <v>1052</v>
      </c>
      <c r="D287" t="s">
        <v>1682</v>
      </c>
      <c r="E287" t="s">
        <v>1683</v>
      </c>
      <c r="F287" t="s">
        <v>1526</v>
      </c>
      <c r="G287" t="s">
        <v>1527</v>
      </c>
      <c r="H287" t="s">
        <v>2271</v>
      </c>
      <c r="I287" t="s">
        <v>4380</v>
      </c>
      <c r="J287" t="s">
        <v>3008</v>
      </c>
      <c r="K287" t="s">
        <v>3009</v>
      </c>
      <c r="M287">
        <v>60</v>
      </c>
      <c r="N287">
        <v>70</v>
      </c>
      <c r="O287" t="s">
        <v>2437</v>
      </c>
      <c r="P287" t="s">
        <v>2437</v>
      </c>
      <c r="R287" t="s">
        <v>2437</v>
      </c>
      <c r="T287" t="s">
        <v>2437</v>
      </c>
      <c r="U287" t="s">
        <v>2437</v>
      </c>
      <c r="V287" t="s">
        <v>2437</v>
      </c>
      <c r="Y287" t="s">
        <v>6948</v>
      </c>
      <c r="Z287" t="s">
        <v>6949</v>
      </c>
      <c r="AA287" t="s">
        <v>6950</v>
      </c>
      <c r="AB287" t="s">
        <v>6951</v>
      </c>
      <c r="AC287" t="s">
        <v>6952</v>
      </c>
      <c r="AD287" t="s">
        <v>6953</v>
      </c>
      <c r="AE287" t="s">
        <v>6961</v>
      </c>
      <c r="AF287" t="s">
        <v>6962</v>
      </c>
      <c r="AG287" t="s">
        <v>6963</v>
      </c>
      <c r="AH287" t="s">
        <v>6964</v>
      </c>
      <c r="AI287" t="s">
        <v>6965</v>
      </c>
      <c r="AJ287" t="s">
        <v>6966</v>
      </c>
      <c r="AR287" t="s">
        <v>4284</v>
      </c>
    </row>
    <row r="288" spans="1:44">
      <c r="A288">
        <v>11118534</v>
      </c>
      <c r="B288" t="s">
        <v>382</v>
      </c>
      <c r="C288" t="s">
        <v>1053</v>
      </c>
      <c r="D288" t="s">
        <v>1682</v>
      </c>
      <c r="E288" t="s">
        <v>1683</v>
      </c>
      <c r="F288" t="s">
        <v>1526</v>
      </c>
      <c r="G288" t="s">
        <v>1527</v>
      </c>
      <c r="H288" t="s">
        <v>2272</v>
      </c>
      <c r="I288" t="s">
        <v>4462</v>
      </c>
      <c r="J288" t="s">
        <v>3010</v>
      </c>
      <c r="K288" t="s">
        <v>3011</v>
      </c>
      <c r="M288">
        <v>60</v>
      </c>
      <c r="N288">
        <v>70</v>
      </c>
      <c r="O288" t="s">
        <v>2437</v>
      </c>
      <c r="P288" t="s">
        <v>2437</v>
      </c>
      <c r="R288" t="s">
        <v>2437</v>
      </c>
      <c r="T288" t="s">
        <v>2437</v>
      </c>
      <c r="U288" t="s">
        <v>2437</v>
      </c>
      <c r="V288" t="s">
        <v>2437</v>
      </c>
      <c r="Y288" t="s">
        <v>6948</v>
      </c>
      <c r="Z288" t="s">
        <v>6949</v>
      </c>
      <c r="AA288" t="s">
        <v>6950</v>
      </c>
      <c r="AB288" t="s">
        <v>6951</v>
      </c>
      <c r="AC288" t="s">
        <v>6952</v>
      </c>
      <c r="AD288" t="s">
        <v>6953</v>
      </c>
      <c r="AE288" t="s">
        <v>6961</v>
      </c>
      <c r="AF288" t="s">
        <v>6962</v>
      </c>
      <c r="AG288" t="s">
        <v>6963</v>
      </c>
      <c r="AH288" t="s">
        <v>6964</v>
      </c>
      <c r="AI288" t="s">
        <v>6965</v>
      </c>
      <c r="AJ288" t="s">
        <v>6966</v>
      </c>
      <c r="AR288" t="s">
        <v>4284</v>
      </c>
    </row>
    <row r="289" spans="1:44">
      <c r="A289">
        <v>11118535</v>
      </c>
      <c r="B289" t="s">
        <v>383</v>
      </c>
      <c r="C289" t="s">
        <v>971</v>
      </c>
      <c r="D289" t="s">
        <v>1682</v>
      </c>
      <c r="E289" t="s">
        <v>1683</v>
      </c>
      <c r="F289" t="s">
        <v>1526</v>
      </c>
      <c r="G289" t="s">
        <v>1527</v>
      </c>
      <c r="H289" t="s">
        <v>2273</v>
      </c>
      <c r="I289" t="s">
        <v>4463</v>
      </c>
      <c r="J289" t="s">
        <v>3012</v>
      </c>
      <c r="K289" t="s">
        <v>3013</v>
      </c>
      <c r="M289">
        <v>60</v>
      </c>
      <c r="N289">
        <v>70</v>
      </c>
      <c r="O289" t="s">
        <v>2437</v>
      </c>
      <c r="P289" t="s">
        <v>2437</v>
      </c>
      <c r="R289" t="s">
        <v>2437</v>
      </c>
      <c r="T289" t="s">
        <v>2437</v>
      </c>
      <c r="U289" t="s">
        <v>2437</v>
      </c>
      <c r="V289" t="s">
        <v>2437</v>
      </c>
      <c r="Y289" t="s">
        <v>6948</v>
      </c>
      <c r="Z289" t="s">
        <v>6949</v>
      </c>
      <c r="AA289" t="s">
        <v>6950</v>
      </c>
      <c r="AB289" t="s">
        <v>6951</v>
      </c>
      <c r="AC289" t="s">
        <v>6952</v>
      </c>
      <c r="AD289" t="s">
        <v>6953</v>
      </c>
      <c r="AE289" t="s">
        <v>6961</v>
      </c>
      <c r="AF289" t="s">
        <v>6962</v>
      </c>
      <c r="AG289" t="s">
        <v>6963</v>
      </c>
      <c r="AH289" t="s">
        <v>6964</v>
      </c>
      <c r="AI289" t="s">
        <v>6965</v>
      </c>
      <c r="AJ289" t="s">
        <v>6966</v>
      </c>
      <c r="AR289" t="s">
        <v>4284</v>
      </c>
    </row>
    <row r="290" spans="1:44">
      <c r="A290">
        <v>11118536</v>
      </c>
      <c r="B290" t="s">
        <v>384</v>
      </c>
      <c r="C290" t="s">
        <v>969</v>
      </c>
      <c r="D290" t="s">
        <v>1682</v>
      </c>
      <c r="E290" t="s">
        <v>1683</v>
      </c>
      <c r="F290" t="s">
        <v>1526</v>
      </c>
      <c r="G290" t="s">
        <v>1527</v>
      </c>
      <c r="H290" t="s">
        <v>2274</v>
      </c>
      <c r="I290" t="s">
        <v>4464</v>
      </c>
      <c r="J290" t="s">
        <v>3014</v>
      </c>
      <c r="K290" t="s">
        <v>3015</v>
      </c>
      <c r="M290">
        <v>60</v>
      </c>
      <c r="N290">
        <v>70</v>
      </c>
      <c r="O290" t="s">
        <v>2437</v>
      </c>
      <c r="P290" t="s">
        <v>2437</v>
      </c>
      <c r="R290" t="s">
        <v>2437</v>
      </c>
      <c r="T290" t="s">
        <v>2437</v>
      </c>
      <c r="U290" t="s">
        <v>2437</v>
      </c>
      <c r="V290" t="s">
        <v>2437</v>
      </c>
      <c r="Y290" t="s">
        <v>6948</v>
      </c>
      <c r="Z290" t="s">
        <v>6949</v>
      </c>
      <c r="AA290" t="s">
        <v>6950</v>
      </c>
      <c r="AB290" t="s">
        <v>6951</v>
      </c>
      <c r="AC290" t="s">
        <v>6952</v>
      </c>
      <c r="AD290" t="s">
        <v>6953</v>
      </c>
      <c r="AE290" t="s">
        <v>6961</v>
      </c>
      <c r="AF290" t="s">
        <v>6962</v>
      </c>
      <c r="AG290" t="s">
        <v>6963</v>
      </c>
      <c r="AH290" t="s">
        <v>6964</v>
      </c>
      <c r="AI290" t="s">
        <v>6965</v>
      </c>
      <c r="AJ290" t="s">
        <v>6966</v>
      </c>
      <c r="AR290" t="s">
        <v>4284</v>
      </c>
    </row>
    <row r="291" spans="1:44">
      <c r="A291">
        <v>11118537</v>
      </c>
      <c r="B291" t="s">
        <v>385</v>
      </c>
      <c r="C291" t="s">
        <v>967</v>
      </c>
      <c r="D291" t="s">
        <v>1682</v>
      </c>
      <c r="E291" t="s">
        <v>1683</v>
      </c>
      <c r="F291" t="s">
        <v>1526</v>
      </c>
      <c r="G291" t="s">
        <v>1527</v>
      </c>
      <c r="H291" t="s">
        <v>2275</v>
      </c>
      <c r="I291" t="s">
        <v>4343</v>
      </c>
      <c r="J291" t="s">
        <v>3016</v>
      </c>
      <c r="K291" t="s">
        <v>3017</v>
      </c>
      <c r="M291">
        <v>60</v>
      </c>
      <c r="N291">
        <v>70</v>
      </c>
      <c r="O291" t="s">
        <v>2437</v>
      </c>
      <c r="P291" t="s">
        <v>2437</v>
      </c>
      <c r="R291" t="s">
        <v>2437</v>
      </c>
      <c r="T291" t="s">
        <v>2437</v>
      </c>
      <c r="U291" t="s">
        <v>2437</v>
      </c>
      <c r="V291" t="s">
        <v>2437</v>
      </c>
      <c r="Y291" t="s">
        <v>6948</v>
      </c>
      <c r="Z291" t="s">
        <v>6949</v>
      </c>
      <c r="AA291" t="s">
        <v>6950</v>
      </c>
      <c r="AB291" t="s">
        <v>6951</v>
      </c>
      <c r="AC291" t="s">
        <v>6952</v>
      </c>
      <c r="AD291" t="s">
        <v>6953</v>
      </c>
      <c r="AE291" t="s">
        <v>6961</v>
      </c>
      <c r="AF291" t="s">
        <v>6962</v>
      </c>
      <c r="AG291" t="s">
        <v>6963</v>
      </c>
      <c r="AH291" t="s">
        <v>6964</v>
      </c>
      <c r="AI291" t="s">
        <v>6965</v>
      </c>
      <c r="AJ291" t="s">
        <v>6966</v>
      </c>
      <c r="AR291" t="s">
        <v>4284</v>
      </c>
    </row>
    <row r="292" spans="1:44">
      <c r="A292">
        <v>11118538</v>
      </c>
      <c r="B292" t="s">
        <v>386</v>
      </c>
      <c r="C292" t="s">
        <v>970</v>
      </c>
      <c r="D292" t="s">
        <v>1676</v>
      </c>
      <c r="E292" t="s">
        <v>1677</v>
      </c>
      <c r="F292" t="s">
        <v>1476</v>
      </c>
      <c r="G292" t="s">
        <v>1477</v>
      </c>
      <c r="H292" t="s">
        <v>2276</v>
      </c>
      <c r="I292" t="s">
        <v>4314</v>
      </c>
      <c r="J292" t="s">
        <v>3018</v>
      </c>
      <c r="K292" t="s">
        <v>3019</v>
      </c>
      <c r="M292">
        <v>60</v>
      </c>
      <c r="N292">
        <v>70</v>
      </c>
      <c r="O292" t="s">
        <v>2437</v>
      </c>
      <c r="P292" t="s">
        <v>2437</v>
      </c>
      <c r="R292" t="s">
        <v>2437</v>
      </c>
      <c r="T292" t="s">
        <v>2437</v>
      </c>
      <c r="U292" t="s">
        <v>2437</v>
      </c>
      <c r="V292" t="s">
        <v>2437</v>
      </c>
      <c r="Y292" t="s">
        <v>6948</v>
      </c>
      <c r="Z292" t="s">
        <v>6949</v>
      </c>
      <c r="AA292" t="s">
        <v>6950</v>
      </c>
      <c r="AB292" t="s">
        <v>6951</v>
      </c>
      <c r="AC292" t="s">
        <v>6952</v>
      </c>
      <c r="AD292" t="s">
        <v>6953</v>
      </c>
      <c r="AE292" t="s">
        <v>6961</v>
      </c>
      <c r="AF292" t="s">
        <v>6962</v>
      </c>
      <c r="AG292" t="s">
        <v>6963</v>
      </c>
      <c r="AH292" t="s">
        <v>6964</v>
      </c>
      <c r="AI292" t="s">
        <v>6965</v>
      </c>
      <c r="AJ292" t="s">
        <v>6966</v>
      </c>
      <c r="AR292" t="s">
        <v>4284</v>
      </c>
    </row>
    <row r="293" spans="1:44">
      <c r="A293">
        <v>11118539</v>
      </c>
      <c r="B293" t="s">
        <v>387</v>
      </c>
      <c r="C293" t="s">
        <v>972</v>
      </c>
      <c r="D293" t="s">
        <v>1676</v>
      </c>
      <c r="E293" t="s">
        <v>1677</v>
      </c>
      <c r="F293" t="s">
        <v>1476</v>
      </c>
      <c r="G293" t="s">
        <v>1477</v>
      </c>
      <c r="H293" t="s">
        <v>2223</v>
      </c>
      <c r="I293" t="s">
        <v>4315</v>
      </c>
      <c r="J293" t="s">
        <v>3020</v>
      </c>
      <c r="K293" t="s">
        <v>3021</v>
      </c>
      <c r="M293">
        <v>60</v>
      </c>
      <c r="N293">
        <v>70</v>
      </c>
      <c r="O293" t="s">
        <v>2437</v>
      </c>
      <c r="P293" t="s">
        <v>2437</v>
      </c>
      <c r="R293" t="s">
        <v>2437</v>
      </c>
      <c r="T293" t="s">
        <v>2437</v>
      </c>
      <c r="U293" t="s">
        <v>2437</v>
      </c>
      <c r="V293" t="s">
        <v>2437</v>
      </c>
      <c r="Y293" t="s">
        <v>6948</v>
      </c>
      <c r="Z293" t="s">
        <v>6949</v>
      </c>
      <c r="AA293" t="s">
        <v>6950</v>
      </c>
      <c r="AB293" t="s">
        <v>6951</v>
      </c>
      <c r="AC293" t="s">
        <v>6952</v>
      </c>
      <c r="AD293" t="s">
        <v>6953</v>
      </c>
      <c r="AE293" t="s">
        <v>6961</v>
      </c>
      <c r="AF293" t="s">
        <v>6962</v>
      </c>
      <c r="AG293" t="s">
        <v>6963</v>
      </c>
      <c r="AH293" t="s">
        <v>6964</v>
      </c>
      <c r="AI293" t="s">
        <v>6965</v>
      </c>
      <c r="AJ293" t="s">
        <v>6966</v>
      </c>
      <c r="AR293" t="s">
        <v>4284</v>
      </c>
    </row>
    <row r="294" spans="1:44">
      <c r="A294">
        <v>11118540</v>
      </c>
      <c r="B294" t="s">
        <v>388</v>
      </c>
      <c r="C294" t="s">
        <v>973</v>
      </c>
      <c r="D294" t="s">
        <v>1676</v>
      </c>
      <c r="E294" t="s">
        <v>1677</v>
      </c>
      <c r="F294" t="s">
        <v>1476</v>
      </c>
      <c r="G294" t="s">
        <v>1477</v>
      </c>
      <c r="H294" t="s">
        <v>2277</v>
      </c>
      <c r="I294" t="s">
        <v>4316</v>
      </c>
      <c r="J294" t="s">
        <v>3022</v>
      </c>
      <c r="K294" t="s">
        <v>3023</v>
      </c>
      <c r="M294">
        <v>60</v>
      </c>
      <c r="N294">
        <v>70</v>
      </c>
      <c r="O294" t="s">
        <v>2437</v>
      </c>
      <c r="P294" t="s">
        <v>2437</v>
      </c>
      <c r="R294" t="s">
        <v>2437</v>
      </c>
      <c r="T294" t="s">
        <v>2437</v>
      </c>
      <c r="U294" t="s">
        <v>2437</v>
      </c>
      <c r="V294" t="s">
        <v>2437</v>
      </c>
      <c r="Y294" t="s">
        <v>6948</v>
      </c>
      <c r="Z294" t="s">
        <v>6949</v>
      </c>
      <c r="AA294" t="s">
        <v>6950</v>
      </c>
      <c r="AB294" t="s">
        <v>6951</v>
      </c>
      <c r="AC294" t="s">
        <v>6952</v>
      </c>
      <c r="AD294" t="s">
        <v>6953</v>
      </c>
      <c r="AE294" t="s">
        <v>6961</v>
      </c>
      <c r="AF294" t="s">
        <v>6962</v>
      </c>
      <c r="AG294" t="s">
        <v>6963</v>
      </c>
      <c r="AH294" t="s">
        <v>6964</v>
      </c>
      <c r="AI294" t="s">
        <v>6965</v>
      </c>
      <c r="AJ294" t="s">
        <v>6966</v>
      </c>
      <c r="AR294" t="s">
        <v>4284</v>
      </c>
    </row>
    <row r="295" spans="1:44">
      <c r="A295">
        <v>11118541</v>
      </c>
      <c r="B295" t="s">
        <v>389</v>
      </c>
      <c r="C295" t="s">
        <v>974</v>
      </c>
      <c r="D295" t="s">
        <v>1676</v>
      </c>
      <c r="E295" t="s">
        <v>1677</v>
      </c>
      <c r="F295" t="s">
        <v>1476</v>
      </c>
      <c r="G295" t="s">
        <v>1477</v>
      </c>
      <c r="H295" t="s">
        <v>2278</v>
      </c>
      <c r="I295" t="s">
        <v>4317</v>
      </c>
      <c r="J295" t="s">
        <v>3024</v>
      </c>
      <c r="K295" t="s">
        <v>3025</v>
      </c>
      <c r="M295">
        <v>60</v>
      </c>
      <c r="N295">
        <v>70</v>
      </c>
      <c r="O295" t="s">
        <v>2437</v>
      </c>
      <c r="P295" t="s">
        <v>2437</v>
      </c>
      <c r="R295" t="s">
        <v>2437</v>
      </c>
      <c r="T295" t="s">
        <v>2437</v>
      </c>
      <c r="U295" t="s">
        <v>2437</v>
      </c>
      <c r="V295" t="s">
        <v>2437</v>
      </c>
      <c r="Y295" t="s">
        <v>6948</v>
      </c>
      <c r="Z295" t="s">
        <v>6949</v>
      </c>
      <c r="AA295" t="s">
        <v>6950</v>
      </c>
      <c r="AB295" t="s">
        <v>6951</v>
      </c>
      <c r="AC295" t="s">
        <v>6952</v>
      </c>
      <c r="AD295" t="s">
        <v>6953</v>
      </c>
      <c r="AE295" t="s">
        <v>6961</v>
      </c>
      <c r="AF295" t="s">
        <v>6962</v>
      </c>
      <c r="AG295" t="s">
        <v>6963</v>
      </c>
      <c r="AH295" t="s">
        <v>6964</v>
      </c>
      <c r="AI295" t="s">
        <v>6965</v>
      </c>
      <c r="AJ295" t="s">
        <v>6966</v>
      </c>
      <c r="AR295" t="s">
        <v>4284</v>
      </c>
    </row>
    <row r="296" spans="1:44">
      <c r="A296">
        <v>11118542</v>
      </c>
      <c r="B296" t="s">
        <v>390</v>
      </c>
      <c r="C296" t="s">
        <v>1064</v>
      </c>
      <c r="D296" t="s">
        <v>1676</v>
      </c>
      <c r="E296" t="s">
        <v>1677</v>
      </c>
      <c r="F296" t="s">
        <v>1476</v>
      </c>
      <c r="G296" t="s">
        <v>1477</v>
      </c>
      <c r="H296" t="s">
        <v>2224</v>
      </c>
      <c r="I296" t="s">
        <v>4312</v>
      </c>
      <c r="J296" t="s">
        <v>3026</v>
      </c>
      <c r="K296" t="s">
        <v>3027</v>
      </c>
      <c r="M296">
        <v>60</v>
      </c>
      <c r="N296">
        <v>70</v>
      </c>
      <c r="O296" t="s">
        <v>2437</v>
      </c>
      <c r="P296" t="s">
        <v>2437</v>
      </c>
      <c r="R296" t="s">
        <v>2437</v>
      </c>
      <c r="T296" t="s">
        <v>2437</v>
      </c>
      <c r="U296" t="s">
        <v>2437</v>
      </c>
      <c r="V296" t="s">
        <v>2437</v>
      </c>
      <c r="Y296" t="s">
        <v>6948</v>
      </c>
      <c r="Z296" t="s">
        <v>6949</v>
      </c>
      <c r="AA296" t="s">
        <v>6950</v>
      </c>
      <c r="AB296" t="s">
        <v>6951</v>
      </c>
      <c r="AC296" t="s">
        <v>6952</v>
      </c>
      <c r="AD296" t="s">
        <v>6953</v>
      </c>
      <c r="AE296" t="s">
        <v>6961</v>
      </c>
      <c r="AF296" t="s">
        <v>6962</v>
      </c>
      <c r="AG296" t="s">
        <v>6963</v>
      </c>
      <c r="AH296" t="s">
        <v>6964</v>
      </c>
      <c r="AI296" t="s">
        <v>6965</v>
      </c>
      <c r="AJ296" t="s">
        <v>6966</v>
      </c>
      <c r="AR296" t="s">
        <v>4284</v>
      </c>
    </row>
    <row r="297" spans="1:44">
      <c r="A297">
        <v>11118544</v>
      </c>
      <c r="B297" t="s">
        <v>391</v>
      </c>
      <c r="C297" t="s">
        <v>1038</v>
      </c>
      <c r="D297" t="s">
        <v>1684</v>
      </c>
      <c r="E297" t="s">
        <v>1685</v>
      </c>
      <c r="F297" t="s">
        <v>1596</v>
      </c>
      <c r="G297" t="s">
        <v>1597</v>
      </c>
      <c r="H297" t="s">
        <v>2215</v>
      </c>
      <c r="I297" t="s">
        <v>4408</v>
      </c>
      <c r="J297" t="s">
        <v>3028</v>
      </c>
      <c r="K297" t="s">
        <v>3029</v>
      </c>
      <c r="M297">
        <v>60</v>
      </c>
      <c r="N297">
        <v>70</v>
      </c>
      <c r="O297" t="s">
        <v>2437</v>
      </c>
      <c r="P297" t="s">
        <v>2437</v>
      </c>
      <c r="R297" t="s">
        <v>2437</v>
      </c>
      <c r="T297" t="s">
        <v>2437</v>
      </c>
      <c r="U297" t="s">
        <v>2437</v>
      </c>
      <c r="V297" t="s">
        <v>2437</v>
      </c>
      <c r="Y297" t="s">
        <v>6948</v>
      </c>
      <c r="Z297" t="s">
        <v>6949</v>
      </c>
      <c r="AA297" t="s">
        <v>6950</v>
      </c>
      <c r="AB297" t="s">
        <v>6951</v>
      </c>
      <c r="AC297" t="s">
        <v>6952</v>
      </c>
      <c r="AD297" t="s">
        <v>6953</v>
      </c>
      <c r="AE297" t="s">
        <v>6961</v>
      </c>
      <c r="AF297" t="s">
        <v>6962</v>
      </c>
      <c r="AG297" t="s">
        <v>6963</v>
      </c>
      <c r="AH297" t="s">
        <v>6964</v>
      </c>
      <c r="AI297" t="s">
        <v>6965</v>
      </c>
      <c r="AJ297" t="s">
        <v>6966</v>
      </c>
      <c r="AR297" t="s">
        <v>4284</v>
      </c>
    </row>
    <row r="298" spans="1:44">
      <c r="A298">
        <v>11118545</v>
      </c>
      <c r="B298" t="s">
        <v>392</v>
      </c>
      <c r="C298" t="s">
        <v>1039</v>
      </c>
      <c r="D298" t="s">
        <v>1684</v>
      </c>
      <c r="E298" t="s">
        <v>1685</v>
      </c>
      <c r="F298" t="s">
        <v>1596</v>
      </c>
      <c r="G298" t="s">
        <v>1597</v>
      </c>
      <c r="H298" t="s">
        <v>2185</v>
      </c>
      <c r="I298" t="s">
        <v>4389</v>
      </c>
      <c r="J298" t="s">
        <v>3030</v>
      </c>
      <c r="K298" t="s">
        <v>3031</v>
      </c>
      <c r="M298">
        <v>60</v>
      </c>
      <c r="N298">
        <v>70</v>
      </c>
      <c r="O298" t="s">
        <v>2437</v>
      </c>
      <c r="P298" t="s">
        <v>2437</v>
      </c>
      <c r="R298" t="s">
        <v>2437</v>
      </c>
      <c r="T298" t="s">
        <v>2437</v>
      </c>
      <c r="U298" t="s">
        <v>2437</v>
      </c>
      <c r="V298" t="s">
        <v>2437</v>
      </c>
      <c r="Y298" t="s">
        <v>6948</v>
      </c>
      <c r="Z298" t="s">
        <v>6949</v>
      </c>
      <c r="AA298" t="s">
        <v>6950</v>
      </c>
      <c r="AB298" t="s">
        <v>6951</v>
      </c>
      <c r="AC298" t="s">
        <v>6952</v>
      </c>
      <c r="AD298" t="s">
        <v>6953</v>
      </c>
      <c r="AE298" t="s">
        <v>6961</v>
      </c>
      <c r="AF298" t="s">
        <v>6962</v>
      </c>
      <c r="AG298" t="s">
        <v>6963</v>
      </c>
      <c r="AH298" t="s">
        <v>6964</v>
      </c>
      <c r="AI298" t="s">
        <v>6965</v>
      </c>
      <c r="AJ298" t="s">
        <v>6966</v>
      </c>
      <c r="AR298" t="s">
        <v>4284</v>
      </c>
    </row>
    <row r="299" spans="1:44">
      <c r="A299">
        <v>11118546</v>
      </c>
      <c r="B299" t="s">
        <v>393</v>
      </c>
      <c r="C299" t="s">
        <v>1040</v>
      </c>
      <c r="D299" t="s">
        <v>1684</v>
      </c>
      <c r="E299" t="s">
        <v>1685</v>
      </c>
      <c r="F299" t="s">
        <v>1596</v>
      </c>
      <c r="G299" t="s">
        <v>1597</v>
      </c>
      <c r="H299" t="s">
        <v>2279</v>
      </c>
      <c r="I299" t="s">
        <v>4465</v>
      </c>
      <c r="J299" t="s">
        <v>3032</v>
      </c>
      <c r="K299" t="s">
        <v>3033</v>
      </c>
      <c r="M299">
        <v>60</v>
      </c>
      <c r="N299">
        <v>70</v>
      </c>
      <c r="O299" t="s">
        <v>2437</v>
      </c>
      <c r="P299" t="s">
        <v>2437</v>
      </c>
      <c r="R299" t="s">
        <v>2437</v>
      </c>
      <c r="T299" t="s">
        <v>2437</v>
      </c>
      <c r="U299" t="s">
        <v>2437</v>
      </c>
      <c r="V299" t="s">
        <v>2437</v>
      </c>
      <c r="Y299" t="s">
        <v>6948</v>
      </c>
      <c r="Z299" t="s">
        <v>6949</v>
      </c>
      <c r="AA299" t="s">
        <v>6950</v>
      </c>
      <c r="AB299" t="s">
        <v>6951</v>
      </c>
      <c r="AC299" t="s">
        <v>6952</v>
      </c>
      <c r="AD299" t="s">
        <v>6953</v>
      </c>
      <c r="AE299" t="s">
        <v>6961</v>
      </c>
      <c r="AF299" t="s">
        <v>6962</v>
      </c>
      <c r="AG299" t="s">
        <v>6963</v>
      </c>
      <c r="AH299" t="s">
        <v>6964</v>
      </c>
      <c r="AI299" t="s">
        <v>6965</v>
      </c>
      <c r="AJ299" t="s">
        <v>6966</v>
      </c>
      <c r="AR299" t="s">
        <v>4284</v>
      </c>
    </row>
    <row r="300" spans="1:44">
      <c r="A300">
        <v>11118547</v>
      </c>
      <c r="B300" t="s">
        <v>394</v>
      </c>
      <c r="C300" t="s">
        <v>1041</v>
      </c>
      <c r="D300" t="s">
        <v>1684</v>
      </c>
      <c r="E300" t="s">
        <v>1685</v>
      </c>
      <c r="F300" t="s">
        <v>1596</v>
      </c>
      <c r="G300" t="s">
        <v>1597</v>
      </c>
      <c r="H300" t="s">
        <v>2186</v>
      </c>
      <c r="I300" t="s">
        <v>4390</v>
      </c>
      <c r="J300" t="s">
        <v>3034</v>
      </c>
      <c r="K300" t="s">
        <v>3035</v>
      </c>
      <c r="M300">
        <v>60</v>
      </c>
      <c r="N300">
        <v>70</v>
      </c>
      <c r="O300" t="s">
        <v>2437</v>
      </c>
      <c r="P300" t="s">
        <v>2437</v>
      </c>
      <c r="R300" t="s">
        <v>2437</v>
      </c>
      <c r="T300" t="s">
        <v>2437</v>
      </c>
      <c r="U300" t="s">
        <v>2437</v>
      </c>
      <c r="V300" t="s">
        <v>2437</v>
      </c>
      <c r="Y300" t="s">
        <v>6948</v>
      </c>
      <c r="Z300" t="s">
        <v>6949</v>
      </c>
      <c r="AA300" t="s">
        <v>6950</v>
      </c>
      <c r="AB300" t="s">
        <v>6951</v>
      </c>
      <c r="AC300" t="s">
        <v>6952</v>
      </c>
      <c r="AD300" t="s">
        <v>6953</v>
      </c>
      <c r="AE300" t="s">
        <v>6961</v>
      </c>
      <c r="AF300" t="s">
        <v>6962</v>
      </c>
      <c r="AG300" t="s">
        <v>6963</v>
      </c>
      <c r="AH300" t="s">
        <v>6964</v>
      </c>
      <c r="AI300" t="s">
        <v>6965</v>
      </c>
      <c r="AJ300" t="s">
        <v>6966</v>
      </c>
      <c r="AR300" t="s">
        <v>4284</v>
      </c>
    </row>
    <row r="301" spans="1:44">
      <c r="A301">
        <v>11118548</v>
      </c>
      <c r="B301" t="s">
        <v>395</v>
      </c>
      <c r="C301" t="s">
        <v>1141</v>
      </c>
      <c r="D301" t="s">
        <v>1684</v>
      </c>
      <c r="E301" t="s">
        <v>1685</v>
      </c>
      <c r="F301" t="s">
        <v>1596</v>
      </c>
      <c r="G301" t="s">
        <v>1597</v>
      </c>
      <c r="H301" t="s">
        <v>2216</v>
      </c>
      <c r="I301" t="s">
        <v>4409</v>
      </c>
      <c r="J301" t="s">
        <v>3036</v>
      </c>
      <c r="K301" t="s">
        <v>3037</v>
      </c>
      <c r="M301">
        <v>60</v>
      </c>
      <c r="N301">
        <v>70</v>
      </c>
      <c r="O301" t="s">
        <v>2437</v>
      </c>
      <c r="P301" t="s">
        <v>2437</v>
      </c>
      <c r="R301" t="s">
        <v>2437</v>
      </c>
      <c r="T301" t="s">
        <v>2437</v>
      </c>
      <c r="U301" t="s">
        <v>2437</v>
      </c>
      <c r="V301" t="s">
        <v>2437</v>
      </c>
      <c r="Y301" t="s">
        <v>6948</v>
      </c>
      <c r="Z301" t="s">
        <v>6949</v>
      </c>
      <c r="AA301" t="s">
        <v>6950</v>
      </c>
      <c r="AB301" t="s">
        <v>6951</v>
      </c>
      <c r="AC301" t="s">
        <v>6952</v>
      </c>
      <c r="AD301" t="s">
        <v>6953</v>
      </c>
      <c r="AE301" t="s">
        <v>6961</v>
      </c>
      <c r="AF301" t="s">
        <v>6962</v>
      </c>
      <c r="AG301" t="s">
        <v>6963</v>
      </c>
      <c r="AH301" t="s">
        <v>6964</v>
      </c>
      <c r="AI301" t="s">
        <v>6965</v>
      </c>
      <c r="AJ301" t="s">
        <v>6966</v>
      </c>
      <c r="AR301" t="s">
        <v>4284</v>
      </c>
    </row>
    <row r="302" spans="1:44">
      <c r="A302">
        <v>11118549</v>
      </c>
      <c r="B302" t="s">
        <v>396</v>
      </c>
      <c r="C302" t="s">
        <v>1042</v>
      </c>
      <c r="D302" t="s">
        <v>1684</v>
      </c>
      <c r="E302" t="s">
        <v>1685</v>
      </c>
      <c r="F302" t="s">
        <v>1596</v>
      </c>
      <c r="G302" t="s">
        <v>1597</v>
      </c>
      <c r="H302" t="s">
        <v>2280</v>
      </c>
      <c r="I302" t="s">
        <v>4466</v>
      </c>
      <c r="J302" t="s">
        <v>3038</v>
      </c>
      <c r="K302" t="s">
        <v>3039</v>
      </c>
      <c r="M302">
        <v>60</v>
      </c>
      <c r="N302">
        <v>70</v>
      </c>
      <c r="O302" t="s">
        <v>2437</v>
      </c>
      <c r="P302" t="s">
        <v>2437</v>
      </c>
      <c r="R302" t="s">
        <v>2437</v>
      </c>
      <c r="T302" t="s">
        <v>2437</v>
      </c>
      <c r="U302" t="s">
        <v>2437</v>
      </c>
      <c r="V302" t="s">
        <v>2437</v>
      </c>
      <c r="Y302" t="s">
        <v>6948</v>
      </c>
      <c r="Z302" t="s">
        <v>6949</v>
      </c>
      <c r="AA302" t="s">
        <v>6950</v>
      </c>
      <c r="AB302" t="s">
        <v>6951</v>
      </c>
      <c r="AC302" t="s">
        <v>6952</v>
      </c>
      <c r="AD302" t="s">
        <v>6953</v>
      </c>
      <c r="AE302" t="s">
        <v>6961</v>
      </c>
      <c r="AF302" t="s">
        <v>6962</v>
      </c>
      <c r="AG302" t="s">
        <v>6963</v>
      </c>
      <c r="AH302" t="s">
        <v>6964</v>
      </c>
      <c r="AI302" t="s">
        <v>6965</v>
      </c>
      <c r="AJ302" t="s">
        <v>6966</v>
      </c>
      <c r="AR302" t="s">
        <v>4284</v>
      </c>
    </row>
    <row r="303" spans="1:44">
      <c r="A303">
        <v>11118550</v>
      </c>
      <c r="B303" t="s">
        <v>397</v>
      </c>
      <c r="C303" t="s">
        <v>1043</v>
      </c>
      <c r="D303" t="s">
        <v>1686</v>
      </c>
      <c r="E303" t="s">
        <v>1687</v>
      </c>
      <c r="F303" t="s">
        <v>1688</v>
      </c>
      <c r="G303" t="s">
        <v>1689</v>
      </c>
      <c r="H303" t="s">
        <v>2190</v>
      </c>
      <c r="I303" t="s">
        <v>4410</v>
      </c>
      <c r="J303" t="s">
        <v>3040</v>
      </c>
      <c r="K303" t="s">
        <v>3041</v>
      </c>
      <c r="M303">
        <v>60</v>
      </c>
      <c r="N303">
        <v>70</v>
      </c>
      <c r="O303" t="s">
        <v>2437</v>
      </c>
      <c r="P303" t="s">
        <v>2437</v>
      </c>
      <c r="R303" t="s">
        <v>2437</v>
      </c>
      <c r="T303" t="s">
        <v>2437</v>
      </c>
      <c r="U303" t="s">
        <v>2437</v>
      </c>
      <c r="V303" t="s">
        <v>2437</v>
      </c>
      <c r="Y303" t="s">
        <v>6948</v>
      </c>
      <c r="Z303" t="s">
        <v>6949</v>
      </c>
      <c r="AA303" t="s">
        <v>6950</v>
      </c>
      <c r="AB303" t="s">
        <v>6951</v>
      </c>
      <c r="AC303" t="s">
        <v>6952</v>
      </c>
      <c r="AD303" t="s">
        <v>6953</v>
      </c>
      <c r="AE303" t="s">
        <v>6961</v>
      </c>
      <c r="AF303" t="s">
        <v>6962</v>
      </c>
      <c r="AG303" t="s">
        <v>6963</v>
      </c>
      <c r="AH303" t="s">
        <v>6964</v>
      </c>
      <c r="AI303" t="s">
        <v>6965</v>
      </c>
      <c r="AJ303" t="s">
        <v>6966</v>
      </c>
      <c r="AR303" t="s">
        <v>4284</v>
      </c>
    </row>
    <row r="304" spans="1:44">
      <c r="A304">
        <v>11118551</v>
      </c>
      <c r="B304" t="s">
        <v>398</v>
      </c>
      <c r="C304" t="s">
        <v>1044</v>
      </c>
      <c r="D304" t="s">
        <v>1686</v>
      </c>
      <c r="E304" t="s">
        <v>1687</v>
      </c>
      <c r="F304" t="s">
        <v>1688</v>
      </c>
      <c r="G304" t="s">
        <v>1689</v>
      </c>
      <c r="H304" t="s">
        <v>2187</v>
      </c>
      <c r="I304" t="s">
        <v>4467</v>
      </c>
      <c r="J304" t="s">
        <v>3042</v>
      </c>
      <c r="K304" t="s">
        <v>3043</v>
      </c>
      <c r="M304">
        <v>60</v>
      </c>
      <c r="N304">
        <v>70</v>
      </c>
      <c r="O304" t="s">
        <v>2437</v>
      </c>
      <c r="P304" t="s">
        <v>2437</v>
      </c>
      <c r="R304" t="s">
        <v>2437</v>
      </c>
      <c r="T304" t="s">
        <v>2437</v>
      </c>
      <c r="U304" t="s">
        <v>2437</v>
      </c>
      <c r="V304" t="s">
        <v>2437</v>
      </c>
      <c r="Y304" t="s">
        <v>6948</v>
      </c>
      <c r="Z304" t="s">
        <v>6949</v>
      </c>
      <c r="AA304" t="s">
        <v>6950</v>
      </c>
      <c r="AB304" t="s">
        <v>6951</v>
      </c>
      <c r="AC304" t="s">
        <v>6952</v>
      </c>
      <c r="AD304" t="s">
        <v>6953</v>
      </c>
      <c r="AE304" t="s">
        <v>6961</v>
      </c>
      <c r="AF304" t="s">
        <v>6962</v>
      </c>
      <c r="AG304" t="s">
        <v>6963</v>
      </c>
      <c r="AH304" t="s">
        <v>6964</v>
      </c>
      <c r="AI304" t="s">
        <v>6965</v>
      </c>
      <c r="AJ304" t="s">
        <v>6966</v>
      </c>
      <c r="AR304" t="s">
        <v>4284</v>
      </c>
    </row>
    <row r="305" spans="1:44">
      <c r="A305">
        <v>11118552</v>
      </c>
      <c r="B305" t="s">
        <v>399</v>
      </c>
      <c r="C305" t="s">
        <v>1045</v>
      </c>
      <c r="D305" t="s">
        <v>1686</v>
      </c>
      <c r="E305" t="s">
        <v>1687</v>
      </c>
      <c r="F305" t="s">
        <v>1688</v>
      </c>
      <c r="G305" t="s">
        <v>1689</v>
      </c>
      <c r="H305" t="s">
        <v>2191</v>
      </c>
      <c r="I305" t="s">
        <v>4379</v>
      </c>
      <c r="J305" t="s">
        <v>3044</v>
      </c>
      <c r="K305" t="s">
        <v>3045</v>
      </c>
      <c r="M305">
        <v>60</v>
      </c>
      <c r="N305">
        <v>70</v>
      </c>
      <c r="O305" t="s">
        <v>2437</v>
      </c>
      <c r="P305" t="s">
        <v>2437</v>
      </c>
      <c r="R305" t="s">
        <v>2437</v>
      </c>
      <c r="T305" t="s">
        <v>2437</v>
      </c>
      <c r="U305" t="s">
        <v>2437</v>
      </c>
      <c r="V305" t="s">
        <v>2437</v>
      </c>
      <c r="Y305" t="s">
        <v>6948</v>
      </c>
      <c r="Z305" t="s">
        <v>6949</v>
      </c>
      <c r="AA305" t="s">
        <v>6950</v>
      </c>
      <c r="AB305" t="s">
        <v>6951</v>
      </c>
      <c r="AC305" t="s">
        <v>6952</v>
      </c>
      <c r="AD305" t="s">
        <v>6953</v>
      </c>
      <c r="AE305" t="s">
        <v>6961</v>
      </c>
      <c r="AF305" t="s">
        <v>6962</v>
      </c>
      <c r="AG305" t="s">
        <v>6963</v>
      </c>
      <c r="AH305" t="s">
        <v>6964</v>
      </c>
      <c r="AI305" t="s">
        <v>6965</v>
      </c>
      <c r="AJ305" t="s">
        <v>6966</v>
      </c>
      <c r="AR305" t="s">
        <v>4284</v>
      </c>
    </row>
    <row r="306" spans="1:44">
      <c r="A306">
        <v>11118553</v>
      </c>
      <c r="B306" t="s">
        <v>400</v>
      </c>
      <c r="C306" t="s">
        <v>1046</v>
      </c>
      <c r="D306" t="s">
        <v>1686</v>
      </c>
      <c r="E306" t="s">
        <v>1687</v>
      </c>
      <c r="F306" t="s">
        <v>1688</v>
      </c>
      <c r="G306" t="s">
        <v>1689</v>
      </c>
      <c r="H306" t="s">
        <v>2188</v>
      </c>
      <c r="I306" t="s">
        <v>4378</v>
      </c>
      <c r="J306" t="s">
        <v>3046</v>
      </c>
      <c r="K306" t="s">
        <v>3047</v>
      </c>
      <c r="M306">
        <v>60</v>
      </c>
      <c r="N306">
        <v>70</v>
      </c>
      <c r="O306" t="s">
        <v>2437</v>
      </c>
      <c r="P306" t="s">
        <v>2437</v>
      </c>
      <c r="R306" t="s">
        <v>2437</v>
      </c>
      <c r="T306" t="s">
        <v>2437</v>
      </c>
      <c r="U306" t="s">
        <v>2437</v>
      </c>
      <c r="V306" t="s">
        <v>2437</v>
      </c>
      <c r="Y306" t="s">
        <v>6948</v>
      </c>
      <c r="Z306" t="s">
        <v>6949</v>
      </c>
      <c r="AA306" t="s">
        <v>6950</v>
      </c>
      <c r="AB306" t="s">
        <v>6951</v>
      </c>
      <c r="AC306" t="s">
        <v>6952</v>
      </c>
      <c r="AD306" t="s">
        <v>6953</v>
      </c>
      <c r="AE306" t="s">
        <v>6961</v>
      </c>
      <c r="AF306" t="s">
        <v>6962</v>
      </c>
      <c r="AG306" t="s">
        <v>6963</v>
      </c>
      <c r="AH306" t="s">
        <v>6964</v>
      </c>
      <c r="AI306" t="s">
        <v>6965</v>
      </c>
      <c r="AJ306" t="s">
        <v>6966</v>
      </c>
      <c r="AR306" t="s">
        <v>4284</v>
      </c>
    </row>
    <row r="307" spans="1:44">
      <c r="A307">
        <v>11118554</v>
      </c>
      <c r="B307" t="s">
        <v>401</v>
      </c>
      <c r="C307" t="s">
        <v>1142</v>
      </c>
      <c r="D307" t="s">
        <v>1686</v>
      </c>
      <c r="E307" t="s">
        <v>1687</v>
      </c>
      <c r="F307" t="s">
        <v>1688</v>
      </c>
      <c r="G307" t="s">
        <v>1689</v>
      </c>
      <c r="H307" t="s">
        <v>2192</v>
      </c>
      <c r="I307" t="s">
        <v>4411</v>
      </c>
      <c r="J307" t="s">
        <v>3048</v>
      </c>
      <c r="K307" t="s">
        <v>3049</v>
      </c>
      <c r="M307">
        <v>60</v>
      </c>
      <c r="N307">
        <v>70</v>
      </c>
      <c r="O307" t="s">
        <v>2437</v>
      </c>
      <c r="P307" t="s">
        <v>2437</v>
      </c>
      <c r="R307" t="s">
        <v>2437</v>
      </c>
      <c r="T307" t="s">
        <v>2437</v>
      </c>
      <c r="U307" t="s">
        <v>2437</v>
      </c>
      <c r="V307" t="s">
        <v>2437</v>
      </c>
      <c r="Y307" t="s">
        <v>6948</v>
      </c>
      <c r="Z307" t="s">
        <v>6949</v>
      </c>
      <c r="AA307" t="s">
        <v>6950</v>
      </c>
      <c r="AB307" t="s">
        <v>6951</v>
      </c>
      <c r="AC307" t="s">
        <v>6952</v>
      </c>
      <c r="AD307" t="s">
        <v>6953</v>
      </c>
      <c r="AE307" t="s">
        <v>6961</v>
      </c>
      <c r="AF307" t="s">
        <v>6962</v>
      </c>
      <c r="AG307" t="s">
        <v>6963</v>
      </c>
      <c r="AH307" t="s">
        <v>6964</v>
      </c>
      <c r="AI307" t="s">
        <v>6965</v>
      </c>
      <c r="AJ307" t="s">
        <v>6966</v>
      </c>
      <c r="AR307" t="s">
        <v>4284</v>
      </c>
    </row>
    <row r="308" spans="1:44">
      <c r="A308">
        <v>11118555</v>
      </c>
      <c r="B308" t="s">
        <v>402</v>
      </c>
      <c r="C308" t="s">
        <v>1047</v>
      </c>
      <c r="D308" t="s">
        <v>1686</v>
      </c>
      <c r="E308" t="s">
        <v>1687</v>
      </c>
      <c r="F308" t="s">
        <v>1688</v>
      </c>
      <c r="G308" t="s">
        <v>1689</v>
      </c>
      <c r="H308" t="s">
        <v>2189</v>
      </c>
      <c r="I308" t="s">
        <v>4468</v>
      </c>
      <c r="J308" t="s">
        <v>3050</v>
      </c>
      <c r="K308" t="s">
        <v>3051</v>
      </c>
      <c r="M308">
        <v>60</v>
      </c>
      <c r="N308">
        <v>70</v>
      </c>
      <c r="O308" t="s">
        <v>2437</v>
      </c>
      <c r="P308" t="s">
        <v>2437</v>
      </c>
      <c r="R308" t="s">
        <v>2437</v>
      </c>
      <c r="T308" t="s">
        <v>2437</v>
      </c>
      <c r="U308" t="s">
        <v>2437</v>
      </c>
      <c r="V308" t="s">
        <v>2437</v>
      </c>
      <c r="Y308" t="s">
        <v>6948</v>
      </c>
      <c r="Z308" t="s">
        <v>6949</v>
      </c>
      <c r="AA308" t="s">
        <v>6950</v>
      </c>
      <c r="AB308" t="s">
        <v>6951</v>
      </c>
      <c r="AC308" t="s">
        <v>6952</v>
      </c>
      <c r="AD308" t="s">
        <v>6953</v>
      </c>
      <c r="AE308" t="s">
        <v>6961</v>
      </c>
      <c r="AF308" t="s">
        <v>6962</v>
      </c>
      <c r="AG308" t="s">
        <v>6963</v>
      </c>
      <c r="AH308" t="s">
        <v>6964</v>
      </c>
      <c r="AI308" t="s">
        <v>6965</v>
      </c>
      <c r="AJ308" t="s">
        <v>6966</v>
      </c>
      <c r="AR308" t="s">
        <v>4284</v>
      </c>
    </row>
    <row r="309" spans="1:44">
      <c r="A309">
        <v>11118556</v>
      </c>
      <c r="B309" t="s">
        <v>403</v>
      </c>
      <c r="C309" t="s">
        <v>1225</v>
      </c>
      <c r="D309" t="s">
        <v>1690</v>
      </c>
      <c r="E309" t="s">
        <v>1691</v>
      </c>
      <c r="F309" t="s">
        <v>1476</v>
      </c>
      <c r="G309" t="s">
        <v>1477</v>
      </c>
      <c r="H309" t="s">
        <v>2281</v>
      </c>
      <c r="I309" t="s">
        <v>4469</v>
      </c>
      <c r="J309" t="s">
        <v>3052</v>
      </c>
      <c r="K309" t="s">
        <v>3053</v>
      </c>
      <c r="M309">
        <v>50</v>
      </c>
      <c r="N309">
        <v>70</v>
      </c>
      <c r="O309" t="s">
        <v>2437</v>
      </c>
      <c r="P309" t="s">
        <v>2437</v>
      </c>
      <c r="R309" t="s">
        <v>2437</v>
      </c>
      <c r="T309" t="s">
        <v>2437</v>
      </c>
      <c r="U309" t="s">
        <v>2437</v>
      </c>
      <c r="V309" t="s">
        <v>2437</v>
      </c>
      <c r="Y309" t="s">
        <v>6948</v>
      </c>
      <c r="Z309" t="s">
        <v>6949</v>
      </c>
      <c r="AA309" t="s">
        <v>6950</v>
      </c>
      <c r="AB309" t="s">
        <v>6951</v>
      </c>
      <c r="AC309" t="s">
        <v>6952</v>
      </c>
      <c r="AD309" t="s">
        <v>6953</v>
      </c>
      <c r="AE309" t="s">
        <v>6954</v>
      </c>
      <c r="AF309" t="s">
        <v>6955</v>
      </c>
      <c r="AG309" t="s">
        <v>6956</v>
      </c>
      <c r="AH309" t="s">
        <v>6957</v>
      </c>
      <c r="AI309" t="s">
        <v>6958</v>
      </c>
      <c r="AJ309" t="s">
        <v>6959</v>
      </c>
      <c r="AR309" t="s">
        <v>4284</v>
      </c>
    </row>
    <row r="310" spans="1:44">
      <c r="A310">
        <v>11118557</v>
      </c>
      <c r="B310" t="s">
        <v>404</v>
      </c>
      <c r="C310" t="s">
        <v>1226</v>
      </c>
      <c r="D310" t="s">
        <v>1690</v>
      </c>
      <c r="E310" t="s">
        <v>1691</v>
      </c>
      <c r="F310" t="s">
        <v>1476</v>
      </c>
      <c r="G310" t="s">
        <v>1477</v>
      </c>
      <c r="H310" t="s">
        <v>2282</v>
      </c>
      <c r="I310" t="s">
        <v>4470</v>
      </c>
      <c r="J310" t="s">
        <v>3054</v>
      </c>
      <c r="K310" t="s">
        <v>3055</v>
      </c>
      <c r="M310">
        <v>50</v>
      </c>
      <c r="N310">
        <v>70</v>
      </c>
      <c r="O310" t="s">
        <v>2437</v>
      </c>
      <c r="P310" t="s">
        <v>2437</v>
      </c>
      <c r="R310" t="s">
        <v>2437</v>
      </c>
      <c r="T310" t="s">
        <v>2437</v>
      </c>
      <c r="U310" t="s">
        <v>2437</v>
      </c>
      <c r="V310" t="s">
        <v>2437</v>
      </c>
      <c r="Y310" t="s">
        <v>6948</v>
      </c>
      <c r="Z310" t="s">
        <v>6949</v>
      </c>
      <c r="AA310" t="s">
        <v>6950</v>
      </c>
      <c r="AB310" t="s">
        <v>6951</v>
      </c>
      <c r="AC310" t="s">
        <v>6952</v>
      </c>
      <c r="AD310" t="s">
        <v>6953</v>
      </c>
      <c r="AE310" t="s">
        <v>6954</v>
      </c>
      <c r="AF310" t="s">
        <v>6955</v>
      </c>
      <c r="AG310" t="s">
        <v>6956</v>
      </c>
      <c r="AH310" t="s">
        <v>6957</v>
      </c>
      <c r="AI310" t="s">
        <v>6958</v>
      </c>
      <c r="AJ310" t="s">
        <v>6959</v>
      </c>
      <c r="AR310" t="s">
        <v>4284</v>
      </c>
    </row>
    <row r="311" spans="1:44">
      <c r="A311">
        <v>11103640</v>
      </c>
      <c r="B311" t="s">
        <v>405</v>
      </c>
      <c r="C311" t="s">
        <v>994</v>
      </c>
      <c r="D311" t="s">
        <v>1569</v>
      </c>
      <c r="E311" t="s">
        <v>1570</v>
      </c>
      <c r="F311" t="s">
        <v>1548</v>
      </c>
      <c r="G311" t="s">
        <v>1549</v>
      </c>
      <c r="H311" t="s">
        <v>2148</v>
      </c>
      <c r="I311" t="s">
        <v>4471</v>
      </c>
      <c r="J311" t="s">
        <v>2646</v>
      </c>
      <c r="K311" t="s">
        <v>2647</v>
      </c>
      <c r="M311">
        <v>50</v>
      </c>
      <c r="N311">
        <v>70</v>
      </c>
      <c r="O311" t="s">
        <v>2437</v>
      </c>
      <c r="P311" t="s">
        <v>2437</v>
      </c>
      <c r="R311" t="s">
        <v>2437</v>
      </c>
      <c r="T311" t="s">
        <v>89</v>
      </c>
      <c r="U311" t="s">
        <v>89</v>
      </c>
      <c r="V311" t="s">
        <v>89</v>
      </c>
      <c r="Y311" t="s">
        <v>6948</v>
      </c>
      <c r="Z311" t="s">
        <v>6949</v>
      </c>
      <c r="AA311" t="s">
        <v>6950</v>
      </c>
      <c r="AB311" t="s">
        <v>6951</v>
      </c>
      <c r="AC311" t="s">
        <v>6952</v>
      </c>
      <c r="AD311" t="s">
        <v>6953</v>
      </c>
      <c r="AE311" t="s">
        <v>6954</v>
      </c>
      <c r="AF311" t="s">
        <v>6955</v>
      </c>
      <c r="AG311" t="s">
        <v>6956</v>
      </c>
      <c r="AH311" t="s">
        <v>6957</v>
      </c>
      <c r="AI311" t="s">
        <v>6958</v>
      </c>
      <c r="AJ311" t="s">
        <v>6959</v>
      </c>
      <c r="AR311" t="s">
        <v>4284</v>
      </c>
    </row>
    <row r="312" spans="1:44">
      <c r="A312">
        <v>11121553</v>
      </c>
      <c r="B312" t="s">
        <v>406</v>
      </c>
      <c r="C312" t="s">
        <v>1136</v>
      </c>
      <c r="D312" t="s">
        <v>1692</v>
      </c>
      <c r="E312" t="s">
        <v>1479</v>
      </c>
      <c r="F312" t="s">
        <v>1693</v>
      </c>
      <c r="G312" t="s">
        <v>1694</v>
      </c>
      <c r="H312" t="s">
        <v>2171</v>
      </c>
      <c r="I312" t="s">
        <v>4307</v>
      </c>
      <c r="J312" t="s">
        <v>2670</v>
      </c>
      <c r="K312" t="s">
        <v>2671</v>
      </c>
      <c r="M312">
        <v>55</v>
      </c>
      <c r="N312">
        <v>65</v>
      </c>
      <c r="O312" t="s">
        <v>2437</v>
      </c>
      <c r="P312" t="s">
        <v>2437</v>
      </c>
      <c r="R312" t="s">
        <v>2437</v>
      </c>
      <c r="T312" t="s">
        <v>2437</v>
      </c>
      <c r="U312" t="s">
        <v>2439</v>
      </c>
      <c r="V312" t="s">
        <v>2437</v>
      </c>
      <c r="Y312" t="s">
        <v>6948</v>
      </c>
      <c r="Z312" t="s">
        <v>6949</v>
      </c>
      <c r="AA312" t="s">
        <v>6950</v>
      </c>
      <c r="AB312" t="s">
        <v>6951</v>
      </c>
      <c r="AC312" t="s">
        <v>6952</v>
      </c>
      <c r="AD312" t="s">
        <v>6953</v>
      </c>
      <c r="AE312" t="s">
        <v>6975</v>
      </c>
      <c r="AF312" t="s">
        <v>6974</v>
      </c>
      <c r="AR312" t="s">
        <v>4284</v>
      </c>
    </row>
    <row r="313" spans="1:44">
      <c r="A313">
        <v>11121554</v>
      </c>
      <c r="B313" t="s">
        <v>407</v>
      </c>
      <c r="C313" t="s">
        <v>961</v>
      </c>
      <c r="D313" t="s">
        <v>1692</v>
      </c>
      <c r="E313" t="s">
        <v>1479</v>
      </c>
      <c r="F313" t="s">
        <v>1693</v>
      </c>
      <c r="G313" t="s">
        <v>1694</v>
      </c>
      <c r="H313" t="s">
        <v>2172</v>
      </c>
      <c r="I313" t="s">
        <v>4308</v>
      </c>
      <c r="J313" t="s">
        <v>2672</v>
      </c>
      <c r="K313" t="s">
        <v>2673</v>
      </c>
      <c r="M313">
        <v>55</v>
      </c>
      <c r="N313">
        <v>65</v>
      </c>
      <c r="O313" t="s">
        <v>2437</v>
      </c>
      <c r="P313" t="s">
        <v>2437</v>
      </c>
      <c r="R313" t="s">
        <v>2437</v>
      </c>
      <c r="T313" t="s">
        <v>2437</v>
      </c>
      <c r="U313" t="s">
        <v>2439</v>
      </c>
      <c r="V313" t="s">
        <v>2437</v>
      </c>
      <c r="Y313" t="s">
        <v>6948</v>
      </c>
      <c r="Z313" t="s">
        <v>6949</v>
      </c>
      <c r="AA313" t="s">
        <v>6950</v>
      </c>
      <c r="AB313" t="s">
        <v>6951</v>
      </c>
      <c r="AC313" t="s">
        <v>6952</v>
      </c>
      <c r="AD313" t="s">
        <v>6953</v>
      </c>
      <c r="AE313" t="s">
        <v>6975</v>
      </c>
      <c r="AF313" t="s">
        <v>6974</v>
      </c>
      <c r="AR313" t="s">
        <v>4284</v>
      </c>
    </row>
    <row r="314" spans="1:44">
      <c r="A314">
        <v>11121558</v>
      </c>
      <c r="B314" t="s">
        <v>408</v>
      </c>
      <c r="C314" t="s">
        <v>963</v>
      </c>
      <c r="D314" t="s">
        <v>1695</v>
      </c>
      <c r="E314" t="s">
        <v>1481</v>
      </c>
      <c r="F314" t="s">
        <v>1696</v>
      </c>
      <c r="G314" t="s">
        <v>1697</v>
      </c>
      <c r="H314" t="s">
        <v>2283</v>
      </c>
      <c r="I314" t="s">
        <v>4309</v>
      </c>
      <c r="J314" t="s">
        <v>3056</v>
      </c>
      <c r="K314" t="s">
        <v>3057</v>
      </c>
      <c r="M314">
        <v>55</v>
      </c>
      <c r="N314">
        <v>65</v>
      </c>
      <c r="O314" t="s">
        <v>2437</v>
      </c>
      <c r="P314" t="s">
        <v>2437</v>
      </c>
      <c r="R314" t="s">
        <v>2437</v>
      </c>
      <c r="T314" t="s">
        <v>2437</v>
      </c>
      <c r="U314" t="s">
        <v>2437</v>
      </c>
      <c r="V314" t="s">
        <v>2437</v>
      </c>
      <c r="Y314" t="s">
        <v>6948</v>
      </c>
      <c r="Z314" t="s">
        <v>6949</v>
      </c>
      <c r="AA314" t="s">
        <v>6950</v>
      </c>
      <c r="AB314" t="s">
        <v>6951</v>
      </c>
      <c r="AC314" t="s">
        <v>6952</v>
      </c>
      <c r="AD314" t="s">
        <v>6953</v>
      </c>
      <c r="AE314" t="s">
        <v>6975</v>
      </c>
      <c r="AF314" t="s">
        <v>6974</v>
      </c>
      <c r="AR314" t="s">
        <v>4284</v>
      </c>
    </row>
    <row r="315" spans="1:44">
      <c r="A315">
        <v>11121559</v>
      </c>
      <c r="B315" t="s">
        <v>409</v>
      </c>
      <c r="C315" t="s">
        <v>964</v>
      </c>
      <c r="D315" t="s">
        <v>1695</v>
      </c>
      <c r="E315" t="s">
        <v>1481</v>
      </c>
      <c r="F315" t="s">
        <v>1696</v>
      </c>
      <c r="G315" t="s">
        <v>1697</v>
      </c>
      <c r="H315" t="s">
        <v>2173</v>
      </c>
      <c r="I315" t="s">
        <v>4310</v>
      </c>
      <c r="J315" t="s">
        <v>2674</v>
      </c>
      <c r="K315" t="s">
        <v>2675</v>
      </c>
      <c r="M315">
        <v>55</v>
      </c>
      <c r="N315">
        <v>65</v>
      </c>
      <c r="O315" t="s">
        <v>2437</v>
      </c>
      <c r="P315" t="s">
        <v>2437</v>
      </c>
      <c r="R315" t="s">
        <v>2437</v>
      </c>
      <c r="T315" t="s">
        <v>2437</v>
      </c>
      <c r="U315" t="s">
        <v>2437</v>
      </c>
      <c r="V315" t="s">
        <v>2437</v>
      </c>
      <c r="Y315" t="s">
        <v>6948</v>
      </c>
      <c r="Z315" t="s">
        <v>6949</v>
      </c>
      <c r="AA315" t="s">
        <v>6950</v>
      </c>
      <c r="AB315" t="s">
        <v>6951</v>
      </c>
      <c r="AC315" t="s">
        <v>6952</v>
      </c>
      <c r="AD315" t="s">
        <v>6953</v>
      </c>
      <c r="AE315" t="s">
        <v>6975</v>
      </c>
      <c r="AF315" t="s">
        <v>6974</v>
      </c>
      <c r="AR315" t="s">
        <v>4284</v>
      </c>
    </row>
    <row r="316" spans="1:44">
      <c r="A316">
        <v>11122020</v>
      </c>
      <c r="B316" t="s">
        <v>410</v>
      </c>
      <c r="C316" t="s">
        <v>1135</v>
      </c>
      <c r="D316" t="s">
        <v>1698</v>
      </c>
      <c r="E316" t="s">
        <v>1520</v>
      </c>
      <c r="F316" t="s">
        <v>1693</v>
      </c>
      <c r="G316" t="s">
        <v>1694</v>
      </c>
      <c r="H316" t="s">
        <v>2284</v>
      </c>
      <c r="I316" t="s">
        <v>4306</v>
      </c>
      <c r="J316" t="s">
        <v>3058</v>
      </c>
      <c r="K316" t="s">
        <v>3059</v>
      </c>
      <c r="M316">
        <v>55</v>
      </c>
      <c r="N316">
        <v>65</v>
      </c>
      <c r="O316" t="s">
        <v>2437</v>
      </c>
      <c r="P316" t="s">
        <v>2437</v>
      </c>
      <c r="R316" t="s">
        <v>89</v>
      </c>
      <c r="T316" t="s">
        <v>2437</v>
      </c>
      <c r="U316" t="s">
        <v>2437</v>
      </c>
      <c r="V316" t="s">
        <v>2557</v>
      </c>
      <c r="Y316" t="s">
        <v>6948</v>
      </c>
      <c r="Z316" t="s">
        <v>6949</v>
      </c>
      <c r="AA316" t="s">
        <v>6950</v>
      </c>
      <c r="AB316" t="s">
        <v>6951</v>
      </c>
      <c r="AC316" t="s">
        <v>6952</v>
      </c>
      <c r="AD316" t="s">
        <v>6953</v>
      </c>
      <c r="AE316" t="s">
        <v>6975</v>
      </c>
      <c r="AF316" t="s">
        <v>6974</v>
      </c>
      <c r="AR316" t="s">
        <v>4284</v>
      </c>
    </row>
    <row r="317" spans="1:44">
      <c r="A317">
        <v>11122021</v>
      </c>
      <c r="B317" t="s">
        <v>411</v>
      </c>
      <c r="C317" t="s">
        <v>1136</v>
      </c>
      <c r="D317" t="s">
        <v>1698</v>
      </c>
      <c r="E317" t="s">
        <v>1520</v>
      </c>
      <c r="F317" t="s">
        <v>1693</v>
      </c>
      <c r="G317" t="s">
        <v>1694</v>
      </c>
      <c r="H317" t="s">
        <v>2171</v>
      </c>
      <c r="I317" t="s">
        <v>4307</v>
      </c>
      <c r="J317" t="s">
        <v>3060</v>
      </c>
      <c r="K317" t="s">
        <v>3061</v>
      </c>
      <c r="M317">
        <v>55</v>
      </c>
      <c r="N317">
        <v>65</v>
      </c>
      <c r="O317" t="s">
        <v>2437</v>
      </c>
      <c r="P317" t="s">
        <v>2437</v>
      </c>
      <c r="R317" t="s">
        <v>89</v>
      </c>
      <c r="T317" t="s">
        <v>2437</v>
      </c>
      <c r="U317" t="s">
        <v>2437</v>
      </c>
      <c r="V317" t="s">
        <v>2557</v>
      </c>
      <c r="Y317" t="s">
        <v>6948</v>
      </c>
      <c r="Z317" t="s">
        <v>6949</v>
      </c>
      <c r="AA317" t="s">
        <v>6950</v>
      </c>
      <c r="AB317" t="s">
        <v>6951</v>
      </c>
      <c r="AC317" t="s">
        <v>6952</v>
      </c>
      <c r="AD317" t="s">
        <v>6953</v>
      </c>
      <c r="AE317" t="s">
        <v>6975</v>
      </c>
      <c r="AF317" t="s">
        <v>6974</v>
      </c>
      <c r="AR317" t="s">
        <v>4284</v>
      </c>
    </row>
    <row r="318" spans="1:44">
      <c r="A318">
        <v>11125102</v>
      </c>
      <c r="B318" t="s">
        <v>412</v>
      </c>
      <c r="C318" t="s">
        <v>1227</v>
      </c>
      <c r="D318" t="s">
        <v>1699</v>
      </c>
      <c r="E318" t="s">
        <v>1700</v>
      </c>
      <c r="F318" t="s">
        <v>1701</v>
      </c>
      <c r="G318" t="s">
        <v>1702</v>
      </c>
      <c r="H318" t="s">
        <v>2285</v>
      </c>
      <c r="I318" t="s">
        <v>4472</v>
      </c>
      <c r="J318" t="s">
        <v>3062</v>
      </c>
      <c r="K318" t="s">
        <v>3063</v>
      </c>
      <c r="M318">
        <v>50</v>
      </c>
      <c r="N318">
        <v>70</v>
      </c>
      <c r="O318" t="s">
        <v>2437</v>
      </c>
      <c r="P318" t="s">
        <v>2437</v>
      </c>
      <c r="R318" t="s">
        <v>2437</v>
      </c>
      <c r="T318" t="s">
        <v>2437</v>
      </c>
      <c r="U318" t="s">
        <v>2437</v>
      </c>
      <c r="V318" t="s">
        <v>2437</v>
      </c>
      <c r="Y318" t="s">
        <v>6948</v>
      </c>
      <c r="Z318" t="s">
        <v>6949</v>
      </c>
      <c r="AA318" t="s">
        <v>6950</v>
      </c>
      <c r="AB318" t="s">
        <v>6951</v>
      </c>
      <c r="AC318" t="s">
        <v>6952</v>
      </c>
      <c r="AD318" t="s">
        <v>6953</v>
      </c>
      <c r="AE318" t="s">
        <v>6954</v>
      </c>
      <c r="AF318" t="s">
        <v>6955</v>
      </c>
      <c r="AG318" t="s">
        <v>6956</v>
      </c>
      <c r="AH318" t="s">
        <v>6957</v>
      </c>
      <c r="AI318" t="s">
        <v>6958</v>
      </c>
      <c r="AJ318" t="s">
        <v>6959</v>
      </c>
      <c r="AR318" t="s">
        <v>4284</v>
      </c>
    </row>
    <row r="319" spans="1:44">
      <c r="A319">
        <v>11125103</v>
      </c>
      <c r="B319" t="s">
        <v>413</v>
      </c>
      <c r="C319" t="s">
        <v>1228</v>
      </c>
      <c r="D319" t="s">
        <v>1699</v>
      </c>
      <c r="E319" t="s">
        <v>1700</v>
      </c>
      <c r="F319" t="s">
        <v>1701</v>
      </c>
      <c r="G319" t="s">
        <v>1702</v>
      </c>
      <c r="H319" t="s">
        <v>2286</v>
      </c>
      <c r="I319" t="s">
        <v>4473</v>
      </c>
      <c r="J319" t="s">
        <v>3064</v>
      </c>
      <c r="K319" t="s">
        <v>3065</v>
      </c>
      <c r="M319">
        <v>50</v>
      </c>
      <c r="N319">
        <v>70</v>
      </c>
      <c r="O319" t="s">
        <v>2437</v>
      </c>
      <c r="P319" t="s">
        <v>2437</v>
      </c>
      <c r="R319" t="s">
        <v>2437</v>
      </c>
      <c r="T319" t="s">
        <v>2437</v>
      </c>
      <c r="U319" t="s">
        <v>2437</v>
      </c>
      <c r="V319" t="s">
        <v>2437</v>
      </c>
      <c r="Y319" t="s">
        <v>6948</v>
      </c>
      <c r="Z319" t="s">
        <v>6949</v>
      </c>
      <c r="AA319" t="s">
        <v>6950</v>
      </c>
      <c r="AB319" t="s">
        <v>6951</v>
      </c>
      <c r="AC319" t="s">
        <v>6952</v>
      </c>
      <c r="AD319" t="s">
        <v>6953</v>
      </c>
      <c r="AE319" t="s">
        <v>6954</v>
      </c>
      <c r="AF319" t="s">
        <v>6955</v>
      </c>
      <c r="AG319" t="s">
        <v>6956</v>
      </c>
      <c r="AH319" t="s">
        <v>6957</v>
      </c>
      <c r="AI319" t="s">
        <v>6958</v>
      </c>
      <c r="AJ319" t="s">
        <v>6959</v>
      </c>
      <c r="AR319" t="s">
        <v>4284</v>
      </c>
    </row>
    <row r="320" spans="1:44">
      <c r="A320">
        <v>11123488</v>
      </c>
      <c r="B320" t="s">
        <v>414</v>
      </c>
      <c r="C320" t="s">
        <v>1229</v>
      </c>
      <c r="D320" t="s">
        <v>1703</v>
      </c>
      <c r="E320" t="s">
        <v>1704</v>
      </c>
      <c r="F320" t="s">
        <v>1574</v>
      </c>
      <c r="G320" t="s">
        <v>1575</v>
      </c>
      <c r="H320" t="s">
        <v>2287</v>
      </c>
      <c r="I320" t="s">
        <v>4474</v>
      </c>
      <c r="J320" t="s">
        <v>3066</v>
      </c>
      <c r="K320" t="s">
        <v>3067</v>
      </c>
      <c r="M320">
        <v>60</v>
      </c>
      <c r="N320">
        <v>70</v>
      </c>
      <c r="O320" t="s">
        <v>2437</v>
      </c>
      <c r="P320" t="s">
        <v>2437</v>
      </c>
      <c r="R320" t="s">
        <v>2437</v>
      </c>
      <c r="T320" t="s">
        <v>2437</v>
      </c>
      <c r="U320" t="s">
        <v>2437</v>
      </c>
      <c r="V320" t="s">
        <v>2437</v>
      </c>
      <c r="Y320" t="s">
        <v>6948</v>
      </c>
      <c r="Z320" t="s">
        <v>6949</v>
      </c>
      <c r="AA320" t="s">
        <v>6950</v>
      </c>
      <c r="AB320" t="s">
        <v>6951</v>
      </c>
      <c r="AC320" t="s">
        <v>6952</v>
      </c>
      <c r="AD320" t="s">
        <v>6953</v>
      </c>
      <c r="AE320" t="s">
        <v>6961</v>
      </c>
      <c r="AF320" t="s">
        <v>6962</v>
      </c>
      <c r="AG320" t="s">
        <v>6963</v>
      </c>
      <c r="AH320" t="s">
        <v>6964</v>
      </c>
      <c r="AI320" t="s">
        <v>6965</v>
      </c>
      <c r="AJ320" t="s">
        <v>6966</v>
      </c>
      <c r="AR320" t="s">
        <v>4284</v>
      </c>
    </row>
    <row r="321" spans="1:44">
      <c r="A321">
        <v>11120139</v>
      </c>
      <c r="B321" t="s">
        <v>415</v>
      </c>
      <c r="C321" t="s">
        <v>1230</v>
      </c>
      <c r="D321" t="s">
        <v>1705</v>
      </c>
      <c r="E321" t="s">
        <v>1629</v>
      </c>
      <c r="F321" t="s">
        <v>1586</v>
      </c>
      <c r="G321" t="s">
        <v>1587</v>
      </c>
      <c r="H321" t="s">
        <v>2184</v>
      </c>
      <c r="I321" t="s">
        <v>4388</v>
      </c>
      <c r="J321" t="s">
        <v>2794</v>
      </c>
      <c r="K321" t="s">
        <v>2795</v>
      </c>
      <c r="M321">
        <v>60</v>
      </c>
      <c r="N321">
        <v>70</v>
      </c>
      <c r="O321" t="s">
        <v>2437</v>
      </c>
      <c r="P321" t="s">
        <v>2437</v>
      </c>
      <c r="R321" t="s">
        <v>2437</v>
      </c>
      <c r="T321" t="s">
        <v>2437</v>
      </c>
      <c r="U321" t="s">
        <v>2437</v>
      </c>
      <c r="V321" t="s">
        <v>2437</v>
      </c>
      <c r="Y321" t="s">
        <v>6948</v>
      </c>
      <c r="Z321" t="s">
        <v>6949</v>
      </c>
      <c r="AA321" t="s">
        <v>6950</v>
      </c>
      <c r="AB321" t="s">
        <v>6951</v>
      </c>
      <c r="AC321" t="s">
        <v>6952</v>
      </c>
      <c r="AD321" t="s">
        <v>6953</v>
      </c>
      <c r="AE321" t="s">
        <v>6961</v>
      </c>
      <c r="AF321" t="s">
        <v>6962</v>
      </c>
      <c r="AG321" t="s">
        <v>6963</v>
      </c>
      <c r="AH321" t="s">
        <v>6964</v>
      </c>
      <c r="AI321" t="s">
        <v>6965</v>
      </c>
      <c r="AJ321" t="s">
        <v>6966</v>
      </c>
      <c r="AR321" t="s">
        <v>4284</v>
      </c>
    </row>
    <row r="322" spans="1:44">
      <c r="A322">
        <v>11120162</v>
      </c>
      <c r="B322" t="s">
        <v>416</v>
      </c>
      <c r="C322" t="s">
        <v>1114</v>
      </c>
      <c r="D322" t="s">
        <v>1703</v>
      </c>
      <c r="E322" t="s">
        <v>1704</v>
      </c>
      <c r="F322" t="s">
        <v>1574</v>
      </c>
      <c r="G322" t="s">
        <v>1575</v>
      </c>
      <c r="H322" t="s">
        <v>2288</v>
      </c>
      <c r="I322" t="s">
        <v>4475</v>
      </c>
      <c r="J322" t="s">
        <v>3068</v>
      </c>
      <c r="K322" t="s">
        <v>3069</v>
      </c>
      <c r="M322">
        <v>60</v>
      </c>
      <c r="N322">
        <v>70</v>
      </c>
      <c r="O322" t="s">
        <v>2437</v>
      </c>
      <c r="P322" t="s">
        <v>2437</v>
      </c>
      <c r="R322" t="s">
        <v>2437</v>
      </c>
      <c r="T322" t="s">
        <v>2437</v>
      </c>
      <c r="U322" t="s">
        <v>2437</v>
      </c>
      <c r="V322" t="s">
        <v>2437</v>
      </c>
      <c r="Y322" t="s">
        <v>6948</v>
      </c>
      <c r="Z322" t="s">
        <v>6949</v>
      </c>
      <c r="AA322" t="s">
        <v>6950</v>
      </c>
      <c r="AB322" t="s">
        <v>6951</v>
      </c>
      <c r="AC322" t="s">
        <v>6952</v>
      </c>
      <c r="AD322" t="s">
        <v>6953</v>
      </c>
      <c r="AE322" t="s">
        <v>6961</v>
      </c>
      <c r="AF322" t="s">
        <v>6962</v>
      </c>
      <c r="AG322" t="s">
        <v>6963</v>
      </c>
      <c r="AH322" t="s">
        <v>6964</v>
      </c>
      <c r="AI322" t="s">
        <v>6965</v>
      </c>
      <c r="AJ322" t="s">
        <v>6966</v>
      </c>
      <c r="AR322" t="s">
        <v>4284</v>
      </c>
    </row>
    <row r="323" spans="1:44">
      <c r="A323">
        <v>11123489</v>
      </c>
      <c r="B323" t="s">
        <v>417</v>
      </c>
      <c r="C323" t="s">
        <v>1231</v>
      </c>
      <c r="D323" t="s">
        <v>1703</v>
      </c>
      <c r="E323" t="s">
        <v>1704</v>
      </c>
      <c r="F323" t="s">
        <v>1574</v>
      </c>
      <c r="G323" t="s">
        <v>1575</v>
      </c>
      <c r="H323" t="s">
        <v>2289</v>
      </c>
      <c r="I323" t="s">
        <v>4476</v>
      </c>
      <c r="J323" t="s">
        <v>3070</v>
      </c>
      <c r="K323" t="s">
        <v>3071</v>
      </c>
      <c r="M323">
        <v>60</v>
      </c>
      <c r="N323">
        <v>70</v>
      </c>
      <c r="O323" t="s">
        <v>2437</v>
      </c>
      <c r="P323" t="s">
        <v>2437</v>
      </c>
      <c r="R323" t="s">
        <v>2437</v>
      </c>
      <c r="T323" t="s">
        <v>2437</v>
      </c>
      <c r="U323" t="s">
        <v>2437</v>
      </c>
      <c r="V323" t="s">
        <v>2437</v>
      </c>
      <c r="Y323" t="s">
        <v>6948</v>
      </c>
      <c r="Z323" t="s">
        <v>6949</v>
      </c>
      <c r="AA323" t="s">
        <v>6950</v>
      </c>
      <c r="AB323" t="s">
        <v>6951</v>
      </c>
      <c r="AC323" t="s">
        <v>6952</v>
      </c>
      <c r="AD323" t="s">
        <v>6953</v>
      </c>
      <c r="AE323" t="s">
        <v>6961</v>
      </c>
      <c r="AF323" t="s">
        <v>6962</v>
      </c>
      <c r="AG323" t="s">
        <v>6963</v>
      </c>
      <c r="AH323" t="s">
        <v>6964</v>
      </c>
      <c r="AI323" t="s">
        <v>6965</v>
      </c>
      <c r="AJ323" t="s">
        <v>6966</v>
      </c>
      <c r="AR323" t="s">
        <v>4284</v>
      </c>
    </row>
    <row r="324" spans="1:44">
      <c r="A324">
        <v>11123490</v>
      </c>
      <c r="B324" t="s">
        <v>418</v>
      </c>
      <c r="C324" t="s">
        <v>1232</v>
      </c>
      <c r="D324" t="s">
        <v>1703</v>
      </c>
      <c r="E324" t="s">
        <v>1704</v>
      </c>
      <c r="F324" t="s">
        <v>1574</v>
      </c>
      <c r="G324" t="s">
        <v>1575</v>
      </c>
      <c r="H324" t="s">
        <v>2290</v>
      </c>
      <c r="I324" t="s">
        <v>4477</v>
      </c>
      <c r="J324" t="s">
        <v>3072</v>
      </c>
      <c r="K324" t="s">
        <v>3073</v>
      </c>
      <c r="M324">
        <v>60</v>
      </c>
      <c r="N324">
        <v>70</v>
      </c>
      <c r="O324" t="s">
        <v>2437</v>
      </c>
      <c r="P324" t="s">
        <v>2437</v>
      </c>
      <c r="R324" t="s">
        <v>2437</v>
      </c>
      <c r="T324" t="s">
        <v>2437</v>
      </c>
      <c r="U324" t="s">
        <v>2437</v>
      </c>
      <c r="V324" t="s">
        <v>2437</v>
      </c>
      <c r="Y324" t="s">
        <v>6948</v>
      </c>
      <c r="Z324" t="s">
        <v>6949</v>
      </c>
      <c r="AA324" t="s">
        <v>6950</v>
      </c>
      <c r="AB324" t="s">
        <v>6951</v>
      </c>
      <c r="AC324" t="s">
        <v>6952</v>
      </c>
      <c r="AD324" t="s">
        <v>6953</v>
      </c>
      <c r="AE324" t="s">
        <v>6961</v>
      </c>
      <c r="AF324" t="s">
        <v>6962</v>
      </c>
      <c r="AG324" t="s">
        <v>6963</v>
      </c>
      <c r="AH324" t="s">
        <v>6964</v>
      </c>
      <c r="AI324" t="s">
        <v>6965</v>
      </c>
      <c r="AJ324" t="s">
        <v>6966</v>
      </c>
      <c r="AR324" t="s">
        <v>4284</v>
      </c>
    </row>
    <row r="325" spans="1:44">
      <c r="A325">
        <v>11120164</v>
      </c>
      <c r="B325" t="s">
        <v>419</v>
      </c>
      <c r="C325" t="s">
        <v>1115</v>
      </c>
      <c r="D325" t="s">
        <v>1703</v>
      </c>
      <c r="E325" t="s">
        <v>1704</v>
      </c>
      <c r="F325" t="s">
        <v>1574</v>
      </c>
      <c r="G325" t="s">
        <v>1575</v>
      </c>
      <c r="H325" t="s">
        <v>2291</v>
      </c>
      <c r="I325" t="s">
        <v>4478</v>
      </c>
      <c r="J325" t="s">
        <v>3074</v>
      </c>
      <c r="K325" t="s">
        <v>3075</v>
      </c>
      <c r="M325">
        <v>60</v>
      </c>
      <c r="N325">
        <v>70</v>
      </c>
      <c r="O325" t="s">
        <v>2437</v>
      </c>
      <c r="P325" t="s">
        <v>2437</v>
      </c>
      <c r="R325" t="s">
        <v>2437</v>
      </c>
      <c r="T325" t="s">
        <v>2437</v>
      </c>
      <c r="U325" t="s">
        <v>2437</v>
      </c>
      <c r="V325" t="s">
        <v>2437</v>
      </c>
      <c r="Y325" t="s">
        <v>6948</v>
      </c>
      <c r="Z325" t="s">
        <v>6949</v>
      </c>
      <c r="AA325" t="s">
        <v>6950</v>
      </c>
      <c r="AB325" t="s">
        <v>6951</v>
      </c>
      <c r="AC325" t="s">
        <v>6952</v>
      </c>
      <c r="AD325" t="s">
        <v>6953</v>
      </c>
      <c r="AE325" t="s">
        <v>6961</v>
      </c>
      <c r="AF325" t="s">
        <v>6962</v>
      </c>
      <c r="AG325" t="s">
        <v>6963</v>
      </c>
      <c r="AH325" t="s">
        <v>6964</v>
      </c>
      <c r="AI325" t="s">
        <v>6965</v>
      </c>
      <c r="AJ325" t="s">
        <v>6966</v>
      </c>
      <c r="AR325" t="s">
        <v>4284</v>
      </c>
    </row>
    <row r="326" spans="1:44">
      <c r="A326">
        <v>11123511</v>
      </c>
      <c r="B326" t="s">
        <v>420</v>
      </c>
      <c r="C326" t="s">
        <v>1233</v>
      </c>
      <c r="D326" t="s">
        <v>1705</v>
      </c>
      <c r="E326" t="s">
        <v>1629</v>
      </c>
      <c r="F326" t="s">
        <v>1586</v>
      </c>
      <c r="G326" t="s">
        <v>1587</v>
      </c>
      <c r="H326" t="s">
        <v>2180</v>
      </c>
      <c r="I326" t="s">
        <v>4385</v>
      </c>
      <c r="J326" t="s">
        <v>2790</v>
      </c>
      <c r="K326" t="s">
        <v>2791</v>
      </c>
      <c r="M326">
        <v>60</v>
      </c>
      <c r="N326">
        <v>70</v>
      </c>
      <c r="O326" t="s">
        <v>2437</v>
      </c>
      <c r="P326" t="s">
        <v>2437</v>
      </c>
      <c r="R326" t="s">
        <v>2437</v>
      </c>
      <c r="T326" t="s">
        <v>2437</v>
      </c>
      <c r="U326" t="s">
        <v>2437</v>
      </c>
      <c r="V326" t="s">
        <v>2437</v>
      </c>
      <c r="Y326" t="s">
        <v>6948</v>
      </c>
      <c r="Z326" t="s">
        <v>6949</v>
      </c>
      <c r="AA326" t="s">
        <v>6950</v>
      </c>
      <c r="AB326" t="s">
        <v>6951</v>
      </c>
      <c r="AC326" t="s">
        <v>6952</v>
      </c>
      <c r="AD326" t="s">
        <v>6953</v>
      </c>
      <c r="AE326" t="s">
        <v>6961</v>
      </c>
      <c r="AF326" t="s">
        <v>6962</v>
      </c>
      <c r="AG326" t="s">
        <v>6963</v>
      </c>
      <c r="AH326" t="s">
        <v>6964</v>
      </c>
      <c r="AI326" t="s">
        <v>6965</v>
      </c>
      <c r="AJ326" t="s">
        <v>6966</v>
      </c>
      <c r="AR326" t="s">
        <v>4284</v>
      </c>
    </row>
    <row r="327" spans="1:44">
      <c r="A327">
        <v>11120163</v>
      </c>
      <c r="B327" t="s">
        <v>421</v>
      </c>
      <c r="C327" t="s">
        <v>1234</v>
      </c>
      <c r="D327" t="s">
        <v>1703</v>
      </c>
      <c r="E327" t="s">
        <v>1704</v>
      </c>
      <c r="F327" t="s">
        <v>1574</v>
      </c>
      <c r="G327" t="s">
        <v>1575</v>
      </c>
      <c r="H327" t="s">
        <v>2292</v>
      </c>
      <c r="I327" t="s">
        <v>4479</v>
      </c>
      <c r="J327" t="s">
        <v>3076</v>
      </c>
      <c r="K327" t="s">
        <v>3077</v>
      </c>
      <c r="M327">
        <v>60</v>
      </c>
      <c r="N327">
        <v>70</v>
      </c>
      <c r="O327" t="s">
        <v>2437</v>
      </c>
      <c r="P327" t="s">
        <v>2437</v>
      </c>
      <c r="R327" t="s">
        <v>2437</v>
      </c>
      <c r="T327" t="s">
        <v>2437</v>
      </c>
      <c r="U327" t="s">
        <v>2437</v>
      </c>
      <c r="V327" t="s">
        <v>2437</v>
      </c>
      <c r="Y327" t="s">
        <v>6948</v>
      </c>
      <c r="Z327" t="s">
        <v>6949</v>
      </c>
      <c r="AA327" t="s">
        <v>6950</v>
      </c>
      <c r="AB327" t="s">
        <v>6951</v>
      </c>
      <c r="AC327" t="s">
        <v>6952</v>
      </c>
      <c r="AD327" t="s">
        <v>6953</v>
      </c>
      <c r="AE327" t="s">
        <v>6961</v>
      </c>
      <c r="AF327" t="s">
        <v>6962</v>
      </c>
      <c r="AG327" t="s">
        <v>6963</v>
      </c>
      <c r="AH327" t="s">
        <v>6964</v>
      </c>
      <c r="AI327" t="s">
        <v>6965</v>
      </c>
      <c r="AJ327" t="s">
        <v>6966</v>
      </c>
      <c r="AR327" t="s">
        <v>4284</v>
      </c>
    </row>
    <row r="328" spans="1:44">
      <c r="A328">
        <v>11123513</v>
      </c>
      <c r="B328" t="s">
        <v>422</v>
      </c>
      <c r="C328" t="s">
        <v>1235</v>
      </c>
      <c r="D328" t="s">
        <v>1705</v>
      </c>
      <c r="E328" t="s">
        <v>1629</v>
      </c>
      <c r="F328" t="s">
        <v>1586</v>
      </c>
      <c r="G328" t="s">
        <v>1587</v>
      </c>
      <c r="H328" t="s">
        <v>2179</v>
      </c>
      <c r="I328" t="s">
        <v>4376</v>
      </c>
      <c r="J328" t="s">
        <v>2796</v>
      </c>
      <c r="K328" t="s">
        <v>2797</v>
      </c>
      <c r="M328">
        <v>60</v>
      </c>
      <c r="N328">
        <v>70</v>
      </c>
      <c r="O328" t="s">
        <v>2437</v>
      </c>
      <c r="P328" t="s">
        <v>2437</v>
      </c>
      <c r="R328" t="s">
        <v>2437</v>
      </c>
      <c r="T328" t="s">
        <v>2437</v>
      </c>
      <c r="U328" t="s">
        <v>2437</v>
      </c>
      <c r="V328" t="s">
        <v>2437</v>
      </c>
      <c r="Y328" t="s">
        <v>6948</v>
      </c>
      <c r="Z328" t="s">
        <v>6949</v>
      </c>
      <c r="AA328" t="s">
        <v>6950</v>
      </c>
      <c r="AB328" t="s">
        <v>6951</v>
      </c>
      <c r="AC328" t="s">
        <v>6952</v>
      </c>
      <c r="AD328" t="s">
        <v>6953</v>
      </c>
      <c r="AE328" t="s">
        <v>6961</v>
      </c>
      <c r="AF328" t="s">
        <v>6962</v>
      </c>
      <c r="AG328" t="s">
        <v>6963</v>
      </c>
      <c r="AH328" t="s">
        <v>6964</v>
      </c>
      <c r="AI328" t="s">
        <v>6965</v>
      </c>
      <c r="AJ328" t="s">
        <v>6966</v>
      </c>
      <c r="AR328" t="s">
        <v>4284</v>
      </c>
    </row>
    <row r="329" spans="1:44">
      <c r="A329">
        <v>11120138</v>
      </c>
      <c r="B329" t="s">
        <v>423</v>
      </c>
      <c r="C329" t="s">
        <v>1236</v>
      </c>
      <c r="D329" t="s">
        <v>1705</v>
      </c>
      <c r="E329" t="s">
        <v>1629</v>
      </c>
      <c r="F329" t="s">
        <v>1586</v>
      </c>
      <c r="G329" t="s">
        <v>1587</v>
      </c>
      <c r="H329" t="s">
        <v>2183</v>
      </c>
      <c r="I329" t="s">
        <v>4387</v>
      </c>
      <c r="J329" t="s">
        <v>2800</v>
      </c>
      <c r="K329" t="s">
        <v>2801</v>
      </c>
      <c r="M329">
        <v>60</v>
      </c>
      <c r="N329">
        <v>70</v>
      </c>
      <c r="O329" t="s">
        <v>2437</v>
      </c>
      <c r="P329" t="s">
        <v>2437</v>
      </c>
      <c r="R329" t="s">
        <v>2437</v>
      </c>
      <c r="T329" t="s">
        <v>2437</v>
      </c>
      <c r="U329" t="s">
        <v>2437</v>
      </c>
      <c r="V329" t="s">
        <v>2437</v>
      </c>
      <c r="Y329" t="s">
        <v>6948</v>
      </c>
      <c r="Z329" t="s">
        <v>6949</v>
      </c>
      <c r="AA329" t="s">
        <v>6950</v>
      </c>
      <c r="AB329" t="s">
        <v>6951</v>
      </c>
      <c r="AC329" t="s">
        <v>6952</v>
      </c>
      <c r="AD329" t="s">
        <v>6953</v>
      </c>
      <c r="AE329" t="s">
        <v>6961</v>
      </c>
      <c r="AF329" t="s">
        <v>6962</v>
      </c>
      <c r="AG329" t="s">
        <v>6963</v>
      </c>
      <c r="AH329" t="s">
        <v>6964</v>
      </c>
      <c r="AI329" t="s">
        <v>6965</v>
      </c>
      <c r="AJ329" t="s">
        <v>6966</v>
      </c>
      <c r="AR329" t="s">
        <v>4284</v>
      </c>
    </row>
    <row r="330" spans="1:44">
      <c r="A330">
        <v>11123503</v>
      </c>
      <c r="B330" t="s">
        <v>424</v>
      </c>
      <c r="C330" t="s">
        <v>1237</v>
      </c>
      <c r="D330" t="s">
        <v>1706</v>
      </c>
      <c r="E330" t="s">
        <v>1707</v>
      </c>
      <c r="F330" t="s">
        <v>1578</v>
      </c>
      <c r="G330" t="s">
        <v>1579</v>
      </c>
      <c r="H330" t="s">
        <v>2293</v>
      </c>
      <c r="I330" t="s">
        <v>4373</v>
      </c>
      <c r="J330" t="s">
        <v>3078</v>
      </c>
      <c r="K330" t="s">
        <v>3079</v>
      </c>
      <c r="M330">
        <v>50</v>
      </c>
      <c r="N330">
        <v>70</v>
      </c>
      <c r="O330" t="s">
        <v>2437</v>
      </c>
      <c r="P330" t="s">
        <v>2437</v>
      </c>
      <c r="R330">
        <v>24</v>
      </c>
      <c r="T330" t="s">
        <v>2437</v>
      </c>
      <c r="U330" t="s">
        <v>2437</v>
      </c>
      <c r="V330" t="s">
        <v>2437</v>
      </c>
      <c r="Y330" t="s">
        <v>6948</v>
      </c>
      <c r="Z330" t="s">
        <v>6949</v>
      </c>
      <c r="AA330" t="s">
        <v>6950</v>
      </c>
      <c r="AB330" t="s">
        <v>6951</v>
      </c>
      <c r="AC330" t="s">
        <v>6952</v>
      </c>
      <c r="AD330" t="s">
        <v>6953</v>
      </c>
      <c r="AE330" t="s">
        <v>6954</v>
      </c>
      <c r="AF330" t="s">
        <v>6955</v>
      </c>
      <c r="AG330" t="s">
        <v>6956</v>
      </c>
      <c r="AH330" t="s">
        <v>6957</v>
      </c>
      <c r="AI330" t="s">
        <v>6958</v>
      </c>
      <c r="AJ330" t="s">
        <v>6959</v>
      </c>
      <c r="AK330" t="s">
        <v>6976</v>
      </c>
      <c r="AL330" t="s">
        <v>6977</v>
      </c>
      <c r="AM330" t="s">
        <v>6978</v>
      </c>
      <c r="AN330" t="s">
        <v>6979</v>
      </c>
      <c r="AO330" t="s">
        <v>6980</v>
      </c>
      <c r="AR330" t="s">
        <v>4284</v>
      </c>
    </row>
    <row r="331" spans="1:44">
      <c r="A331">
        <v>11123504</v>
      </c>
      <c r="B331" t="s">
        <v>425</v>
      </c>
      <c r="C331" t="s">
        <v>1238</v>
      </c>
      <c r="D331" t="s">
        <v>1706</v>
      </c>
      <c r="E331" t="s">
        <v>1707</v>
      </c>
      <c r="F331" t="s">
        <v>1578</v>
      </c>
      <c r="G331" t="s">
        <v>1579</v>
      </c>
      <c r="H331" t="s">
        <v>2294</v>
      </c>
      <c r="I331" t="s">
        <v>4480</v>
      </c>
      <c r="J331" t="s">
        <v>3080</v>
      </c>
      <c r="K331" t="s">
        <v>3081</v>
      </c>
      <c r="M331">
        <v>50</v>
      </c>
      <c r="N331">
        <v>70</v>
      </c>
      <c r="O331" t="s">
        <v>2437</v>
      </c>
      <c r="P331" t="s">
        <v>2437</v>
      </c>
      <c r="R331">
        <v>24</v>
      </c>
      <c r="T331" t="s">
        <v>2437</v>
      </c>
      <c r="U331" t="s">
        <v>2437</v>
      </c>
      <c r="V331" t="s">
        <v>2437</v>
      </c>
      <c r="Y331" t="s">
        <v>6948</v>
      </c>
      <c r="Z331" t="s">
        <v>6949</v>
      </c>
      <c r="AA331" t="s">
        <v>6950</v>
      </c>
      <c r="AB331" t="s">
        <v>6951</v>
      </c>
      <c r="AC331" t="s">
        <v>6952</v>
      </c>
      <c r="AD331" t="s">
        <v>6953</v>
      </c>
      <c r="AE331" t="s">
        <v>6954</v>
      </c>
      <c r="AF331" t="s">
        <v>6955</v>
      </c>
      <c r="AG331" t="s">
        <v>6956</v>
      </c>
      <c r="AH331" t="s">
        <v>6957</v>
      </c>
      <c r="AI331" t="s">
        <v>6958</v>
      </c>
      <c r="AJ331" t="s">
        <v>6959</v>
      </c>
      <c r="AK331" t="s">
        <v>6976</v>
      </c>
      <c r="AL331" t="s">
        <v>6977</v>
      </c>
      <c r="AM331" t="s">
        <v>6978</v>
      </c>
      <c r="AN331" t="s">
        <v>6979</v>
      </c>
      <c r="AO331" t="s">
        <v>6980</v>
      </c>
      <c r="AR331" t="s">
        <v>4284</v>
      </c>
    </row>
    <row r="332" spans="1:44">
      <c r="A332">
        <v>11123505</v>
      </c>
      <c r="B332" t="s">
        <v>426</v>
      </c>
      <c r="C332" t="s">
        <v>1239</v>
      </c>
      <c r="D332" t="s">
        <v>1706</v>
      </c>
      <c r="E332" t="s">
        <v>1707</v>
      </c>
      <c r="F332" t="s">
        <v>1578</v>
      </c>
      <c r="G332" t="s">
        <v>1579</v>
      </c>
      <c r="H332" t="s">
        <v>2295</v>
      </c>
      <c r="I332" t="s">
        <v>4481</v>
      </c>
      <c r="J332" t="s">
        <v>3082</v>
      </c>
      <c r="K332" t="s">
        <v>3083</v>
      </c>
      <c r="M332">
        <v>50</v>
      </c>
      <c r="N332">
        <v>70</v>
      </c>
      <c r="O332" t="s">
        <v>2437</v>
      </c>
      <c r="P332" t="s">
        <v>2437</v>
      </c>
      <c r="R332">
        <v>24</v>
      </c>
      <c r="T332" t="s">
        <v>2437</v>
      </c>
      <c r="U332" t="s">
        <v>2437</v>
      </c>
      <c r="V332" t="s">
        <v>2437</v>
      </c>
      <c r="Y332" t="s">
        <v>6948</v>
      </c>
      <c r="Z332" t="s">
        <v>6949</v>
      </c>
      <c r="AA332" t="s">
        <v>6950</v>
      </c>
      <c r="AB332" t="s">
        <v>6951</v>
      </c>
      <c r="AC332" t="s">
        <v>6952</v>
      </c>
      <c r="AD332" t="s">
        <v>6953</v>
      </c>
      <c r="AE332" t="s">
        <v>6954</v>
      </c>
      <c r="AF332" t="s">
        <v>6955</v>
      </c>
      <c r="AG332" t="s">
        <v>6956</v>
      </c>
      <c r="AH332" t="s">
        <v>6957</v>
      </c>
      <c r="AI332" t="s">
        <v>6958</v>
      </c>
      <c r="AJ332" t="s">
        <v>6959</v>
      </c>
      <c r="AK332" t="s">
        <v>6976</v>
      </c>
      <c r="AL332" t="s">
        <v>6977</v>
      </c>
      <c r="AM332" t="s">
        <v>6978</v>
      </c>
      <c r="AN332" t="s">
        <v>6979</v>
      </c>
      <c r="AO332" t="s">
        <v>6980</v>
      </c>
      <c r="AR332" t="s">
        <v>4284</v>
      </c>
    </row>
    <row r="333" spans="1:44">
      <c r="A333">
        <v>11123506</v>
      </c>
      <c r="B333" t="s">
        <v>427</v>
      </c>
      <c r="C333" t="s">
        <v>1240</v>
      </c>
      <c r="D333" t="s">
        <v>1706</v>
      </c>
      <c r="E333" t="s">
        <v>1707</v>
      </c>
      <c r="F333" t="s">
        <v>1578</v>
      </c>
      <c r="G333" t="s">
        <v>1579</v>
      </c>
      <c r="H333" t="s">
        <v>2296</v>
      </c>
      <c r="I333" t="s">
        <v>4482</v>
      </c>
      <c r="J333" t="s">
        <v>3084</v>
      </c>
      <c r="K333" t="s">
        <v>3085</v>
      </c>
      <c r="M333">
        <v>50</v>
      </c>
      <c r="N333">
        <v>70</v>
      </c>
      <c r="O333" t="s">
        <v>2437</v>
      </c>
      <c r="P333" t="s">
        <v>2437</v>
      </c>
      <c r="R333">
        <v>24</v>
      </c>
      <c r="T333" t="s">
        <v>2437</v>
      </c>
      <c r="U333" t="s">
        <v>2437</v>
      </c>
      <c r="V333" t="s">
        <v>2437</v>
      </c>
      <c r="Y333" t="s">
        <v>6948</v>
      </c>
      <c r="Z333" t="s">
        <v>6949</v>
      </c>
      <c r="AA333" t="s">
        <v>6950</v>
      </c>
      <c r="AB333" t="s">
        <v>6951</v>
      </c>
      <c r="AC333" t="s">
        <v>6952</v>
      </c>
      <c r="AD333" t="s">
        <v>6953</v>
      </c>
      <c r="AE333" t="s">
        <v>6954</v>
      </c>
      <c r="AF333" t="s">
        <v>6955</v>
      </c>
      <c r="AG333" t="s">
        <v>6956</v>
      </c>
      <c r="AH333" t="s">
        <v>6957</v>
      </c>
      <c r="AI333" t="s">
        <v>6958</v>
      </c>
      <c r="AJ333" t="s">
        <v>6959</v>
      </c>
      <c r="AK333" t="s">
        <v>6976</v>
      </c>
      <c r="AL333" t="s">
        <v>6977</v>
      </c>
      <c r="AM333" t="s">
        <v>6978</v>
      </c>
      <c r="AN333" t="s">
        <v>6979</v>
      </c>
      <c r="AO333" t="s">
        <v>6980</v>
      </c>
      <c r="AR333" t="s">
        <v>4284</v>
      </c>
    </row>
    <row r="334" spans="1:44">
      <c r="A334">
        <v>11123509</v>
      </c>
      <c r="B334" t="s">
        <v>428</v>
      </c>
      <c r="C334" t="s">
        <v>1227</v>
      </c>
      <c r="D334" t="s">
        <v>1708</v>
      </c>
      <c r="E334" t="s">
        <v>1709</v>
      </c>
      <c r="F334" t="s">
        <v>1701</v>
      </c>
      <c r="G334" t="s">
        <v>1702</v>
      </c>
      <c r="H334" t="s">
        <v>2285</v>
      </c>
      <c r="I334" t="s">
        <v>4472</v>
      </c>
      <c r="J334" t="s">
        <v>3086</v>
      </c>
      <c r="K334" t="s">
        <v>3087</v>
      </c>
      <c r="M334">
        <v>50</v>
      </c>
      <c r="N334">
        <v>70</v>
      </c>
      <c r="O334" t="s">
        <v>2437</v>
      </c>
      <c r="P334" t="s">
        <v>2437</v>
      </c>
      <c r="R334" t="s">
        <v>2437</v>
      </c>
      <c r="T334" t="s">
        <v>2437</v>
      </c>
      <c r="U334" t="s">
        <v>2437</v>
      </c>
      <c r="V334" t="s">
        <v>2437</v>
      </c>
      <c r="Y334" t="s">
        <v>6948</v>
      </c>
      <c r="Z334" t="s">
        <v>6949</v>
      </c>
      <c r="AA334" t="s">
        <v>6950</v>
      </c>
      <c r="AB334" t="s">
        <v>6951</v>
      </c>
      <c r="AC334" t="s">
        <v>6952</v>
      </c>
      <c r="AD334" t="s">
        <v>6953</v>
      </c>
      <c r="AE334" t="s">
        <v>6954</v>
      </c>
      <c r="AF334" t="s">
        <v>6955</v>
      </c>
      <c r="AG334" t="s">
        <v>6956</v>
      </c>
      <c r="AH334" t="s">
        <v>6957</v>
      </c>
      <c r="AI334" t="s">
        <v>6958</v>
      </c>
      <c r="AJ334" t="s">
        <v>6959</v>
      </c>
      <c r="AR334" t="s">
        <v>4284</v>
      </c>
    </row>
    <row r="335" spans="1:44">
      <c r="A335">
        <v>11123510</v>
      </c>
      <c r="B335" t="s">
        <v>429</v>
      </c>
      <c r="C335" t="s">
        <v>1228</v>
      </c>
      <c r="D335" t="s">
        <v>1708</v>
      </c>
      <c r="E335" t="s">
        <v>1709</v>
      </c>
      <c r="F335" t="s">
        <v>1701</v>
      </c>
      <c r="G335" t="s">
        <v>1702</v>
      </c>
      <c r="H335" t="s">
        <v>2286</v>
      </c>
      <c r="I335" t="s">
        <v>4473</v>
      </c>
      <c r="J335" t="s">
        <v>3088</v>
      </c>
      <c r="K335" t="s">
        <v>3089</v>
      </c>
      <c r="M335">
        <v>50</v>
      </c>
      <c r="N335">
        <v>70</v>
      </c>
      <c r="O335" t="s">
        <v>2437</v>
      </c>
      <c r="P335" t="s">
        <v>2437</v>
      </c>
      <c r="R335" t="s">
        <v>2437</v>
      </c>
      <c r="T335" t="s">
        <v>2437</v>
      </c>
      <c r="U335" t="s">
        <v>2437</v>
      </c>
      <c r="V335" t="s">
        <v>2437</v>
      </c>
      <c r="Y335" t="s">
        <v>6948</v>
      </c>
      <c r="Z335" t="s">
        <v>6949</v>
      </c>
      <c r="AA335" t="s">
        <v>6950</v>
      </c>
      <c r="AB335" t="s">
        <v>6951</v>
      </c>
      <c r="AC335" t="s">
        <v>6952</v>
      </c>
      <c r="AD335" t="s">
        <v>6953</v>
      </c>
      <c r="AE335" t="s">
        <v>6954</v>
      </c>
      <c r="AF335" t="s">
        <v>6955</v>
      </c>
      <c r="AG335" t="s">
        <v>6956</v>
      </c>
      <c r="AH335" t="s">
        <v>6957</v>
      </c>
      <c r="AI335" t="s">
        <v>6958</v>
      </c>
      <c r="AJ335" t="s">
        <v>6959</v>
      </c>
      <c r="AR335" t="s">
        <v>4284</v>
      </c>
    </row>
    <row r="336" spans="1:44">
      <c r="A336">
        <v>11123515</v>
      </c>
      <c r="B336" t="s">
        <v>430</v>
      </c>
      <c r="C336" t="s">
        <v>1241</v>
      </c>
      <c r="D336" t="s">
        <v>1710</v>
      </c>
      <c r="E336" t="s">
        <v>1711</v>
      </c>
      <c r="F336" t="s">
        <v>1712</v>
      </c>
      <c r="G336" t="s">
        <v>1713</v>
      </c>
      <c r="H336" t="s">
        <v>2297</v>
      </c>
      <c r="I336" t="s">
        <v>4483</v>
      </c>
      <c r="J336" t="s">
        <v>3090</v>
      </c>
      <c r="K336" t="s">
        <v>3091</v>
      </c>
      <c r="M336">
        <v>60</v>
      </c>
      <c r="N336">
        <v>70</v>
      </c>
      <c r="O336" t="s">
        <v>2437</v>
      </c>
      <c r="P336" t="s">
        <v>2437</v>
      </c>
      <c r="R336" t="s">
        <v>2437</v>
      </c>
      <c r="T336" t="s">
        <v>2437</v>
      </c>
      <c r="U336" t="s">
        <v>2437</v>
      </c>
      <c r="V336" t="s">
        <v>2437</v>
      </c>
      <c r="Y336" t="s">
        <v>6948</v>
      </c>
      <c r="Z336" t="s">
        <v>6949</v>
      </c>
      <c r="AA336" t="s">
        <v>6950</v>
      </c>
      <c r="AB336" t="s">
        <v>6951</v>
      </c>
      <c r="AC336" t="s">
        <v>6952</v>
      </c>
      <c r="AD336" t="s">
        <v>6953</v>
      </c>
      <c r="AE336" t="s">
        <v>6961</v>
      </c>
      <c r="AF336" t="s">
        <v>6962</v>
      </c>
      <c r="AG336" t="s">
        <v>6963</v>
      </c>
      <c r="AH336" t="s">
        <v>6964</v>
      </c>
      <c r="AI336" t="s">
        <v>6965</v>
      </c>
      <c r="AJ336" t="s">
        <v>6966</v>
      </c>
      <c r="AR336" t="s">
        <v>4284</v>
      </c>
    </row>
    <row r="337" spans="1:44">
      <c r="A337">
        <v>11123516</v>
      </c>
      <c r="B337" t="s">
        <v>431</v>
      </c>
      <c r="C337" t="s">
        <v>1242</v>
      </c>
      <c r="D337" t="s">
        <v>1710</v>
      </c>
      <c r="E337" t="s">
        <v>1711</v>
      </c>
      <c r="F337" t="s">
        <v>1712</v>
      </c>
      <c r="G337" t="s">
        <v>1713</v>
      </c>
      <c r="H337" t="s">
        <v>2298</v>
      </c>
      <c r="I337" t="s">
        <v>4484</v>
      </c>
      <c r="J337" t="s">
        <v>3092</v>
      </c>
      <c r="K337" t="s">
        <v>3093</v>
      </c>
      <c r="M337">
        <v>60</v>
      </c>
      <c r="N337">
        <v>70</v>
      </c>
      <c r="O337" t="s">
        <v>2437</v>
      </c>
      <c r="P337" t="s">
        <v>2437</v>
      </c>
      <c r="R337" t="s">
        <v>2437</v>
      </c>
      <c r="T337" t="s">
        <v>2437</v>
      </c>
      <c r="U337" t="s">
        <v>2437</v>
      </c>
      <c r="V337" t="s">
        <v>2437</v>
      </c>
      <c r="Y337" t="s">
        <v>6948</v>
      </c>
      <c r="Z337" t="s">
        <v>6949</v>
      </c>
      <c r="AA337" t="s">
        <v>6950</v>
      </c>
      <c r="AB337" t="s">
        <v>6951</v>
      </c>
      <c r="AC337" t="s">
        <v>6952</v>
      </c>
      <c r="AD337" t="s">
        <v>6953</v>
      </c>
      <c r="AE337" t="s">
        <v>6961</v>
      </c>
      <c r="AF337" t="s">
        <v>6962</v>
      </c>
      <c r="AG337" t="s">
        <v>6963</v>
      </c>
      <c r="AH337" t="s">
        <v>6964</v>
      </c>
      <c r="AI337" t="s">
        <v>6965</v>
      </c>
      <c r="AJ337" t="s">
        <v>6966</v>
      </c>
      <c r="AR337" t="s">
        <v>4284</v>
      </c>
    </row>
    <row r="338" spans="1:44">
      <c r="A338">
        <v>11123517</v>
      </c>
      <c r="B338" t="s">
        <v>432</v>
      </c>
      <c r="C338" t="s">
        <v>1243</v>
      </c>
      <c r="D338" t="s">
        <v>1710</v>
      </c>
      <c r="E338" t="s">
        <v>1711</v>
      </c>
      <c r="F338" t="s">
        <v>1712</v>
      </c>
      <c r="G338" t="s">
        <v>1713</v>
      </c>
      <c r="H338" t="s">
        <v>2299</v>
      </c>
      <c r="I338" t="s">
        <v>4485</v>
      </c>
      <c r="J338" t="s">
        <v>3094</v>
      </c>
      <c r="K338" t="s">
        <v>3095</v>
      </c>
      <c r="M338">
        <v>60</v>
      </c>
      <c r="N338">
        <v>70</v>
      </c>
      <c r="O338" t="s">
        <v>2437</v>
      </c>
      <c r="P338" t="s">
        <v>2437</v>
      </c>
      <c r="R338" t="s">
        <v>2437</v>
      </c>
      <c r="T338" t="s">
        <v>2437</v>
      </c>
      <c r="U338" t="s">
        <v>2437</v>
      </c>
      <c r="V338" t="s">
        <v>2437</v>
      </c>
      <c r="Y338" t="s">
        <v>6948</v>
      </c>
      <c r="Z338" t="s">
        <v>6949</v>
      </c>
      <c r="AA338" t="s">
        <v>6950</v>
      </c>
      <c r="AB338" t="s">
        <v>6951</v>
      </c>
      <c r="AC338" t="s">
        <v>6952</v>
      </c>
      <c r="AD338" t="s">
        <v>6953</v>
      </c>
      <c r="AE338" t="s">
        <v>6961</v>
      </c>
      <c r="AF338" t="s">
        <v>6962</v>
      </c>
      <c r="AG338" t="s">
        <v>6963</v>
      </c>
      <c r="AH338" t="s">
        <v>6964</v>
      </c>
      <c r="AI338" t="s">
        <v>6965</v>
      </c>
      <c r="AJ338" t="s">
        <v>6966</v>
      </c>
      <c r="AR338" t="s">
        <v>4284</v>
      </c>
    </row>
    <row r="339" spans="1:44">
      <c r="A339">
        <v>11123518</v>
      </c>
      <c r="B339" t="s">
        <v>433</v>
      </c>
      <c r="C339" t="s">
        <v>1244</v>
      </c>
      <c r="D339" t="s">
        <v>1710</v>
      </c>
      <c r="E339" t="s">
        <v>1711</v>
      </c>
      <c r="F339" t="s">
        <v>1712</v>
      </c>
      <c r="G339" t="s">
        <v>1713</v>
      </c>
      <c r="H339" t="s">
        <v>2300</v>
      </c>
      <c r="I339" t="s">
        <v>4486</v>
      </c>
      <c r="J339" t="s">
        <v>3096</v>
      </c>
      <c r="K339" t="s">
        <v>3097</v>
      </c>
      <c r="M339">
        <v>60</v>
      </c>
      <c r="N339">
        <v>70</v>
      </c>
      <c r="O339" t="s">
        <v>2437</v>
      </c>
      <c r="P339" t="s">
        <v>2437</v>
      </c>
      <c r="R339" t="s">
        <v>2437</v>
      </c>
      <c r="T339" t="s">
        <v>2437</v>
      </c>
      <c r="U339" t="s">
        <v>2437</v>
      </c>
      <c r="V339" t="s">
        <v>2437</v>
      </c>
      <c r="Y339" t="s">
        <v>6948</v>
      </c>
      <c r="Z339" t="s">
        <v>6949</v>
      </c>
      <c r="AA339" t="s">
        <v>6950</v>
      </c>
      <c r="AB339" t="s">
        <v>6951</v>
      </c>
      <c r="AC339" t="s">
        <v>6952</v>
      </c>
      <c r="AD339" t="s">
        <v>6953</v>
      </c>
      <c r="AE339" t="s">
        <v>6961</v>
      </c>
      <c r="AF339" t="s">
        <v>6962</v>
      </c>
      <c r="AG339" t="s">
        <v>6963</v>
      </c>
      <c r="AH339" t="s">
        <v>6964</v>
      </c>
      <c r="AI339" t="s">
        <v>6965</v>
      </c>
      <c r="AJ339" t="s">
        <v>6966</v>
      </c>
      <c r="AR339" t="s">
        <v>4284</v>
      </c>
    </row>
    <row r="340" spans="1:44">
      <c r="A340">
        <v>11123519</v>
      </c>
      <c r="B340" t="s">
        <v>434</v>
      </c>
      <c r="C340" t="s">
        <v>1245</v>
      </c>
      <c r="D340" t="s">
        <v>1710</v>
      </c>
      <c r="E340" t="s">
        <v>1711</v>
      </c>
      <c r="F340" t="s">
        <v>1712</v>
      </c>
      <c r="G340" t="s">
        <v>1713</v>
      </c>
      <c r="H340" t="s">
        <v>2301</v>
      </c>
      <c r="I340" t="s">
        <v>4487</v>
      </c>
      <c r="J340" t="s">
        <v>3098</v>
      </c>
      <c r="K340" t="s">
        <v>3099</v>
      </c>
      <c r="M340">
        <v>60</v>
      </c>
      <c r="N340">
        <v>70</v>
      </c>
      <c r="O340" t="s">
        <v>2437</v>
      </c>
      <c r="P340" t="s">
        <v>2437</v>
      </c>
      <c r="R340" t="s">
        <v>2437</v>
      </c>
      <c r="T340" t="s">
        <v>2437</v>
      </c>
      <c r="U340" t="s">
        <v>2437</v>
      </c>
      <c r="V340" t="s">
        <v>2437</v>
      </c>
      <c r="Y340" t="s">
        <v>6948</v>
      </c>
      <c r="Z340" t="s">
        <v>6949</v>
      </c>
      <c r="AA340" t="s">
        <v>6950</v>
      </c>
      <c r="AB340" t="s">
        <v>6951</v>
      </c>
      <c r="AC340" t="s">
        <v>6952</v>
      </c>
      <c r="AD340" t="s">
        <v>6953</v>
      </c>
      <c r="AE340" t="s">
        <v>6961</v>
      </c>
      <c r="AF340" t="s">
        <v>6962</v>
      </c>
      <c r="AG340" t="s">
        <v>6963</v>
      </c>
      <c r="AH340" t="s">
        <v>6964</v>
      </c>
      <c r="AI340" t="s">
        <v>6965</v>
      </c>
      <c r="AJ340" t="s">
        <v>6966</v>
      </c>
      <c r="AR340" t="s">
        <v>4284</v>
      </c>
    </row>
    <row r="341" spans="1:44">
      <c r="A341">
        <v>11123520</v>
      </c>
      <c r="B341" t="s">
        <v>435</v>
      </c>
      <c r="C341" t="s">
        <v>1246</v>
      </c>
      <c r="D341" t="s">
        <v>1710</v>
      </c>
      <c r="E341" t="s">
        <v>1711</v>
      </c>
      <c r="F341" t="s">
        <v>1712</v>
      </c>
      <c r="G341" t="s">
        <v>1713</v>
      </c>
      <c r="H341" t="s">
        <v>2302</v>
      </c>
      <c r="I341" t="s">
        <v>4488</v>
      </c>
      <c r="J341" t="s">
        <v>3100</v>
      </c>
      <c r="K341" t="s">
        <v>3101</v>
      </c>
      <c r="M341">
        <v>60</v>
      </c>
      <c r="N341">
        <v>70</v>
      </c>
      <c r="O341" t="s">
        <v>2437</v>
      </c>
      <c r="P341" t="s">
        <v>2437</v>
      </c>
      <c r="R341" t="s">
        <v>2437</v>
      </c>
      <c r="T341" t="s">
        <v>2437</v>
      </c>
      <c r="U341" t="s">
        <v>2437</v>
      </c>
      <c r="V341" t="s">
        <v>2437</v>
      </c>
      <c r="Y341" t="s">
        <v>6948</v>
      </c>
      <c r="Z341" t="s">
        <v>6949</v>
      </c>
      <c r="AA341" t="s">
        <v>6950</v>
      </c>
      <c r="AB341" t="s">
        <v>6951</v>
      </c>
      <c r="AC341" t="s">
        <v>6952</v>
      </c>
      <c r="AD341" t="s">
        <v>6953</v>
      </c>
      <c r="AE341" t="s">
        <v>6961</v>
      </c>
      <c r="AF341" t="s">
        <v>6962</v>
      </c>
      <c r="AG341" t="s">
        <v>6963</v>
      </c>
      <c r="AH341" t="s">
        <v>6964</v>
      </c>
      <c r="AI341" t="s">
        <v>6965</v>
      </c>
      <c r="AJ341" t="s">
        <v>6966</v>
      </c>
      <c r="AR341" t="s">
        <v>4284</v>
      </c>
    </row>
    <row r="342" spans="1:44">
      <c r="A342">
        <v>11123521</v>
      </c>
      <c r="B342" t="s">
        <v>436</v>
      </c>
      <c r="C342" t="s">
        <v>1241</v>
      </c>
      <c r="D342" t="s">
        <v>1714</v>
      </c>
      <c r="E342" t="s">
        <v>1715</v>
      </c>
      <c r="F342" t="s">
        <v>1716</v>
      </c>
      <c r="G342" t="s">
        <v>1717</v>
      </c>
      <c r="H342" t="s">
        <v>2303</v>
      </c>
      <c r="I342" t="s">
        <v>4489</v>
      </c>
      <c r="J342" t="s">
        <v>3102</v>
      </c>
      <c r="K342" t="s">
        <v>3103</v>
      </c>
      <c r="M342">
        <v>60</v>
      </c>
      <c r="N342">
        <v>70</v>
      </c>
      <c r="O342" t="s">
        <v>2437</v>
      </c>
      <c r="P342" t="s">
        <v>2437</v>
      </c>
      <c r="R342" t="s">
        <v>2437</v>
      </c>
      <c r="T342" t="s">
        <v>2437</v>
      </c>
      <c r="U342" t="s">
        <v>2437</v>
      </c>
      <c r="V342" t="s">
        <v>2437</v>
      </c>
      <c r="Y342" t="s">
        <v>6948</v>
      </c>
      <c r="Z342" t="s">
        <v>6949</v>
      </c>
      <c r="AA342" t="s">
        <v>6950</v>
      </c>
      <c r="AB342" t="s">
        <v>6951</v>
      </c>
      <c r="AC342" t="s">
        <v>6952</v>
      </c>
      <c r="AD342" t="s">
        <v>6953</v>
      </c>
      <c r="AE342" t="s">
        <v>6961</v>
      </c>
      <c r="AF342" t="s">
        <v>6962</v>
      </c>
      <c r="AG342" t="s">
        <v>6963</v>
      </c>
      <c r="AH342" t="s">
        <v>6964</v>
      </c>
      <c r="AI342" t="s">
        <v>6965</v>
      </c>
      <c r="AJ342" t="s">
        <v>6966</v>
      </c>
      <c r="AR342" t="s">
        <v>4284</v>
      </c>
    </row>
    <row r="343" spans="1:44">
      <c r="A343">
        <v>11123522</v>
      </c>
      <c r="B343" t="s">
        <v>437</v>
      </c>
      <c r="C343" t="s">
        <v>1242</v>
      </c>
      <c r="D343" t="s">
        <v>1714</v>
      </c>
      <c r="E343" t="s">
        <v>1715</v>
      </c>
      <c r="F343" t="s">
        <v>1716</v>
      </c>
      <c r="G343" t="s">
        <v>1717</v>
      </c>
      <c r="H343" t="s">
        <v>2304</v>
      </c>
      <c r="I343" t="s">
        <v>4490</v>
      </c>
      <c r="J343" t="s">
        <v>3104</v>
      </c>
      <c r="K343" t="s">
        <v>3105</v>
      </c>
      <c r="M343">
        <v>60</v>
      </c>
      <c r="N343">
        <v>70</v>
      </c>
      <c r="O343" t="s">
        <v>2437</v>
      </c>
      <c r="P343" t="s">
        <v>2437</v>
      </c>
      <c r="R343" t="s">
        <v>2437</v>
      </c>
      <c r="T343" t="s">
        <v>2437</v>
      </c>
      <c r="U343" t="s">
        <v>2437</v>
      </c>
      <c r="V343" t="s">
        <v>2437</v>
      </c>
      <c r="Y343" t="s">
        <v>6948</v>
      </c>
      <c r="Z343" t="s">
        <v>6949</v>
      </c>
      <c r="AA343" t="s">
        <v>6950</v>
      </c>
      <c r="AB343" t="s">
        <v>6951</v>
      </c>
      <c r="AC343" t="s">
        <v>6952</v>
      </c>
      <c r="AD343" t="s">
        <v>6953</v>
      </c>
      <c r="AE343" t="s">
        <v>6961</v>
      </c>
      <c r="AF343" t="s">
        <v>6962</v>
      </c>
      <c r="AG343" t="s">
        <v>6963</v>
      </c>
      <c r="AH343" t="s">
        <v>6964</v>
      </c>
      <c r="AI343" t="s">
        <v>6965</v>
      </c>
      <c r="AJ343" t="s">
        <v>6966</v>
      </c>
      <c r="AR343" t="s">
        <v>4284</v>
      </c>
    </row>
    <row r="344" spans="1:44">
      <c r="A344">
        <v>11123523</v>
      </c>
      <c r="B344" t="s">
        <v>438</v>
      </c>
      <c r="C344" t="s">
        <v>1243</v>
      </c>
      <c r="D344" t="s">
        <v>1714</v>
      </c>
      <c r="E344" t="s">
        <v>1715</v>
      </c>
      <c r="F344" t="s">
        <v>1716</v>
      </c>
      <c r="G344" t="s">
        <v>1717</v>
      </c>
      <c r="H344" t="s">
        <v>2305</v>
      </c>
      <c r="I344" t="s">
        <v>4491</v>
      </c>
      <c r="J344" t="s">
        <v>3106</v>
      </c>
      <c r="K344" t="s">
        <v>3107</v>
      </c>
      <c r="M344">
        <v>60</v>
      </c>
      <c r="N344">
        <v>70</v>
      </c>
      <c r="O344" t="s">
        <v>2437</v>
      </c>
      <c r="P344" t="s">
        <v>2437</v>
      </c>
      <c r="R344" t="s">
        <v>2437</v>
      </c>
      <c r="T344" t="s">
        <v>2437</v>
      </c>
      <c r="U344" t="s">
        <v>2437</v>
      </c>
      <c r="V344" t="s">
        <v>2437</v>
      </c>
      <c r="Y344" t="s">
        <v>6948</v>
      </c>
      <c r="Z344" t="s">
        <v>6949</v>
      </c>
      <c r="AA344" t="s">
        <v>6950</v>
      </c>
      <c r="AB344" t="s">
        <v>6951</v>
      </c>
      <c r="AC344" t="s">
        <v>6952</v>
      </c>
      <c r="AD344" t="s">
        <v>6953</v>
      </c>
      <c r="AE344" t="s">
        <v>6961</v>
      </c>
      <c r="AF344" t="s">
        <v>6962</v>
      </c>
      <c r="AG344" t="s">
        <v>6963</v>
      </c>
      <c r="AH344" t="s">
        <v>6964</v>
      </c>
      <c r="AI344" t="s">
        <v>6965</v>
      </c>
      <c r="AJ344" t="s">
        <v>6966</v>
      </c>
      <c r="AR344" t="s">
        <v>4284</v>
      </c>
    </row>
    <row r="345" spans="1:44">
      <c r="A345">
        <v>11123524</v>
      </c>
      <c r="B345" t="s">
        <v>439</v>
      </c>
      <c r="C345" t="s">
        <v>1244</v>
      </c>
      <c r="D345" t="s">
        <v>1714</v>
      </c>
      <c r="E345" t="s">
        <v>1715</v>
      </c>
      <c r="F345" t="s">
        <v>1716</v>
      </c>
      <c r="G345" t="s">
        <v>1717</v>
      </c>
      <c r="H345" t="s">
        <v>2306</v>
      </c>
      <c r="I345" t="s">
        <v>4492</v>
      </c>
      <c r="J345" t="s">
        <v>3108</v>
      </c>
      <c r="K345" t="s">
        <v>3109</v>
      </c>
      <c r="M345">
        <v>60</v>
      </c>
      <c r="N345">
        <v>70</v>
      </c>
      <c r="O345" t="s">
        <v>2437</v>
      </c>
      <c r="P345" t="s">
        <v>2437</v>
      </c>
      <c r="R345" t="s">
        <v>2437</v>
      </c>
      <c r="T345" t="s">
        <v>2437</v>
      </c>
      <c r="U345" t="s">
        <v>2437</v>
      </c>
      <c r="V345" t="s">
        <v>2437</v>
      </c>
      <c r="Y345" t="s">
        <v>6948</v>
      </c>
      <c r="Z345" t="s">
        <v>6949</v>
      </c>
      <c r="AA345" t="s">
        <v>6950</v>
      </c>
      <c r="AB345" t="s">
        <v>6951</v>
      </c>
      <c r="AC345" t="s">
        <v>6952</v>
      </c>
      <c r="AD345" t="s">
        <v>6953</v>
      </c>
      <c r="AE345" t="s">
        <v>6961</v>
      </c>
      <c r="AF345" t="s">
        <v>6962</v>
      </c>
      <c r="AG345" t="s">
        <v>6963</v>
      </c>
      <c r="AH345" t="s">
        <v>6964</v>
      </c>
      <c r="AI345" t="s">
        <v>6965</v>
      </c>
      <c r="AJ345" t="s">
        <v>6966</v>
      </c>
      <c r="AR345" t="s">
        <v>4284</v>
      </c>
    </row>
    <row r="346" spans="1:44">
      <c r="A346">
        <v>11123525</v>
      </c>
      <c r="B346" t="s">
        <v>440</v>
      </c>
      <c r="C346" t="s">
        <v>1245</v>
      </c>
      <c r="D346" t="s">
        <v>1714</v>
      </c>
      <c r="E346" t="s">
        <v>1715</v>
      </c>
      <c r="F346" t="s">
        <v>1716</v>
      </c>
      <c r="G346" t="s">
        <v>1717</v>
      </c>
      <c r="H346" t="s">
        <v>2307</v>
      </c>
      <c r="I346" t="s">
        <v>4493</v>
      </c>
      <c r="J346" t="s">
        <v>3110</v>
      </c>
      <c r="K346" t="s">
        <v>3111</v>
      </c>
      <c r="M346">
        <v>60</v>
      </c>
      <c r="N346">
        <v>70</v>
      </c>
      <c r="O346" t="s">
        <v>2437</v>
      </c>
      <c r="P346" t="s">
        <v>2437</v>
      </c>
      <c r="R346" t="s">
        <v>2437</v>
      </c>
      <c r="T346" t="s">
        <v>2437</v>
      </c>
      <c r="U346" t="s">
        <v>2437</v>
      </c>
      <c r="V346" t="s">
        <v>2437</v>
      </c>
      <c r="Y346" t="s">
        <v>6948</v>
      </c>
      <c r="Z346" t="s">
        <v>6949</v>
      </c>
      <c r="AA346" t="s">
        <v>6950</v>
      </c>
      <c r="AB346" t="s">
        <v>6951</v>
      </c>
      <c r="AC346" t="s">
        <v>6952</v>
      </c>
      <c r="AD346" t="s">
        <v>6953</v>
      </c>
      <c r="AE346" t="s">
        <v>6961</v>
      </c>
      <c r="AF346" t="s">
        <v>6962</v>
      </c>
      <c r="AG346" t="s">
        <v>6963</v>
      </c>
      <c r="AH346" t="s">
        <v>6964</v>
      </c>
      <c r="AI346" t="s">
        <v>6965</v>
      </c>
      <c r="AJ346" t="s">
        <v>6966</v>
      </c>
      <c r="AR346" t="s">
        <v>4284</v>
      </c>
    </row>
    <row r="347" spans="1:44">
      <c r="A347">
        <v>11123526</v>
      </c>
      <c r="B347" t="s">
        <v>441</v>
      </c>
      <c r="C347" t="s">
        <v>1246</v>
      </c>
      <c r="D347" t="s">
        <v>1714</v>
      </c>
      <c r="E347" t="s">
        <v>1715</v>
      </c>
      <c r="F347" t="s">
        <v>1716</v>
      </c>
      <c r="G347" t="s">
        <v>1717</v>
      </c>
      <c r="H347" t="s">
        <v>2308</v>
      </c>
      <c r="I347" t="s">
        <v>4494</v>
      </c>
      <c r="J347" t="s">
        <v>3112</v>
      </c>
      <c r="K347" t="s">
        <v>3113</v>
      </c>
      <c r="M347">
        <v>60</v>
      </c>
      <c r="N347">
        <v>70</v>
      </c>
      <c r="O347" t="s">
        <v>2437</v>
      </c>
      <c r="P347" t="s">
        <v>2437</v>
      </c>
      <c r="R347" t="s">
        <v>2437</v>
      </c>
      <c r="T347" t="s">
        <v>2437</v>
      </c>
      <c r="U347" t="s">
        <v>2437</v>
      </c>
      <c r="V347" t="s">
        <v>2437</v>
      </c>
      <c r="Y347" t="s">
        <v>6948</v>
      </c>
      <c r="Z347" t="s">
        <v>6949</v>
      </c>
      <c r="AA347" t="s">
        <v>6950</v>
      </c>
      <c r="AB347" t="s">
        <v>6951</v>
      </c>
      <c r="AC347" t="s">
        <v>6952</v>
      </c>
      <c r="AD347" t="s">
        <v>6953</v>
      </c>
      <c r="AE347" t="s">
        <v>6961</v>
      </c>
      <c r="AF347" t="s">
        <v>6962</v>
      </c>
      <c r="AG347" t="s">
        <v>6963</v>
      </c>
      <c r="AH347" t="s">
        <v>6964</v>
      </c>
      <c r="AI347" t="s">
        <v>6965</v>
      </c>
      <c r="AJ347" t="s">
        <v>6966</v>
      </c>
      <c r="AR347" t="s">
        <v>4284</v>
      </c>
    </row>
    <row r="348" spans="1:44">
      <c r="A348">
        <v>11123512</v>
      </c>
      <c r="B348" t="s">
        <v>442</v>
      </c>
      <c r="C348" t="s">
        <v>1247</v>
      </c>
      <c r="D348" t="s">
        <v>1705</v>
      </c>
      <c r="E348" t="s">
        <v>1629</v>
      </c>
      <c r="F348" t="s">
        <v>1586</v>
      </c>
      <c r="G348" t="s">
        <v>1587</v>
      </c>
      <c r="H348" t="s">
        <v>2182</v>
      </c>
      <c r="I348" t="s">
        <v>4377</v>
      </c>
      <c r="J348" t="s">
        <v>2792</v>
      </c>
      <c r="K348" t="s">
        <v>2793</v>
      </c>
      <c r="M348">
        <v>60</v>
      </c>
      <c r="N348">
        <v>70</v>
      </c>
      <c r="O348" t="s">
        <v>2437</v>
      </c>
      <c r="P348" t="s">
        <v>2437</v>
      </c>
      <c r="R348" t="s">
        <v>2437</v>
      </c>
      <c r="T348" t="s">
        <v>2437</v>
      </c>
      <c r="U348" t="s">
        <v>2437</v>
      </c>
      <c r="V348" t="s">
        <v>2437</v>
      </c>
      <c r="Y348" t="s">
        <v>6948</v>
      </c>
      <c r="Z348" t="s">
        <v>6949</v>
      </c>
      <c r="AA348" t="s">
        <v>6950</v>
      </c>
      <c r="AB348" t="s">
        <v>6951</v>
      </c>
      <c r="AC348" t="s">
        <v>6952</v>
      </c>
      <c r="AD348" t="s">
        <v>6953</v>
      </c>
      <c r="AE348" t="s">
        <v>6961</v>
      </c>
      <c r="AF348" t="s">
        <v>6962</v>
      </c>
      <c r="AG348" t="s">
        <v>6963</v>
      </c>
      <c r="AH348" t="s">
        <v>6964</v>
      </c>
      <c r="AI348" t="s">
        <v>6965</v>
      </c>
      <c r="AJ348" t="s">
        <v>6966</v>
      </c>
      <c r="AR348" t="s">
        <v>4284</v>
      </c>
    </row>
    <row r="349" spans="1:44">
      <c r="A349">
        <v>11123514</v>
      </c>
      <c r="B349" t="s">
        <v>443</v>
      </c>
      <c r="C349" t="s">
        <v>1248</v>
      </c>
      <c r="D349" t="s">
        <v>1705</v>
      </c>
      <c r="E349" t="s">
        <v>1629</v>
      </c>
      <c r="F349" t="s">
        <v>1586</v>
      </c>
      <c r="G349" t="s">
        <v>1587</v>
      </c>
      <c r="H349" t="s">
        <v>2181</v>
      </c>
      <c r="I349" t="s">
        <v>4386</v>
      </c>
      <c r="J349" t="s">
        <v>2798</v>
      </c>
      <c r="K349" t="s">
        <v>2799</v>
      </c>
      <c r="M349">
        <v>60</v>
      </c>
      <c r="N349">
        <v>70</v>
      </c>
      <c r="O349" t="s">
        <v>2437</v>
      </c>
      <c r="P349" t="s">
        <v>2437</v>
      </c>
      <c r="R349" t="s">
        <v>2437</v>
      </c>
      <c r="T349" t="s">
        <v>2437</v>
      </c>
      <c r="U349" t="s">
        <v>2437</v>
      </c>
      <c r="V349" t="s">
        <v>2437</v>
      </c>
      <c r="Y349" t="s">
        <v>6948</v>
      </c>
      <c r="Z349" t="s">
        <v>6949</v>
      </c>
      <c r="AA349" t="s">
        <v>6950</v>
      </c>
      <c r="AB349" t="s">
        <v>6951</v>
      </c>
      <c r="AC349" t="s">
        <v>6952</v>
      </c>
      <c r="AD349" t="s">
        <v>6953</v>
      </c>
      <c r="AE349" t="s">
        <v>6961</v>
      </c>
      <c r="AF349" t="s">
        <v>6962</v>
      </c>
      <c r="AG349" t="s">
        <v>6963</v>
      </c>
      <c r="AH349" t="s">
        <v>6964</v>
      </c>
      <c r="AI349" t="s">
        <v>6965</v>
      </c>
      <c r="AJ349" t="s">
        <v>6966</v>
      </c>
      <c r="AR349" t="s">
        <v>4284</v>
      </c>
    </row>
    <row r="350" spans="1:44">
      <c r="A350">
        <v>11123536</v>
      </c>
      <c r="B350" t="s">
        <v>444</v>
      </c>
      <c r="C350" t="s">
        <v>1249</v>
      </c>
      <c r="D350" t="s">
        <v>1718</v>
      </c>
      <c r="E350" t="s">
        <v>1719</v>
      </c>
      <c r="F350" t="s">
        <v>1720</v>
      </c>
      <c r="G350" t="s">
        <v>1721</v>
      </c>
      <c r="H350" t="s">
        <v>2309</v>
      </c>
      <c r="I350" t="s">
        <v>4495</v>
      </c>
      <c r="J350" t="s">
        <v>3114</v>
      </c>
      <c r="K350" t="s">
        <v>3115</v>
      </c>
      <c r="M350">
        <v>50</v>
      </c>
      <c r="N350">
        <v>70</v>
      </c>
      <c r="O350" t="s">
        <v>2437</v>
      </c>
      <c r="P350" t="s">
        <v>2437</v>
      </c>
      <c r="R350" t="s">
        <v>2437</v>
      </c>
      <c r="T350" t="s">
        <v>2437</v>
      </c>
      <c r="U350" t="s">
        <v>2437</v>
      </c>
      <c r="V350" t="s">
        <v>2437</v>
      </c>
      <c r="Y350" t="s">
        <v>6948</v>
      </c>
      <c r="Z350" t="s">
        <v>6949</v>
      </c>
      <c r="AA350" t="s">
        <v>6950</v>
      </c>
      <c r="AB350" t="s">
        <v>6951</v>
      </c>
      <c r="AC350" t="s">
        <v>6952</v>
      </c>
      <c r="AD350" t="s">
        <v>6953</v>
      </c>
      <c r="AE350" t="s">
        <v>6954</v>
      </c>
      <c r="AF350" t="s">
        <v>6955</v>
      </c>
      <c r="AG350" t="s">
        <v>6956</v>
      </c>
      <c r="AH350" t="s">
        <v>6957</v>
      </c>
      <c r="AI350" t="s">
        <v>6958</v>
      </c>
      <c r="AJ350" t="s">
        <v>6959</v>
      </c>
      <c r="AR350" t="s">
        <v>4284</v>
      </c>
    </row>
    <row r="351" spans="1:44">
      <c r="A351">
        <v>11123345</v>
      </c>
      <c r="B351" t="s">
        <v>445</v>
      </c>
      <c r="C351" t="s">
        <v>1250</v>
      </c>
      <c r="D351" t="s">
        <v>1722</v>
      </c>
      <c r="E351" t="s">
        <v>1723</v>
      </c>
      <c r="F351" t="s">
        <v>1724</v>
      </c>
      <c r="G351" t="s">
        <v>1725</v>
      </c>
      <c r="H351" t="s">
        <v>2310</v>
      </c>
      <c r="I351" t="s">
        <v>4496</v>
      </c>
      <c r="J351" t="s">
        <v>3116</v>
      </c>
      <c r="K351" t="s">
        <v>3117</v>
      </c>
      <c r="M351">
        <v>60</v>
      </c>
      <c r="N351">
        <v>70</v>
      </c>
      <c r="O351" t="s">
        <v>2437</v>
      </c>
      <c r="P351" t="s">
        <v>2437</v>
      </c>
      <c r="R351" t="s">
        <v>2437</v>
      </c>
      <c r="T351" t="s">
        <v>2437</v>
      </c>
      <c r="U351" t="s">
        <v>2437</v>
      </c>
      <c r="V351" t="s">
        <v>2437</v>
      </c>
      <c r="Y351" t="s">
        <v>6948</v>
      </c>
      <c r="Z351" t="s">
        <v>6949</v>
      </c>
      <c r="AA351" t="s">
        <v>6950</v>
      </c>
      <c r="AB351" t="s">
        <v>6951</v>
      </c>
      <c r="AC351" t="s">
        <v>6952</v>
      </c>
      <c r="AD351" t="s">
        <v>6953</v>
      </c>
      <c r="AE351" t="s">
        <v>6961</v>
      </c>
      <c r="AF351" t="s">
        <v>6962</v>
      </c>
      <c r="AG351" t="s">
        <v>6963</v>
      </c>
      <c r="AH351" t="s">
        <v>6964</v>
      </c>
      <c r="AI351" t="s">
        <v>6965</v>
      </c>
      <c r="AJ351" t="s">
        <v>6966</v>
      </c>
      <c r="AR351" t="s">
        <v>4284</v>
      </c>
    </row>
    <row r="352" spans="1:44">
      <c r="A352">
        <v>11123347</v>
      </c>
      <c r="B352" t="s">
        <v>446</v>
      </c>
      <c r="C352" t="s">
        <v>1251</v>
      </c>
      <c r="D352" t="s">
        <v>1722</v>
      </c>
      <c r="E352" t="s">
        <v>1723</v>
      </c>
      <c r="F352" t="s">
        <v>1724</v>
      </c>
      <c r="G352" t="s">
        <v>1725</v>
      </c>
      <c r="H352" t="s">
        <v>2311</v>
      </c>
      <c r="I352" t="s">
        <v>4497</v>
      </c>
      <c r="J352" t="s">
        <v>3118</v>
      </c>
      <c r="K352" t="s">
        <v>3119</v>
      </c>
      <c r="M352">
        <v>60</v>
      </c>
      <c r="N352">
        <v>70</v>
      </c>
      <c r="O352" t="s">
        <v>2437</v>
      </c>
      <c r="P352" t="s">
        <v>2437</v>
      </c>
      <c r="R352" t="s">
        <v>2437</v>
      </c>
      <c r="T352" t="s">
        <v>2437</v>
      </c>
      <c r="U352" t="s">
        <v>2437</v>
      </c>
      <c r="V352" t="s">
        <v>2437</v>
      </c>
      <c r="Y352" t="s">
        <v>6948</v>
      </c>
      <c r="Z352" t="s">
        <v>6949</v>
      </c>
      <c r="AA352" t="s">
        <v>6950</v>
      </c>
      <c r="AB352" t="s">
        <v>6951</v>
      </c>
      <c r="AC352" t="s">
        <v>6952</v>
      </c>
      <c r="AD352" t="s">
        <v>6953</v>
      </c>
      <c r="AE352" t="s">
        <v>6961</v>
      </c>
      <c r="AF352" t="s">
        <v>6962</v>
      </c>
      <c r="AG352" t="s">
        <v>6963</v>
      </c>
      <c r="AH352" t="s">
        <v>6964</v>
      </c>
      <c r="AI352" t="s">
        <v>6965</v>
      </c>
      <c r="AJ352" t="s">
        <v>6966</v>
      </c>
      <c r="AR352" t="s">
        <v>4284</v>
      </c>
    </row>
    <row r="353" spans="1:44">
      <c r="A353">
        <v>11125675</v>
      </c>
      <c r="B353" t="s">
        <v>447</v>
      </c>
      <c r="C353" t="s">
        <v>968</v>
      </c>
      <c r="D353" t="s">
        <v>1726</v>
      </c>
      <c r="E353" t="s">
        <v>1489</v>
      </c>
      <c r="F353" t="s">
        <v>1727</v>
      </c>
      <c r="G353" t="s">
        <v>1728</v>
      </c>
      <c r="H353" t="s">
        <v>2312</v>
      </c>
      <c r="I353" t="s">
        <v>4498</v>
      </c>
      <c r="J353" t="s">
        <v>2587</v>
      </c>
      <c r="K353" t="s">
        <v>2588</v>
      </c>
      <c r="M353">
        <v>60</v>
      </c>
      <c r="N353">
        <v>70</v>
      </c>
      <c r="O353">
        <v>68</v>
      </c>
      <c r="P353">
        <v>105</v>
      </c>
      <c r="R353" t="s">
        <v>2437</v>
      </c>
      <c r="T353" t="s">
        <v>2589</v>
      </c>
      <c r="U353" t="s">
        <v>2590</v>
      </c>
      <c r="V353" t="s">
        <v>89</v>
      </c>
      <c r="Y353" t="s">
        <v>6948</v>
      </c>
      <c r="Z353" t="s">
        <v>6949</v>
      </c>
      <c r="AA353" t="s">
        <v>6950</v>
      </c>
      <c r="AB353" t="s">
        <v>6951</v>
      </c>
      <c r="AC353" t="s">
        <v>6952</v>
      </c>
      <c r="AD353" t="s">
        <v>6953</v>
      </c>
      <c r="AE353" t="s">
        <v>6961</v>
      </c>
      <c r="AF353" t="s">
        <v>6962</v>
      </c>
      <c r="AG353" t="s">
        <v>6963</v>
      </c>
      <c r="AH353" t="s">
        <v>6964</v>
      </c>
      <c r="AI353" t="s">
        <v>6965</v>
      </c>
      <c r="AJ353" t="s">
        <v>6966</v>
      </c>
      <c r="AK353" t="s">
        <v>6969</v>
      </c>
      <c r="AL353" t="s">
        <v>6970</v>
      </c>
      <c r="AM353" t="s">
        <v>6971</v>
      </c>
      <c r="AN353" t="s">
        <v>6972</v>
      </c>
      <c r="AR353" t="s">
        <v>4284</v>
      </c>
    </row>
    <row r="354" spans="1:44">
      <c r="A354">
        <v>11125674</v>
      </c>
      <c r="B354" t="s">
        <v>448</v>
      </c>
      <c r="C354" t="s">
        <v>1064</v>
      </c>
      <c r="D354" t="s">
        <v>1726</v>
      </c>
      <c r="E354" t="s">
        <v>1489</v>
      </c>
      <c r="F354" t="s">
        <v>1729</v>
      </c>
      <c r="G354" t="s">
        <v>1728</v>
      </c>
      <c r="H354" t="s">
        <v>2313</v>
      </c>
      <c r="I354" t="s">
        <v>4499</v>
      </c>
      <c r="J354" t="s">
        <v>2583</v>
      </c>
      <c r="K354" t="s">
        <v>2584</v>
      </c>
      <c r="M354">
        <v>60</v>
      </c>
      <c r="N354">
        <v>70</v>
      </c>
      <c r="O354">
        <v>68</v>
      </c>
      <c r="P354">
        <v>105</v>
      </c>
      <c r="R354" t="s">
        <v>2437</v>
      </c>
      <c r="T354" t="s">
        <v>2585</v>
      </c>
      <c r="U354" t="s">
        <v>2586</v>
      </c>
      <c r="V354" t="s">
        <v>89</v>
      </c>
      <c r="Y354" t="s">
        <v>6948</v>
      </c>
      <c r="Z354" t="s">
        <v>6949</v>
      </c>
      <c r="AA354" t="s">
        <v>6950</v>
      </c>
      <c r="AB354" t="s">
        <v>6951</v>
      </c>
      <c r="AC354" t="s">
        <v>6952</v>
      </c>
      <c r="AD354" t="s">
        <v>6953</v>
      </c>
      <c r="AE354" t="s">
        <v>6961</v>
      </c>
      <c r="AF354" t="s">
        <v>6962</v>
      </c>
      <c r="AG354" t="s">
        <v>6963</v>
      </c>
      <c r="AH354" t="s">
        <v>6964</v>
      </c>
      <c r="AI354" t="s">
        <v>6965</v>
      </c>
      <c r="AJ354" t="s">
        <v>6966</v>
      </c>
      <c r="AK354" t="s">
        <v>6969</v>
      </c>
      <c r="AL354" t="s">
        <v>6970</v>
      </c>
      <c r="AM354" t="s">
        <v>6971</v>
      </c>
      <c r="AN354" t="s">
        <v>6972</v>
      </c>
      <c r="AR354" t="s">
        <v>4284</v>
      </c>
    </row>
    <row r="355" spans="1:44">
      <c r="A355">
        <v>11125723</v>
      </c>
      <c r="B355" t="s">
        <v>449</v>
      </c>
      <c r="C355" t="s">
        <v>996</v>
      </c>
      <c r="D355" t="s">
        <v>1730</v>
      </c>
      <c r="E355" t="s">
        <v>1731</v>
      </c>
      <c r="F355" t="s">
        <v>1550</v>
      </c>
      <c r="G355" t="s">
        <v>1551</v>
      </c>
      <c r="H355" t="s">
        <v>2143</v>
      </c>
      <c r="I355" t="s">
        <v>4417</v>
      </c>
      <c r="J355" t="s">
        <v>3120</v>
      </c>
      <c r="K355" t="s">
        <v>3121</v>
      </c>
      <c r="M355">
        <v>50</v>
      </c>
      <c r="N355">
        <v>70</v>
      </c>
      <c r="O355" t="s">
        <v>2437</v>
      </c>
      <c r="P355" t="s">
        <v>2437</v>
      </c>
      <c r="R355" t="s">
        <v>2437</v>
      </c>
      <c r="T355" t="s">
        <v>2437</v>
      </c>
      <c r="U355" t="s">
        <v>2437</v>
      </c>
      <c r="V355" t="s">
        <v>2437</v>
      </c>
      <c r="Y355" t="s">
        <v>6948</v>
      </c>
      <c r="Z355" t="s">
        <v>6949</v>
      </c>
      <c r="AA355" t="s">
        <v>6950</v>
      </c>
      <c r="AB355" t="s">
        <v>6951</v>
      </c>
      <c r="AC355" t="s">
        <v>6952</v>
      </c>
      <c r="AD355" t="s">
        <v>6953</v>
      </c>
      <c r="AE355" t="s">
        <v>6954</v>
      </c>
      <c r="AF355" t="s">
        <v>6955</v>
      </c>
      <c r="AG355" t="s">
        <v>6956</v>
      </c>
      <c r="AH355" t="s">
        <v>6957</v>
      </c>
      <c r="AI355" t="s">
        <v>6958</v>
      </c>
      <c r="AJ355" t="s">
        <v>6959</v>
      </c>
      <c r="AR355" t="s">
        <v>4284</v>
      </c>
    </row>
    <row r="356" spans="1:44">
      <c r="A356">
        <v>11125715</v>
      </c>
      <c r="B356" t="s">
        <v>450</v>
      </c>
      <c r="C356" t="s">
        <v>989</v>
      </c>
      <c r="D356" t="s">
        <v>1732</v>
      </c>
      <c r="E356" t="s">
        <v>1733</v>
      </c>
      <c r="F356" t="s">
        <v>1548</v>
      </c>
      <c r="G356" t="s">
        <v>1549</v>
      </c>
      <c r="H356" t="s">
        <v>2139</v>
      </c>
      <c r="I356" t="s">
        <v>4330</v>
      </c>
      <c r="J356" t="s">
        <v>3122</v>
      </c>
      <c r="K356" t="s">
        <v>3123</v>
      </c>
      <c r="M356">
        <v>50</v>
      </c>
      <c r="N356">
        <v>70</v>
      </c>
      <c r="O356" t="s">
        <v>2437</v>
      </c>
      <c r="P356" t="s">
        <v>2437</v>
      </c>
      <c r="R356" t="s">
        <v>2437</v>
      </c>
      <c r="T356" t="s">
        <v>2437</v>
      </c>
      <c r="U356" t="s">
        <v>2437</v>
      </c>
      <c r="V356" t="s">
        <v>2437</v>
      </c>
      <c r="Y356" t="s">
        <v>6948</v>
      </c>
      <c r="Z356" t="s">
        <v>6949</v>
      </c>
      <c r="AA356" t="s">
        <v>6950</v>
      </c>
      <c r="AB356" t="s">
        <v>6951</v>
      </c>
      <c r="AC356" t="s">
        <v>6952</v>
      </c>
      <c r="AD356" t="s">
        <v>6953</v>
      </c>
      <c r="AE356" t="s">
        <v>6954</v>
      </c>
      <c r="AF356" t="s">
        <v>6955</v>
      </c>
      <c r="AG356" t="s">
        <v>6956</v>
      </c>
      <c r="AH356" t="s">
        <v>6957</v>
      </c>
      <c r="AI356" t="s">
        <v>6958</v>
      </c>
      <c r="AJ356" t="s">
        <v>6959</v>
      </c>
      <c r="AR356" t="s">
        <v>4284</v>
      </c>
    </row>
    <row r="357" spans="1:44">
      <c r="A357">
        <v>11125078</v>
      </c>
      <c r="B357" t="s">
        <v>451</v>
      </c>
      <c r="C357" t="s">
        <v>1252</v>
      </c>
      <c r="D357" t="s">
        <v>1734</v>
      </c>
      <c r="E357" t="s">
        <v>1735</v>
      </c>
      <c r="F357" t="s">
        <v>1512</v>
      </c>
      <c r="G357" t="s">
        <v>1513</v>
      </c>
      <c r="H357" t="s">
        <v>2235</v>
      </c>
      <c r="I357" t="s">
        <v>4426</v>
      </c>
      <c r="J357" t="s">
        <v>3124</v>
      </c>
      <c r="K357" t="s">
        <v>3125</v>
      </c>
      <c r="M357">
        <v>50</v>
      </c>
      <c r="N357">
        <v>70</v>
      </c>
      <c r="O357" t="s">
        <v>2437</v>
      </c>
      <c r="P357" t="s">
        <v>2437</v>
      </c>
      <c r="R357" t="s">
        <v>2437</v>
      </c>
      <c r="T357" t="s">
        <v>2437</v>
      </c>
      <c r="U357" t="s">
        <v>2437</v>
      </c>
      <c r="V357" t="s">
        <v>2437</v>
      </c>
      <c r="Y357" t="s">
        <v>6948</v>
      </c>
      <c r="Z357" t="s">
        <v>6949</v>
      </c>
      <c r="AA357" t="s">
        <v>6950</v>
      </c>
      <c r="AB357" t="s">
        <v>6951</v>
      </c>
      <c r="AC357" t="s">
        <v>6952</v>
      </c>
      <c r="AD357" t="s">
        <v>6953</v>
      </c>
      <c r="AE357" t="s">
        <v>6954</v>
      </c>
      <c r="AF357" t="s">
        <v>6955</v>
      </c>
      <c r="AG357" t="s">
        <v>6956</v>
      </c>
      <c r="AH357" t="s">
        <v>6957</v>
      </c>
      <c r="AI357" t="s">
        <v>6958</v>
      </c>
      <c r="AJ357" t="s">
        <v>6959</v>
      </c>
      <c r="AR357" t="s">
        <v>4284</v>
      </c>
    </row>
    <row r="358" spans="1:44">
      <c r="A358">
        <v>11124954</v>
      </c>
      <c r="B358" t="s">
        <v>452</v>
      </c>
      <c r="C358" t="s">
        <v>1217</v>
      </c>
      <c r="D358" t="s">
        <v>1736</v>
      </c>
      <c r="E358" t="s">
        <v>1581</v>
      </c>
      <c r="F358" t="s">
        <v>1515</v>
      </c>
      <c r="G358" t="s">
        <v>36</v>
      </c>
      <c r="H358" t="s">
        <v>2253</v>
      </c>
      <c r="I358" t="s">
        <v>4444</v>
      </c>
      <c r="J358" t="s">
        <v>3126</v>
      </c>
      <c r="K358" t="s">
        <v>3127</v>
      </c>
      <c r="M358">
        <v>60</v>
      </c>
      <c r="N358">
        <v>70</v>
      </c>
      <c r="O358" t="s">
        <v>2437</v>
      </c>
      <c r="P358" t="s">
        <v>2437</v>
      </c>
      <c r="R358" t="s">
        <v>2437</v>
      </c>
      <c r="T358" t="s">
        <v>2437</v>
      </c>
      <c r="U358" t="s">
        <v>2437</v>
      </c>
      <c r="V358" t="s">
        <v>2437</v>
      </c>
      <c r="Y358" t="s">
        <v>6948</v>
      </c>
      <c r="Z358" t="s">
        <v>6949</v>
      </c>
      <c r="AA358" t="s">
        <v>6950</v>
      </c>
      <c r="AB358" t="s">
        <v>6951</v>
      </c>
      <c r="AC358" t="s">
        <v>6952</v>
      </c>
      <c r="AD358" t="s">
        <v>6953</v>
      </c>
      <c r="AE358" t="s">
        <v>6961</v>
      </c>
      <c r="AF358" t="s">
        <v>6962</v>
      </c>
      <c r="AG358" t="s">
        <v>6963</v>
      </c>
      <c r="AH358" t="s">
        <v>6964</v>
      </c>
      <c r="AI358" t="s">
        <v>6965</v>
      </c>
      <c r="AJ358" t="s">
        <v>6966</v>
      </c>
      <c r="AR358" t="s">
        <v>4284</v>
      </c>
    </row>
    <row r="359" spans="1:44">
      <c r="A359">
        <v>11124958</v>
      </c>
      <c r="B359" t="s">
        <v>453</v>
      </c>
      <c r="C359" t="s">
        <v>1146</v>
      </c>
      <c r="D359" t="s">
        <v>1737</v>
      </c>
      <c r="E359" t="s">
        <v>1583</v>
      </c>
      <c r="F359" t="s">
        <v>1517</v>
      </c>
      <c r="G359" t="s">
        <v>1518</v>
      </c>
      <c r="H359" t="s">
        <v>2176</v>
      </c>
      <c r="I359" t="s">
        <v>4382</v>
      </c>
      <c r="J359" t="s">
        <v>3128</v>
      </c>
      <c r="K359" t="s">
        <v>3129</v>
      </c>
      <c r="M359">
        <v>60</v>
      </c>
      <c r="N359">
        <v>70</v>
      </c>
      <c r="O359" t="s">
        <v>2437</v>
      </c>
      <c r="P359" t="s">
        <v>2437</v>
      </c>
      <c r="R359" t="s">
        <v>2437</v>
      </c>
      <c r="T359" t="s">
        <v>2437</v>
      </c>
      <c r="U359" t="s">
        <v>2437</v>
      </c>
      <c r="V359" t="s">
        <v>2437</v>
      </c>
      <c r="Y359" t="s">
        <v>6948</v>
      </c>
      <c r="Z359" t="s">
        <v>6949</v>
      </c>
      <c r="AA359" t="s">
        <v>6950</v>
      </c>
      <c r="AB359" t="s">
        <v>6951</v>
      </c>
      <c r="AC359" t="s">
        <v>6952</v>
      </c>
      <c r="AD359" t="s">
        <v>6953</v>
      </c>
      <c r="AE359" t="s">
        <v>6961</v>
      </c>
      <c r="AF359" t="s">
        <v>6962</v>
      </c>
      <c r="AG359" t="s">
        <v>6963</v>
      </c>
      <c r="AH359" t="s">
        <v>6964</v>
      </c>
      <c r="AI359" t="s">
        <v>6965</v>
      </c>
      <c r="AJ359" t="s">
        <v>6966</v>
      </c>
      <c r="AR359" t="s">
        <v>4284</v>
      </c>
    </row>
    <row r="360" spans="1:44">
      <c r="A360">
        <v>11124962</v>
      </c>
      <c r="B360" t="s">
        <v>454</v>
      </c>
      <c r="C360" t="s">
        <v>1149</v>
      </c>
      <c r="D360" t="s">
        <v>1738</v>
      </c>
      <c r="E360" t="s">
        <v>1585</v>
      </c>
      <c r="F360" t="s">
        <v>1586</v>
      </c>
      <c r="G360" t="s">
        <v>1587</v>
      </c>
      <c r="H360" t="s">
        <v>2181</v>
      </c>
      <c r="I360" t="s">
        <v>4386</v>
      </c>
      <c r="J360" t="s">
        <v>3130</v>
      </c>
      <c r="K360" t="s">
        <v>3131</v>
      </c>
      <c r="M360">
        <v>60</v>
      </c>
      <c r="N360">
        <v>70</v>
      </c>
      <c r="O360" t="s">
        <v>2437</v>
      </c>
      <c r="P360" t="s">
        <v>2437</v>
      </c>
      <c r="R360" t="s">
        <v>2437</v>
      </c>
      <c r="T360" t="s">
        <v>2437</v>
      </c>
      <c r="U360" t="s">
        <v>2437</v>
      </c>
      <c r="V360" t="s">
        <v>2437</v>
      </c>
      <c r="Y360" t="s">
        <v>6948</v>
      </c>
      <c r="Z360" t="s">
        <v>6949</v>
      </c>
      <c r="AA360" t="s">
        <v>6950</v>
      </c>
      <c r="AB360" t="s">
        <v>6951</v>
      </c>
      <c r="AC360" t="s">
        <v>6952</v>
      </c>
      <c r="AD360" t="s">
        <v>6953</v>
      </c>
      <c r="AE360" t="s">
        <v>6961</v>
      </c>
      <c r="AF360" t="s">
        <v>6962</v>
      </c>
      <c r="AG360" t="s">
        <v>6963</v>
      </c>
      <c r="AH360" t="s">
        <v>6964</v>
      </c>
      <c r="AI360" t="s">
        <v>6965</v>
      </c>
      <c r="AJ360" t="s">
        <v>6966</v>
      </c>
      <c r="AR360" t="s">
        <v>4284</v>
      </c>
    </row>
    <row r="361" spans="1:44">
      <c r="A361">
        <v>11124940</v>
      </c>
      <c r="B361" t="s">
        <v>455</v>
      </c>
      <c r="C361" t="s">
        <v>1253</v>
      </c>
      <c r="D361" t="s">
        <v>1739</v>
      </c>
      <c r="E361" t="s">
        <v>1740</v>
      </c>
      <c r="F361" t="s">
        <v>1496</v>
      </c>
      <c r="G361" t="s">
        <v>1497</v>
      </c>
      <c r="H361" t="s">
        <v>2314</v>
      </c>
      <c r="I361" t="s">
        <v>4500</v>
      </c>
      <c r="J361" t="s">
        <v>3132</v>
      </c>
      <c r="K361" t="s">
        <v>3133</v>
      </c>
      <c r="M361">
        <v>50</v>
      </c>
      <c r="N361">
        <v>70</v>
      </c>
      <c r="O361" t="s">
        <v>2437</v>
      </c>
      <c r="P361" t="s">
        <v>2437</v>
      </c>
      <c r="R361" t="s">
        <v>2437</v>
      </c>
      <c r="T361" t="s">
        <v>2437</v>
      </c>
      <c r="U361" t="s">
        <v>2437</v>
      </c>
      <c r="V361" t="s">
        <v>2437</v>
      </c>
      <c r="Y361" t="s">
        <v>6948</v>
      </c>
      <c r="Z361" t="s">
        <v>6949</v>
      </c>
      <c r="AA361" t="s">
        <v>6950</v>
      </c>
      <c r="AB361" t="s">
        <v>6951</v>
      </c>
      <c r="AC361" t="s">
        <v>6952</v>
      </c>
      <c r="AD361" t="s">
        <v>6953</v>
      </c>
      <c r="AE361" t="s">
        <v>6954</v>
      </c>
      <c r="AF361" t="s">
        <v>6955</v>
      </c>
      <c r="AG361" t="s">
        <v>6956</v>
      </c>
      <c r="AH361" t="s">
        <v>6957</v>
      </c>
      <c r="AI361" t="s">
        <v>6958</v>
      </c>
      <c r="AJ361" t="s">
        <v>6959</v>
      </c>
      <c r="AR361" t="s">
        <v>4284</v>
      </c>
    </row>
    <row r="362" spans="1:44">
      <c r="A362">
        <v>11124941</v>
      </c>
      <c r="B362" t="s">
        <v>456</v>
      </c>
      <c r="C362" t="s">
        <v>1254</v>
      </c>
      <c r="D362" t="s">
        <v>1741</v>
      </c>
      <c r="E362" t="s">
        <v>1742</v>
      </c>
      <c r="F362" t="s">
        <v>1496</v>
      </c>
      <c r="G362" t="s">
        <v>1497</v>
      </c>
      <c r="H362" t="s">
        <v>2315</v>
      </c>
      <c r="I362" t="s">
        <v>4501</v>
      </c>
      <c r="J362" t="s">
        <v>3134</v>
      </c>
      <c r="K362" t="s">
        <v>3135</v>
      </c>
      <c r="M362">
        <v>50</v>
      </c>
      <c r="N362">
        <v>70</v>
      </c>
      <c r="O362" t="s">
        <v>2437</v>
      </c>
      <c r="P362" t="s">
        <v>2437</v>
      </c>
      <c r="R362" t="s">
        <v>2437</v>
      </c>
      <c r="T362" t="s">
        <v>2437</v>
      </c>
      <c r="U362" t="s">
        <v>2437</v>
      </c>
      <c r="V362" t="s">
        <v>2437</v>
      </c>
      <c r="Y362" t="s">
        <v>6948</v>
      </c>
      <c r="Z362" t="s">
        <v>6949</v>
      </c>
      <c r="AA362" t="s">
        <v>6950</v>
      </c>
      <c r="AB362" t="s">
        <v>6951</v>
      </c>
      <c r="AC362" t="s">
        <v>6952</v>
      </c>
      <c r="AD362" t="s">
        <v>6953</v>
      </c>
      <c r="AE362" t="s">
        <v>6954</v>
      </c>
      <c r="AF362" t="s">
        <v>6955</v>
      </c>
      <c r="AG362" t="s">
        <v>6956</v>
      </c>
      <c r="AH362" t="s">
        <v>6957</v>
      </c>
      <c r="AI362" t="s">
        <v>6958</v>
      </c>
      <c r="AJ362" t="s">
        <v>6959</v>
      </c>
      <c r="AR362" t="s">
        <v>4284</v>
      </c>
    </row>
    <row r="363" spans="1:44">
      <c r="A363">
        <v>11124942</v>
      </c>
      <c r="B363" t="s">
        <v>457</v>
      </c>
      <c r="C363" t="s">
        <v>981</v>
      </c>
      <c r="D363" t="s">
        <v>1743</v>
      </c>
      <c r="E363" t="s">
        <v>1744</v>
      </c>
      <c r="F363" t="s">
        <v>1496</v>
      </c>
      <c r="G363" t="s">
        <v>1497</v>
      </c>
      <c r="H363" t="s">
        <v>2316</v>
      </c>
      <c r="I363" t="s">
        <v>4322</v>
      </c>
      <c r="J363" t="s">
        <v>3136</v>
      </c>
      <c r="K363" t="s">
        <v>3137</v>
      </c>
      <c r="M363">
        <v>50</v>
      </c>
      <c r="N363">
        <v>70</v>
      </c>
      <c r="O363" t="s">
        <v>2437</v>
      </c>
      <c r="P363" t="s">
        <v>2437</v>
      </c>
      <c r="R363" t="s">
        <v>2437</v>
      </c>
      <c r="T363" t="s">
        <v>89</v>
      </c>
      <c r="U363" t="s">
        <v>89</v>
      </c>
      <c r="V363" t="s">
        <v>89</v>
      </c>
      <c r="Y363" t="s">
        <v>6948</v>
      </c>
      <c r="Z363" t="s">
        <v>6949</v>
      </c>
      <c r="AA363" t="s">
        <v>6950</v>
      </c>
      <c r="AB363" t="s">
        <v>6951</v>
      </c>
      <c r="AC363" t="s">
        <v>6952</v>
      </c>
      <c r="AD363" t="s">
        <v>6953</v>
      </c>
      <c r="AE363" t="s">
        <v>6954</v>
      </c>
      <c r="AF363" t="s">
        <v>6955</v>
      </c>
      <c r="AG363" t="s">
        <v>6956</v>
      </c>
      <c r="AH363" t="s">
        <v>6957</v>
      </c>
      <c r="AI363" t="s">
        <v>6958</v>
      </c>
      <c r="AJ363" t="s">
        <v>6959</v>
      </c>
      <c r="AR363" t="s">
        <v>4284</v>
      </c>
    </row>
    <row r="364" spans="1:44">
      <c r="A364">
        <v>11125099</v>
      </c>
      <c r="B364" t="s">
        <v>458</v>
      </c>
      <c r="C364" t="s">
        <v>1255</v>
      </c>
      <c r="D364" t="s">
        <v>1745</v>
      </c>
      <c r="E364" t="s">
        <v>1746</v>
      </c>
      <c r="F364" t="s">
        <v>1747</v>
      </c>
      <c r="G364" t="s">
        <v>1748</v>
      </c>
      <c r="H364" t="s">
        <v>2317</v>
      </c>
      <c r="I364" t="s">
        <v>4502</v>
      </c>
      <c r="J364" t="s">
        <v>3138</v>
      </c>
      <c r="K364" t="s">
        <v>3139</v>
      </c>
      <c r="M364">
        <v>50</v>
      </c>
      <c r="N364">
        <v>70</v>
      </c>
      <c r="O364" t="s">
        <v>2437</v>
      </c>
      <c r="P364" t="s">
        <v>2437</v>
      </c>
      <c r="R364" t="s">
        <v>2437</v>
      </c>
      <c r="T364" t="s">
        <v>2437</v>
      </c>
      <c r="U364" t="s">
        <v>2437</v>
      </c>
      <c r="V364" t="s">
        <v>2437</v>
      </c>
      <c r="Y364" t="s">
        <v>6948</v>
      </c>
      <c r="Z364" t="s">
        <v>6949</v>
      </c>
      <c r="AA364" t="s">
        <v>6950</v>
      </c>
      <c r="AB364" t="s">
        <v>6951</v>
      </c>
      <c r="AC364" t="s">
        <v>6952</v>
      </c>
      <c r="AD364" t="s">
        <v>6953</v>
      </c>
      <c r="AE364" t="s">
        <v>6954</v>
      </c>
      <c r="AF364" t="s">
        <v>6955</v>
      </c>
      <c r="AG364" t="s">
        <v>6956</v>
      </c>
      <c r="AH364" t="s">
        <v>6957</v>
      </c>
      <c r="AI364" t="s">
        <v>6958</v>
      </c>
      <c r="AJ364" t="s">
        <v>6959</v>
      </c>
      <c r="AR364" t="s">
        <v>4284</v>
      </c>
    </row>
    <row r="365" spans="1:44">
      <c r="A365">
        <v>11125072</v>
      </c>
      <c r="B365" t="s">
        <v>459</v>
      </c>
      <c r="C365" t="s">
        <v>1229</v>
      </c>
      <c r="D365" t="s">
        <v>1749</v>
      </c>
      <c r="E365" t="s">
        <v>1573</v>
      </c>
      <c r="F365" t="s">
        <v>1574</v>
      </c>
      <c r="G365" t="s">
        <v>1575</v>
      </c>
      <c r="H365" t="s">
        <v>2287</v>
      </c>
      <c r="I365" t="s">
        <v>4474</v>
      </c>
      <c r="J365" t="s">
        <v>3140</v>
      </c>
      <c r="K365" t="s">
        <v>3141</v>
      </c>
      <c r="M365">
        <v>60</v>
      </c>
      <c r="N365">
        <v>70</v>
      </c>
      <c r="O365" t="s">
        <v>2437</v>
      </c>
      <c r="P365" t="s">
        <v>2437</v>
      </c>
      <c r="R365" t="s">
        <v>2437</v>
      </c>
      <c r="T365" t="s">
        <v>2437</v>
      </c>
      <c r="U365" t="s">
        <v>2437</v>
      </c>
      <c r="V365" t="s">
        <v>2437</v>
      </c>
      <c r="Y365" t="s">
        <v>6948</v>
      </c>
      <c r="Z365" t="s">
        <v>6949</v>
      </c>
      <c r="AA365" t="s">
        <v>6950</v>
      </c>
      <c r="AB365" t="s">
        <v>6951</v>
      </c>
      <c r="AC365" t="s">
        <v>6952</v>
      </c>
      <c r="AD365" t="s">
        <v>6953</v>
      </c>
      <c r="AE365" t="s">
        <v>6961</v>
      </c>
      <c r="AF365" t="s">
        <v>6962</v>
      </c>
      <c r="AG365" t="s">
        <v>6963</v>
      </c>
      <c r="AH365" t="s">
        <v>6964</v>
      </c>
      <c r="AI365" t="s">
        <v>6965</v>
      </c>
      <c r="AJ365" t="s">
        <v>6966</v>
      </c>
      <c r="AR365" t="s">
        <v>4284</v>
      </c>
    </row>
    <row r="366" spans="1:44">
      <c r="A366">
        <v>11125073</v>
      </c>
      <c r="B366" t="s">
        <v>460</v>
      </c>
      <c r="C366" t="s">
        <v>1232</v>
      </c>
      <c r="D366" t="s">
        <v>1749</v>
      </c>
      <c r="E366" t="s">
        <v>1573</v>
      </c>
      <c r="F366" t="s">
        <v>1574</v>
      </c>
      <c r="G366" t="s">
        <v>1575</v>
      </c>
      <c r="H366" t="s">
        <v>2290</v>
      </c>
      <c r="I366" t="s">
        <v>4477</v>
      </c>
      <c r="J366" t="s">
        <v>3142</v>
      </c>
      <c r="K366" t="s">
        <v>3143</v>
      </c>
      <c r="M366">
        <v>60</v>
      </c>
      <c r="N366">
        <v>70</v>
      </c>
      <c r="O366" t="s">
        <v>2437</v>
      </c>
      <c r="P366" t="s">
        <v>2437</v>
      </c>
      <c r="R366" t="s">
        <v>2437</v>
      </c>
      <c r="T366" t="s">
        <v>2437</v>
      </c>
      <c r="U366" t="s">
        <v>2437</v>
      </c>
      <c r="V366" t="s">
        <v>2437</v>
      </c>
      <c r="Y366" t="s">
        <v>6948</v>
      </c>
      <c r="Z366" t="s">
        <v>6949</v>
      </c>
      <c r="AA366" t="s">
        <v>6950</v>
      </c>
      <c r="AB366" t="s">
        <v>6951</v>
      </c>
      <c r="AC366" t="s">
        <v>6952</v>
      </c>
      <c r="AD366" t="s">
        <v>6953</v>
      </c>
      <c r="AE366" t="s">
        <v>6961</v>
      </c>
      <c r="AF366" t="s">
        <v>6962</v>
      </c>
      <c r="AG366" t="s">
        <v>6963</v>
      </c>
      <c r="AH366" t="s">
        <v>6964</v>
      </c>
      <c r="AI366" t="s">
        <v>6965</v>
      </c>
      <c r="AJ366" t="s">
        <v>6966</v>
      </c>
      <c r="AR366" t="s">
        <v>4284</v>
      </c>
    </row>
    <row r="367" spans="1:44">
      <c r="A367">
        <v>11125084</v>
      </c>
      <c r="B367" t="s">
        <v>461</v>
      </c>
      <c r="C367" t="s">
        <v>1256</v>
      </c>
      <c r="D367" t="s">
        <v>1750</v>
      </c>
      <c r="E367" t="s">
        <v>1577</v>
      </c>
      <c r="F367" t="s">
        <v>1720</v>
      </c>
      <c r="G367" t="s">
        <v>1721</v>
      </c>
      <c r="H367" t="s">
        <v>2318</v>
      </c>
      <c r="I367" t="s">
        <v>4503</v>
      </c>
      <c r="J367" t="s">
        <v>3144</v>
      </c>
      <c r="K367" t="s">
        <v>3145</v>
      </c>
      <c r="M367">
        <v>50</v>
      </c>
      <c r="N367">
        <v>70</v>
      </c>
      <c r="O367" t="s">
        <v>2437</v>
      </c>
      <c r="P367" t="s">
        <v>2437</v>
      </c>
      <c r="R367" t="s">
        <v>2437</v>
      </c>
      <c r="T367" t="s">
        <v>2437</v>
      </c>
      <c r="U367" t="s">
        <v>2437</v>
      </c>
      <c r="V367" t="s">
        <v>2437</v>
      </c>
      <c r="Y367" t="s">
        <v>6948</v>
      </c>
      <c r="Z367" t="s">
        <v>6949</v>
      </c>
      <c r="AA367" t="s">
        <v>6950</v>
      </c>
      <c r="AB367" t="s">
        <v>6951</v>
      </c>
      <c r="AC367" t="s">
        <v>6952</v>
      </c>
      <c r="AD367" t="s">
        <v>6953</v>
      </c>
      <c r="AE367" t="s">
        <v>6954</v>
      </c>
      <c r="AF367" t="s">
        <v>6955</v>
      </c>
      <c r="AG367" t="s">
        <v>6956</v>
      </c>
      <c r="AH367" t="s">
        <v>6957</v>
      </c>
      <c r="AI367" t="s">
        <v>6958</v>
      </c>
      <c r="AJ367" t="s">
        <v>6959</v>
      </c>
      <c r="AR367" t="s">
        <v>4284</v>
      </c>
    </row>
    <row r="368" spans="1:44">
      <c r="A368">
        <v>11125082</v>
      </c>
      <c r="B368" t="s">
        <v>462</v>
      </c>
      <c r="C368" t="s">
        <v>1257</v>
      </c>
      <c r="D368" t="s">
        <v>1750</v>
      </c>
      <c r="E368" t="s">
        <v>1577</v>
      </c>
      <c r="F368" t="s">
        <v>1720</v>
      </c>
      <c r="G368" t="s">
        <v>1721</v>
      </c>
      <c r="H368" t="s">
        <v>2319</v>
      </c>
      <c r="I368" t="s">
        <v>4504</v>
      </c>
      <c r="J368" t="s">
        <v>3146</v>
      </c>
      <c r="K368" t="s">
        <v>3147</v>
      </c>
      <c r="M368">
        <v>50</v>
      </c>
      <c r="N368">
        <v>70</v>
      </c>
      <c r="O368" t="s">
        <v>2437</v>
      </c>
      <c r="P368" t="s">
        <v>2437</v>
      </c>
      <c r="R368" t="s">
        <v>2437</v>
      </c>
      <c r="T368" t="s">
        <v>2437</v>
      </c>
      <c r="U368" t="s">
        <v>2437</v>
      </c>
      <c r="V368" t="s">
        <v>2437</v>
      </c>
      <c r="Y368" t="s">
        <v>6948</v>
      </c>
      <c r="Z368" t="s">
        <v>6949</v>
      </c>
      <c r="AA368" t="s">
        <v>6950</v>
      </c>
      <c r="AB368" t="s">
        <v>6951</v>
      </c>
      <c r="AC368" t="s">
        <v>6952</v>
      </c>
      <c r="AD368" t="s">
        <v>6953</v>
      </c>
      <c r="AE368" t="s">
        <v>6954</v>
      </c>
      <c r="AF368" t="s">
        <v>6955</v>
      </c>
      <c r="AG368" t="s">
        <v>6956</v>
      </c>
      <c r="AH368" t="s">
        <v>6957</v>
      </c>
      <c r="AI368" t="s">
        <v>6958</v>
      </c>
      <c r="AJ368" t="s">
        <v>6959</v>
      </c>
      <c r="AR368" t="s">
        <v>4284</v>
      </c>
    </row>
    <row r="369" spans="1:44">
      <c r="A369">
        <v>11125012</v>
      </c>
      <c r="B369" t="s">
        <v>463</v>
      </c>
      <c r="C369" t="s">
        <v>1258</v>
      </c>
      <c r="D369" t="s">
        <v>1751</v>
      </c>
      <c r="E369" t="s">
        <v>1572</v>
      </c>
      <c r="F369" t="s">
        <v>1752</v>
      </c>
      <c r="G369" t="s">
        <v>1753</v>
      </c>
      <c r="H369" t="s">
        <v>2320</v>
      </c>
      <c r="I369" t="s">
        <v>4505</v>
      </c>
      <c r="J369" t="s">
        <v>3148</v>
      </c>
      <c r="K369" t="s">
        <v>3149</v>
      </c>
      <c r="M369">
        <v>50</v>
      </c>
      <c r="N369">
        <v>70</v>
      </c>
      <c r="O369" t="s">
        <v>2437</v>
      </c>
      <c r="P369" t="s">
        <v>2437</v>
      </c>
      <c r="R369" t="s">
        <v>2437</v>
      </c>
      <c r="T369" t="s">
        <v>2437</v>
      </c>
      <c r="U369" t="s">
        <v>2437</v>
      </c>
      <c r="V369" t="s">
        <v>2437</v>
      </c>
      <c r="Y369" t="s">
        <v>6948</v>
      </c>
      <c r="Z369" t="s">
        <v>6949</v>
      </c>
      <c r="AA369" t="s">
        <v>6950</v>
      </c>
      <c r="AB369" t="s">
        <v>6951</v>
      </c>
      <c r="AC369" t="s">
        <v>6952</v>
      </c>
      <c r="AD369" t="s">
        <v>6953</v>
      </c>
      <c r="AE369" t="s">
        <v>6954</v>
      </c>
      <c r="AF369" t="s">
        <v>6955</v>
      </c>
      <c r="AG369" t="s">
        <v>6956</v>
      </c>
      <c r="AH369" t="s">
        <v>6957</v>
      </c>
      <c r="AI369" t="s">
        <v>6958</v>
      </c>
      <c r="AJ369" t="s">
        <v>6959</v>
      </c>
      <c r="AR369" t="s">
        <v>4284</v>
      </c>
    </row>
    <row r="370" spans="1:44">
      <c r="A370">
        <v>11125042</v>
      </c>
      <c r="B370" t="s">
        <v>464</v>
      </c>
      <c r="C370" t="s">
        <v>1259</v>
      </c>
      <c r="D370" t="s">
        <v>1754</v>
      </c>
      <c r="E370" t="s">
        <v>1755</v>
      </c>
      <c r="F370" t="s">
        <v>1654</v>
      </c>
      <c r="G370" t="s">
        <v>1655</v>
      </c>
      <c r="H370" t="s">
        <v>2239</v>
      </c>
      <c r="I370" t="s">
        <v>4430</v>
      </c>
      <c r="J370" t="s">
        <v>3150</v>
      </c>
      <c r="K370" t="s">
        <v>3151</v>
      </c>
      <c r="M370">
        <v>50</v>
      </c>
      <c r="N370">
        <v>70</v>
      </c>
      <c r="O370" t="s">
        <v>2437</v>
      </c>
      <c r="P370" t="s">
        <v>2437</v>
      </c>
      <c r="R370" t="s">
        <v>2437</v>
      </c>
      <c r="T370" t="s">
        <v>2437</v>
      </c>
      <c r="U370" t="s">
        <v>2437</v>
      </c>
      <c r="V370" t="s">
        <v>2437</v>
      </c>
      <c r="Y370" t="s">
        <v>6948</v>
      </c>
      <c r="Z370" t="s">
        <v>6949</v>
      </c>
      <c r="AA370" t="s">
        <v>6950</v>
      </c>
      <c r="AB370" t="s">
        <v>6951</v>
      </c>
      <c r="AC370" t="s">
        <v>6952</v>
      </c>
      <c r="AD370" t="s">
        <v>6953</v>
      </c>
      <c r="AE370" t="s">
        <v>6954</v>
      </c>
      <c r="AF370" t="s">
        <v>6955</v>
      </c>
      <c r="AG370" t="s">
        <v>6956</v>
      </c>
      <c r="AH370" t="s">
        <v>6957</v>
      </c>
      <c r="AI370" t="s">
        <v>6958</v>
      </c>
      <c r="AJ370" t="s">
        <v>6959</v>
      </c>
      <c r="AR370" t="s">
        <v>4284</v>
      </c>
    </row>
    <row r="371" spans="1:44">
      <c r="A371">
        <v>11120127</v>
      </c>
      <c r="B371" t="s">
        <v>465</v>
      </c>
      <c r="C371" t="s">
        <v>1218</v>
      </c>
      <c r="D371" t="s">
        <v>1736</v>
      </c>
      <c r="E371" t="s">
        <v>1581</v>
      </c>
      <c r="F371" t="s">
        <v>1515</v>
      </c>
      <c r="G371" t="s">
        <v>36</v>
      </c>
      <c r="H371" t="s">
        <v>2257</v>
      </c>
      <c r="I371" t="s">
        <v>4448</v>
      </c>
      <c r="J371" t="s">
        <v>3152</v>
      </c>
      <c r="K371" t="s">
        <v>3153</v>
      </c>
      <c r="M371">
        <v>60</v>
      </c>
      <c r="N371">
        <v>70</v>
      </c>
      <c r="O371" t="s">
        <v>2437</v>
      </c>
      <c r="P371" t="s">
        <v>2437</v>
      </c>
      <c r="R371" t="s">
        <v>2437</v>
      </c>
      <c r="T371" t="s">
        <v>2437</v>
      </c>
      <c r="U371" t="s">
        <v>2437</v>
      </c>
      <c r="V371" t="s">
        <v>2437</v>
      </c>
      <c r="Y371" t="s">
        <v>6948</v>
      </c>
      <c r="Z371" t="s">
        <v>6949</v>
      </c>
      <c r="AA371" t="s">
        <v>6950</v>
      </c>
      <c r="AB371" t="s">
        <v>6951</v>
      </c>
      <c r="AC371" t="s">
        <v>6952</v>
      </c>
      <c r="AD371" t="s">
        <v>6953</v>
      </c>
      <c r="AE371" t="s">
        <v>6961</v>
      </c>
      <c r="AF371" t="s">
        <v>6962</v>
      </c>
      <c r="AG371" t="s">
        <v>6963</v>
      </c>
      <c r="AH371" t="s">
        <v>6964</v>
      </c>
      <c r="AI371" t="s">
        <v>6965</v>
      </c>
      <c r="AJ371" t="s">
        <v>6966</v>
      </c>
      <c r="AR371" t="s">
        <v>4284</v>
      </c>
    </row>
    <row r="372" spans="1:44">
      <c r="A372">
        <v>11120125</v>
      </c>
      <c r="B372" t="s">
        <v>466</v>
      </c>
      <c r="C372" t="s">
        <v>1147</v>
      </c>
      <c r="D372" t="s">
        <v>1737</v>
      </c>
      <c r="E372" t="s">
        <v>1583</v>
      </c>
      <c r="F372" t="s">
        <v>1517</v>
      </c>
      <c r="G372" t="s">
        <v>1518</v>
      </c>
      <c r="H372" t="s">
        <v>2177</v>
      </c>
      <c r="I372" t="s">
        <v>4383</v>
      </c>
      <c r="J372" t="s">
        <v>3154</v>
      </c>
      <c r="K372" t="s">
        <v>3155</v>
      </c>
      <c r="M372">
        <v>60</v>
      </c>
      <c r="N372">
        <v>70</v>
      </c>
      <c r="O372" t="s">
        <v>2437</v>
      </c>
      <c r="P372" t="s">
        <v>2437</v>
      </c>
      <c r="R372" t="s">
        <v>2437</v>
      </c>
      <c r="T372" t="s">
        <v>2437</v>
      </c>
      <c r="U372" t="s">
        <v>2437</v>
      </c>
      <c r="V372" t="s">
        <v>2437</v>
      </c>
      <c r="Y372" t="s">
        <v>6948</v>
      </c>
      <c r="Z372" t="s">
        <v>6949</v>
      </c>
      <c r="AA372" t="s">
        <v>6950</v>
      </c>
      <c r="AB372" t="s">
        <v>6951</v>
      </c>
      <c r="AC372" t="s">
        <v>6952</v>
      </c>
      <c r="AD372" t="s">
        <v>6953</v>
      </c>
      <c r="AE372" t="s">
        <v>6961</v>
      </c>
      <c r="AF372" t="s">
        <v>6962</v>
      </c>
      <c r="AG372" t="s">
        <v>6963</v>
      </c>
      <c r="AH372" t="s">
        <v>6964</v>
      </c>
      <c r="AI372" t="s">
        <v>6965</v>
      </c>
      <c r="AJ372" t="s">
        <v>6966</v>
      </c>
      <c r="AR372" t="s">
        <v>4284</v>
      </c>
    </row>
    <row r="373" spans="1:44">
      <c r="A373">
        <v>11120129</v>
      </c>
      <c r="B373" t="s">
        <v>467</v>
      </c>
      <c r="C373" t="s">
        <v>1150</v>
      </c>
      <c r="D373" t="s">
        <v>1738</v>
      </c>
      <c r="E373" t="s">
        <v>1585</v>
      </c>
      <c r="F373" t="s">
        <v>1586</v>
      </c>
      <c r="G373" t="s">
        <v>1587</v>
      </c>
      <c r="H373" t="s">
        <v>2183</v>
      </c>
      <c r="I373" t="s">
        <v>4387</v>
      </c>
      <c r="J373" t="s">
        <v>3156</v>
      </c>
      <c r="K373" t="s">
        <v>3157</v>
      </c>
      <c r="M373">
        <v>60</v>
      </c>
      <c r="N373">
        <v>70</v>
      </c>
      <c r="O373" t="s">
        <v>2437</v>
      </c>
      <c r="P373" t="s">
        <v>2437</v>
      </c>
      <c r="R373" t="s">
        <v>2437</v>
      </c>
      <c r="T373" t="s">
        <v>2437</v>
      </c>
      <c r="U373" t="s">
        <v>2437</v>
      </c>
      <c r="V373" t="s">
        <v>2437</v>
      </c>
      <c r="Y373" t="s">
        <v>6948</v>
      </c>
      <c r="Z373" t="s">
        <v>6949</v>
      </c>
      <c r="AA373" t="s">
        <v>6950</v>
      </c>
      <c r="AB373" t="s">
        <v>6951</v>
      </c>
      <c r="AC373" t="s">
        <v>6952</v>
      </c>
      <c r="AD373" t="s">
        <v>6953</v>
      </c>
      <c r="AE373" t="s">
        <v>6961</v>
      </c>
      <c r="AF373" t="s">
        <v>6962</v>
      </c>
      <c r="AG373" t="s">
        <v>6963</v>
      </c>
      <c r="AH373" t="s">
        <v>6964</v>
      </c>
      <c r="AI373" t="s">
        <v>6965</v>
      </c>
      <c r="AJ373" t="s">
        <v>6966</v>
      </c>
      <c r="AR373" t="s">
        <v>4284</v>
      </c>
    </row>
    <row r="374" spans="1:44">
      <c r="A374">
        <v>11125716</v>
      </c>
      <c r="B374" t="s">
        <v>468</v>
      </c>
      <c r="C374" t="s">
        <v>991</v>
      </c>
      <c r="D374" t="s">
        <v>1732</v>
      </c>
      <c r="E374" t="s">
        <v>1733</v>
      </c>
      <c r="F374" t="s">
        <v>1548</v>
      </c>
      <c r="G374" t="s">
        <v>1549</v>
      </c>
      <c r="H374" t="s">
        <v>2141</v>
      </c>
      <c r="I374" t="s">
        <v>4332</v>
      </c>
      <c r="J374" t="s">
        <v>3158</v>
      </c>
      <c r="K374" t="s">
        <v>3159</v>
      </c>
      <c r="M374">
        <v>50</v>
      </c>
      <c r="N374">
        <v>70</v>
      </c>
      <c r="O374" t="s">
        <v>2437</v>
      </c>
      <c r="P374" t="s">
        <v>2437</v>
      </c>
      <c r="R374" t="s">
        <v>2437</v>
      </c>
      <c r="T374" t="s">
        <v>2437</v>
      </c>
      <c r="U374" t="s">
        <v>2437</v>
      </c>
      <c r="V374" t="s">
        <v>2437</v>
      </c>
      <c r="Y374" t="s">
        <v>6948</v>
      </c>
      <c r="Z374" t="s">
        <v>6949</v>
      </c>
      <c r="AA374" t="s">
        <v>6950</v>
      </c>
      <c r="AB374" t="s">
        <v>6951</v>
      </c>
      <c r="AC374" t="s">
        <v>6952</v>
      </c>
      <c r="AD374" t="s">
        <v>6953</v>
      </c>
      <c r="AE374" t="s">
        <v>6954</v>
      </c>
      <c r="AF374" t="s">
        <v>6955</v>
      </c>
      <c r="AG374" t="s">
        <v>6956</v>
      </c>
      <c r="AH374" t="s">
        <v>6957</v>
      </c>
      <c r="AI374" t="s">
        <v>6958</v>
      </c>
      <c r="AJ374" t="s">
        <v>6959</v>
      </c>
      <c r="AR374" t="s">
        <v>4284</v>
      </c>
    </row>
    <row r="375" spans="1:44">
      <c r="A375">
        <v>11125717</v>
      </c>
      <c r="B375" t="s">
        <v>469</v>
      </c>
      <c r="C375" t="s">
        <v>982</v>
      </c>
      <c r="D375" t="s">
        <v>1732</v>
      </c>
      <c r="E375" t="s">
        <v>1733</v>
      </c>
      <c r="F375" t="s">
        <v>1548</v>
      </c>
      <c r="G375" t="s">
        <v>1549</v>
      </c>
      <c r="H375" t="s">
        <v>2140</v>
      </c>
      <c r="I375" t="s">
        <v>4331</v>
      </c>
      <c r="J375" t="s">
        <v>3160</v>
      </c>
      <c r="K375" t="s">
        <v>3161</v>
      </c>
      <c r="M375">
        <v>50</v>
      </c>
      <c r="N375">
        <v>70</v>
      </c>
      <c r="O375" t="s">
        <v>2437</v>
      </c>
      <c r="P375" t="s">
        <v>2437</v>
      </c>
      <c r="R375" t="s">
        <v>2437</v>
      </c>
      <c r="T375" t="s">
        <v>2437</v>
      </c>
      <c r="U375" t="s">
        <v>2437</v>
      </c>
      <c r="V375" t="s">
        <v>2437</v>
      </c>
      <c r="Y375" t="s">
        <v>6948</v>
      </c>
      <c r="Z375" t="s">
        <v>6949</v>
      </c>
      <c r="AA375" t="s">
        <v>6950</v>
      </c>
      <c r="AB375" t="s">
        <v>6951</v>
      </c>
      <c r="AC375" t="s">
        <v>6952</v>
      </c>
      <c r="AD375" t="s">
        <v>6953</v>
      </c>
      <c r="AE375" t="s">
        <v>6954</v>
      </c>
      <c r="AF375" t="s">
        <v>6955</v>
      </c>
      <c r="AG375" t="s">
        <v>6956</v>
      </c>
      <c r="AH375" t="s">
        <v>6957</v>
      </c>
      <c r="AI375" t="s">
        <v>6958</v>
      </c>
      <c r="AJ375" t="s">
        <v>6959</v>
      </c>
      <c r="AR375" t="s">
        <v>4284</v>
      </c>
    </row>
    <row r="376" spans="1:44">
      <c r="A376">
        <v>11125718</v>
      </c>
      <c r="B376" t="s">
        <v>470</v>
      </c>
      <c r="C376" t="s">
        <v>992</v>
      </c>
      <c r="D376" t="s">
        <v>1732</v>
      </c>
      <c r="E376" t="s">
        <v>1733</v>
      </c>
      <c r="F376" t="s">
        <v>1548</v>
      </c>
      <c r="G376" t="s">
        <v>1549</v>
      </c>
      <c r="H376" t="s">
        <v>2142</v>
      </c>
      <c r="I376" t="s">
        <v>4333</v>
      </c>
      <c r="J376" t="s">
        <v>3162</v>
      </c>
      <c r="K376" t="s">
        <v>3163</v>
      </c>
      <c r="M376">
        <v>50</v>
      </c>
      <c r="N376">
        <v>70</v>
      </c>
      <c r="O376" t="s">
        <v>2437</v>
      </c>
      <c r="P376" t="s">
        <v>2437</v>
      </c>
      <c r="R376" t="s">
        <v>2437</v>
      </c>
      <c r="T376" t="s">
        <v>2437</v>
      </c>
      <c r="U376" t="s">
        <v>2437</v>
      </c>
      <c r="V376" t="s">
        <v>2437</v>
      </c>
      <c r="Y376" t="s">
        <v>6948</v>
      </c>
      <c r="Z376" t="s">
        <v>6949</v>
      </c>
      <c r="AA376" t="s">
        <v>6950</v>
      </c>
      <c r="AB376" t="s">
        <v>6951</v>
      </c>
      <c r="AC376" t="s">
        <v>6952</v>
      </c>
      <c r="AD376" t="s">
        <v>6953</v>
      </c>
      <c r="AE376" t="s">
        <v>6954</v>
      </c>
      <c r="AF376" t="s">
        <v>6955</v>
      </c>
      <c r="AG376" t="s">
        <v>6956</v>
      </c>
      <c r="AH376" t="s">
        <v>6957</v>
      </c>
      <c r="AI376" t="s">
        <v>6958</v>
      </c>
      <c r="AJ376" t="s">
        <v>6959</v>
      </c>
      <c r="AR376" t="s">
        <v>4284</v>
      </c>
    </row>
    <row r="377" spans="1:44">
      <c r="A377">
        <v>11125719</v>
      </c>
      <c r="B377" t="s">
        <v>471</v>
      </c>
      <c r="C377" t="s">
        <v>994</v>
      </c>
      <c r="D377" t="s">
        <v>1756</v>
      </c>
      <c r="E377" t="s">
        <v>1757</v>
      </c>
      <c r="F377" t="s">
        <v>1548</v>
      </c>
      <c r="G377" t="s">
        <v>1549</v>
      </c>
      <c r="H377" t="s">
        <v>2155</v>
      </c>
      <c r="I377" t="s">
        <v>4335</v>
      </c>
      <c r="J377" t="s">
        <v>3164</v>
      </c>
      <c r="K377" t="s">
        <v>3165</v>
      </c>
      <c r="M377">
        <v>50</v>
      </c>
      <c r="N377">
        <v>70</v>
      </c>
      <c r="O377" t="s">
        <v>2437</v>
      </c>
      <c r="P377" t="s">
        <v>2437</v>
      </c>
      <c r="R377" t="s">
        <v>2437</v>
      </c>
      <c r="T377" t="s">
        <v>2437</v>
      </c>
      <c r="U377" t="s">
        <v>2437</v>
      </c>
      <c r="V377" t="s">
        <v>2437</v>
      </c>
      <c r="Y377" t="s">
        <v>6948</v>
      </c>
      <c r="Z377" t="s">
        <v>6949</v>
      </c>
      <c r="AA377" t="s">
        <v>6950</v>
      </c>
      <c r="AB377" t="s">
        <v>6951</v>
      </c>
      <c r="AC377" t="s">
        <v>6952</v>
      </c>
      <c r="AD377" t="s">
        <v>6953</v>
      </c>
      <c r="AE377" t="s">
        <v>6954</v>
      </c>
      <c r="AF377" t="s">
        <v>6955</v>
      </c>
      <c r="AG377" t="s">
        <v>6956</v>
      </c>
      <c r="AH377" t="s">
        <v>6957</v>
      </c>
      <c r="AI377" t="s">
        <v>6958</v>
      </c>
      <c r="AJ377" t="s">
        <v>6959</v>
      </c>
      <c r="AR377" t="s">
        <v>4284</v>
      </c>
    </row>
    <row r="378" spans="1:44">
      <c r="A378">
        <v>11125720</v>
      </c>
      <c r="B378" t="s">
        <v>472</v>
      </c>
      <c r="C378" t="s">
        <v>995</v>
      </c>
      <c r="D378" t="s">
        <v>1756</v>
      </c>
      <c r="E378" t="s">
        <v>1757</v>
      </c>
      <c r="F378" t="s">
        <v>1548</v>
      </c>
      <c r="G378" t="s">
        <v>1549</v>
      </c>
      <c r="H378" t="s">
        <v>2156</v>
      </c>
      <c r="I378" t="s">
        <v>4336</v>
      </c>
      <c r="J378" t="s">
        <v>3166</v>
      </c>
      <c r="K378" t="s">
        <v>3167</v>
      </c>
      <c r="M378">
        <v>50</v>
      </c>
      <c r="N378">
        <v>70</v>
      </c>
      <c r="O378" t="s">
        <v>2437</v>
      </c>
      <c r="P378" t="s">
        <v>2437</v>
      </c>
      <c r="R378" t="s">
        <v>2437</v>
      </c>
      <c r="T378" t="s">
        <v>2437</v>
      </c>
      <c r="U378" t="s">
        <v>2437</v>
      </c>
      <c r="V378" t="s">
        <v>2437</v>
      </c>
      <c r="Y378" t="s">
        <v>6948</v>
      </c>
      <c r="Z378" t="s">
        <v>6949</v>
      </c>
      <c r="AA378" t="s">
        <v>6950</v>
      </c>
      <c r="AB378" t="s">
        <v>6951</v>
      </c>
      <c r="AC378" t="s">
        <v>6952</v>
      </c>
      <c r="AD378" t="s">
        <v>6953</v>
      </c>
      <c r="AE378" t="s">
        <v>6954</v>
      </c>
      <c r="AF378" t="s">
        <v>6955</v>
      </c>
      <c r="AG378" t="s">
        <v>6956</v>
      </c>
      <c r="AH378" t="s">
        <v>6957</v>
      </c>
      <c r="AI378" t="s">
        <v>6958</v>
      </c>
      <c r="AJ378" t="s">
        <v>6959</v>
      </c>
      <c r="AR378" t="s">
        <v>4284</v>
      </c>
    </row>
    <row r="379" spans="1:44">
      <c r="A379">
        <v>11125721</v>
      </c>
      <c r="B379" t="s">
        <v>473</v>
      </c>
      <c r="C379" t="s">
        <v>988</v>
      </c>
      <c r="D379" t="s">
        <v>1756</v>
      </c>
      <c r="E379" t="s">
        <v>1757</v>
      </c>
      <c r="F379" t="s">
        <v>1548</v>
      </c>
      <c r="G379" t="s">
        <v>1549</v>
      </c>
      <c r="H379" t="s">
        <v>2154</v>
      </c>
      <c r="I379" t="s">
        <v>4329</v>
      </c>
      <c r="J379" t="s">
        <v>3168</v>
      </c>
      <c r="K379" t="s">
        <v>3169</v>
      </c>
      <c r="M379">
        <v>50</v>
      </c>
      <c r="N379">
        <v>70</v>
      </c>
      <c r="O379" t="s">
        <v>2437</v>
      </c>
      <c r="P379" t="s">
        <v>2437</v>
      </c>
      <c r="R379" t="s">
        <v>2437</v>
      </c>
      <c r="T379" t="s">
        <v>2437</v>
      </c>
      <c r="U379" t="s">
        <v>2437</v>
      </c>
      <c r="V379" t="s">
        <v>2437</v>
      </c>
      <c r="Y379" t="s">
        <v>6948</v>
      </c>
      <c r="Z379" t="s">
        <v>6949</v>
      </c>
      <c r="AA379" t="s">
        <v>6950</v>
      </c>
      <c r="AB379" t="s">
        <v>6951</v>
      </c>
      <c r="AC379" t="s">
        <v>6952</v>
      </c>
      <c r="AD379" t="s">
        <v>6953</v>
      </c>
      <c r="AE379" t="s">
        <v>6954</v>
      </c>
      <c r="AF379" t="s">
        <v>6955</v>
      </c>
      <c r="AG379" t="s">
        <v>6956</v>
      </c>
      <c r="AH379" t="s">
        <v>6957</v>
      </c>
      <c r="AI379" t="s">
        <v>6958</v>
      </c>
      <c r="AJ379" t="s">
        <v>6959</v>
      </c>
      <c r="AR379" t="s">
        <v>4284</v>
      </c>
    </row>
    <row r="380" spans="1:44">
      <c r="A380">
        <v>11125722</v>
      </c>
      <c r="B380" t="s">
        <v>474</v>
      </c>
      <c r="C380" t="s">
        <v>993</v>
      </c>
      <c r="D380" t="s">
        <v>1756</v>
      </c>
      <c r="E380" t="s">
        <v>1757</v>
      </c>
      <c r="F380" t="s">
        <v>1548</v>
      </c>
      <c r="G380" t="s">
        <v>1549</v>
      </c>
      <c r="H380" t="s">
        <v>2153</v>
      </c>
      <c r="I380" t="s">
        <v>4334</v>
      </c>
      <c r="J380" t="s">
        <v>3170</v>
      </c>
      <c r="K380" t="s">
        <v>3171</v>
      </c>
      <c r="M380">
        <v>50</v>
      </c>
      <c r="N380">
        <v>70</v>
      </c>
      <c r="O380" t="s">
        <v>2437</v>
      </c>
      <c r="P380" t="s">
        <v>2437</v>
      </c>
      <c r="R380" t="s">
        <v>2437</v>
      </c>
      <c r="T380" t="s">
        <v>2437</v>
      </c>
      <c r="U380" t="s">
        <v>2437</v>
      </c>
      <c r="V380" t="s">
        <v>2437</v>
      </c>
      <c r="Y380" t="s">
        <v>6948</v>
      </c>
      <c r="Z380" t="s">
        <v>6949</v>
      </c>
      <c r="AA380" t="s">
        <v>6950</v>
      </c>
      <c r="AB380" t="s">
        <v>6951</v>
      </c>
      <c r="AC380" t="s">
        <v>6952</v>
      </c>
      <c r="AD380" t="s">
        <v>6953</v>
      </c>
      <c r="AE380" t="s">
        <v>6954</v>
      </c>
      <c r="AF380" t="s">
        <v>6955</v>
      </c>
      <c r="AG380" t="s">
        <v>6956</v>
      </c>
      <c r="AH380" t="s">
        <v>6957</v>
      </c>
      <c r="AI380" t="s">
        <v>6958</v>
      </c>
      <c r="AJ380" t="s">
        <v>6959</v>
      </c>
      <c r="AR380" t="s">
        <v>4284</v>
      </c>
    </row>
    <row r="381" spans="1:44">
      <c r="A381">
        <v>11125724</v>
      </c>
      <c r="B381" t="s">
        <v>475</v>
      </c>
      <c r="C381" t="s">
        <v>997</v>
      </c>
      <c r="D381" t="s">
        <v>1730</v>
      </c>
      <c r="E381" t="s">
        <v>1731</v>
      </c>
      <c r="F381" t="s">
        <v>1550</v>
      </c>
      <c r="G381" t="s">
        <v>1551</v>
      </c>
      <c r="H381" t="s">
        <v>2144</v>
      </c>
      <c r="I381" t="s">
        <v>4361</v>
      </c>
      <c r="J381" t="s">
        <v>3172</v>
      </c>
      <c r="K381" t="s">
        <v>3173</v>
      </c>
      <c r="M381">
        <v>50</v>
      </c>
      <c r="N381">
        <v>70</v>
      </c>
      <c r="O381" t="s">
        <v>2437</v>
      </c>
      <c r="P381" t="s">
        <v>2437</v>
      </c>
      <c r="R381" t="s">
        <v>2437</v>
      </c>
      <c r="T381" t="s">
        <v>2437</v>
      </c>
      <c r="U381" t="s">
        <v>2437</v>
      </c>
      <c r="V381" t="s">
        <v>2437</v>
      </c>
      <c r="Y381" t="s">
        <v>6948</v>
      </c>
      <c r="Z381" t="s">
        <v>6949</v>
      </c>
      <c r="AA381" t="s">
        <v>6950</v>
      </c>
      <c r="AB381" t="s">
        <v>6951</v>
      </c>
      <c r="AC381" t="s">
        <v>6952</v>
      </c>
      <c r="AD381" t="s">
        <v>6953</v>
      </c>
      <c r="AE381" t="s">
        <v>6954</v>
      </c>
      <c r="AF381" t="s">
        <v>6955</v>
      </c>
      <c r="AG381" t="s">
        <v>6956</v>
      </c>
      <c r="AH381" t="s">
        <v>6957</v>
      </c>
      <c r="AI381" t="s">
        <v>6958</v>
      </c>
      <c r="AJ381" t="s">
        <v>6959</v>
      </c>
      <c r="AR381" t="s">
        <v>4284</v>
      </c>
    </row>
    <row r="382" spans="1:44">
      <c r="A382">
        <v>11125725</v>
      </c>
      <c r="B382" t="s">
        <v>476</v>
      </c>
      <c r="C382" t="s">
        <v>979</v>
      </c>
      <c r="D382" t="s">
        <v>1730</v>
      </c>
      <c r="E382" t="s">
        <v>1731</v>
      </c>
      <c r="F382" t="s">
        <v>1550</v>
      </c>
      <c r="G382" t="s">
        <v>1551</v>
      </c>
      <c r="H382" t="s">
        <v>2145</v>
      </c>
      <c r="I382" t="s">
        <v>4337</v>
      </c>
      <c r="J382" t="s">
        <v>3174</v>
      </c>
      <c r="K382" t="s">
        <v>3175</v>
      </c>
      <c r="M382">
        <v>50</v>
      </c>
      <c r="N382">
        <v>70</v>
      </c>
      <c r="O382" t="s">
        <v>2437</v>
      </c>
      <c r="P382" t="s">
        <v>2437</v>
      </c>
      <c r="R382" t="s">
        <v>2437</v>
      </c>
      <c r="T382" t="s">
        <v>2437</v>
      </c>
      <c r="U382" t="s">
        <v>2437</v>
      </c>
      <c r="V382" t="s">
        <v>2437</v>
      </c>
      <c r="Y382" t="s">
        <v>6948</v>
      </c>
      <c r="Z382" t="s">
        <v>6949</v>
      </c>
      <c r="AA382" t="s">
        <v>6950</v>
      </c>
      <c r="AB382" t="s">
        <v>6951</v>
      </c>
      <c r="AC382" t="s">
        <v>6952</v>
      </c>
      <c r="AD382" t="s">
        <v>6953</v>
      </c>
      <c r="AE382" t="s">
        <v>6954</v>
      </c>
      <c r="AF382" t="s">
        <v>6955</v>
      </c>
      <c r="AG382" t="s">
        <v>6956</v>
      </c>
      <c r="AH382" t="s">
        <v>6957</v>
      </c>
      <c r="AI382" t="s">
        <v>6958</v>
      </c>
      <c r="AJ382" t="s">
        <v>6959</v>
      </c>
      <c r="AR382" t="s">
        <v>4284</v>
      </c>
    </row>
    <row r="383" spans="1:44">
      <c r="A383">
        <v>11125726</v>
      </c>
      <c r="B383" t="s">
        <v>477</v>
      </c>
      <c r="C383" t="s">
        <v>980</v>
      </c>
      <c r="D383" t="s">
        <v>1730</v>
      </c>
      <c r="E383" t="s">
        <v>1731</v>
      </c>
      <c r="F383" t="s">
        <v>1550</v>
      </c>
      <c r="G383" t="s">
        <v>1551</v>
      </c>
      <c r="H383" t="s">
        <v>2146</v>
      </c>
      <c r="I383" t="s">
        <v>4338</v>
      </c>
      <c r="J383" t="s">
        <v>3176</v>
      </c>
      <c r="K383" t="s">
        <v>3177</v>
      </c>
      <c r="M383">
        <v>50</v>
      </c>
      <c r="N383">
        <v>70</v>
      </c>
      <c r="O383" t="s">
        <v>2437</v>
      </c>
      <c r="P383" t="s">
        <v>2437</v>
      </c>
      <c r="R383" t="s">
        <v>2437</v>
      </c>
      <c r="T383" t="s">
        <v>2437</v>
      </c>
      <c r="U383" t="s">
        <v>2437</v>
      </c>
      <c r="V383" t="s">
        <v>2437</v>
      </c>
      <c r="Y383" t="s">
        <v>6948</v>
      </c>
      <c r="Z383" t="s">
        <v>6949</v>
      </c>
      <c r="AA383" t="s">
        <v>6950</v>
      </c>
      <c r="AB383" t="s">
        <v>6951</v>
      </c>
      <c r="AC383" t="s">
        <v>6952</v>
      </c>
      <c r="AD383" t="s">
        <v>6953</v>
      </c>
      <c r="AE383" t="s">
        <v>6954</v>
      </c>
      <c r="AF383" t="s">
        <v>6955</v>
      </c>
      <c r="AG383" t="s">
        <v>6956</v>
      </c>
      <c r="AH383" t="s">
        <v>6957</v>
      </c>
      <c r="AI383" t="s">
        <v>6958</v>
      </c>
      <c r="AJ383" t="s">
        <v>6959</v>
      </c>
      <c r="AR383" t="s">
        <v>4284</v>
      </c>
    </row>
    <row r="384" spans="1:44">
      <c r="A384">
        <v>11125727</v>
      </c>
      <c r="B384" t="s">
        <v>478</v>
      </c>
      <c r="C384" t="s">
        <v>1093</v>
      </c>
      <c r="D384" t="s">
        <v>1758</v>
      </c>
      <c r="E384" t="s">
        <v>1759</v>
      </c>
      <c r="F384" t="s">
        <v>1550</v>
      </c>
      <c r="G384" t="s">
        <v>1551</v>
      </c>
      <c r="H384" t="s">
        <v>2150</v>
      </c>
      <c r="I384" t="s">
        <v>4362</v>
      </c>
      <c r="J384" t="s">
        <v>3178</v>
      </c>
      <c r="K384" t="s">
        <v>3179</v>
      </c>
      <c r="M384">
        <v>50</v>
      </c>
      <c r="N384">
        <v>70</v>
      </c>
      <c r="O384" t="s">
        <v>2437</v>
      </c>
      <c r="P384" t="s">
        <v>2437</v>
      </c>
      <c r="R384" t="s">
        <v>2437</v>
      </c>
      <c r="T384" t="s">
        <v>2437</v>
      </c>
      <c r="U384" t="s">
        <v>2437</v>
      </c>
      <c r="V384" t="s">
        <v>2437</v>
      </c>
      <c r="Y384" t="s">
        <v>6948</v>
      </c>
      <c r="Z384" t="s">
        <v>6949</v>
      </c>
      <c r="AA384" t="s">
        <v>6950</v>
      </c>
      <c r="AB384" t="s">
        <v>6951</v>
      </c>
      <c r="AC384" t="s">
        <v>6952</v>
      </c>
      <c r="AD384" t="s">
        <v>6953</v>
      </c>
      <c r="AE384" t="s">
        <v>6954</v>
      </c>
      <c r="AF384" t="s">
        <v>6955</v>
      </c>
      <c r="AG384" t="s">
        <v>6956</v>
      </c>
      <c r="AH384" t="s">
        <v>6957</v>
      </c>
      <c r="AI384" t="s">
        <v>6958</v>
      </c>
      <c r="AJ384" t="s">
        <v>6959</v>
      </c>
      <c r="AR384" t="s">
        <v>4284</v>
      </c>
    </row>
    <row r="385" spans="1:44">
      <c r="A385">
        <v>11125728</v>
      </c>
      <c r="B385" t="s">
        <v>479</v>
      </c>
      <c r="C385" t="s">
        <v>1094</v>
      </c>
      <c r="D385" t="s">
        <v>1758</v>
      </c>
      <c r="E385" t="s">
        <v>1759</v>
      </c>
      <c r="F385" t="s">
        <v>1550</v>
      </c>
      <c r="G385" t="s">
        <v>1551</v>
      </c>
      <c r="H385" t="s">
        <v>2151</v>
      </c>
      <c r="I385" t="s">
        <v>4363</v>
      </c>
      <c r="J385" t="s">
        <v>3180</v>
      </c>
      <c r="K385" t="s">
        <v>3181</v>
      </c>
      <c r="M385">
        <v>50</v>
      </c>
      <c r="N385">
        <v>70</v>
      </c>
      <c r="O385" t="s">
        <v>2437</v>
      </c>
      <c r="P385" t="s">
        <v>2437</v>
      </c>
      <c r="R385" t="s">
        <v>2437</v>
      </c>
      <c r="T385" t="s">
        <v>2437</v>
      </c>
      <c r="U385" t="s">
        <v>2437</v>
      </c>
      <c r="V385" t="s">
        <v>2437</v>
      </c>
      <c r="Y385" t="s">
        <v>6948</v>
      </c>
      <c r="Z385" t="s">
        <v>6949</v>
      </c>
      <c r="AA385" t="s">
        <v>6950</v>
      </c>
      <c r="AB385" t="s">
        <v>6951</v>
      </c>
      <c r="AC385" t="s">
        <v>6952</v>
      </c>
      <c r="AD385" t="s">
        <v>6953</v>
      </c>
      <c r="AE385" t="s">
        <v>6954</v>
      </c>
      <c r="AF385" t="s">
        <v>6955</v>
      </c>
      <c r="AG385" t="s">
        <v>6956</v>
      </c>
      <c r="AH385" t="s">
        <v>6957</v>
      </c>
      <c r="AI385" t="s">
        <v>6958</v>
      </c>
      <c r="AJ385" t="s">
        <v>6959</v>
      </c>
      <c r="AR385" t="s">
        <v>4284</v>
      </c>
    </row>
    <row r="386" spans="1:44">
      <c r="A386">
        <v>11125729</v>
      </c>
      <c r="B386" t="s">
        <v>480</v>
      </c>
      <c r="C386" t="s">
        <v>987</v>
      </c>
      <c r="D386" t="s">
        <v>1758</v>
      </c>
      <c r="E386" t="s">
        <v>1759</v>
      </c>
      <c r="F386" t="s">
        <v>1550</v>
      </c>
      <c r="G386" t="s">
        <v>1551</v>
      </c>
      <c r="H386" t="s">
        <v>2152</v>
      </c>
      <c r="I386" t="s">
        <v>4328</v>
      </c>
      <c r="J386" t="s">
        <v>3182</v>
      </c>
      <c r="K386" t="s">
        <v>3183</v>
      </c>
      <c r="M386">
        <v>50</v>
      </c>
      <c r="N386">
        <v>70</v>
      </c>
      <c r="O386" t="s">
        <v>2437</v>
      </c>
      <c r="P386" t="s">
        <v>2437</v>
      </c>
      <c r="R386" t="s">
        <v>2437</v>
      </c>
      <c r="T386" t="s">
        <v>2437</v>
      </c>
      <c r="U386" t="s">
        <v>2437</v>
      </c>
      <c r="V386" t="s">
        <v>2437</v>
      </c>
      <c r="Y386" t="s">
        <v>6948</v>
      </c>
      <c r="Z386" t="s">
        <v>6949</v>
      </c>
      <c r="AA386" t="s">
        <v>6950</v>
      </c>
      <c r="AB386" t="s">
        <v>6951</v>
      </c>
      <c r="AC386" t="s">
        <v>6952</v>
      </c>
      <c r="AD386" t="s">
        <v>6953</v>
      </c>
      <c r="AE386" t="s">
        <v>6954</v>
      </c>
      <c r="AF386" t="s">
        <v>6955</v>
      </c>
      <c r="AG386" t="s">
        <v>6956</v>
      </c>
      <c r="AH386" t="s">
        <v>6957</v>
      </c>
      <c r="AI386" t="s">
        <v>6958</v>
      </c>
      <c r="AJ386" t="s">
        <v>6959</v>
      </c>
      <c r="AR386" t="s">
        <v>4284</v>
      </c>
    </row>
    <row r="387" spans="1:44">
      <c r="A387">
        <v>11125730</v>
      </c>
      <c r="B387" t="s">
        <v>481</v>
      </c>
      <c r="C387" t="s">
        <v>998</v>
      </c>
      <c r="D387" t="s">
        <v>1758</v>
      </c>
      <c r="E387" t="s">
        <v>1759</v>
      </c>
      <c r="F387" t="s">
        <v>1550</v>
      </c>
      <c r="G387" t="s">
        <v>1551</v>
      </c>
      <c r="H387" t="s">
        <v>2149</v>
      </c>
      <c r="I387" t="s">
        <v>4339</v>
      </c>
      <c r="J387" t="s">
        <v>3184</v>
      </c>
      <c r="K387" t="s">
        <v>3185</v>
      </c>
      <c r="M387">
        <v>50</v>
      </c>
      <c r="N387">
        <v>70</v>
      </c>
      <c r="O387" t="s">
        <v>2437</v>
      </c>
      <c r="P387" t="s">
        <v>2437</v>
      </c>
      <c r="R387" t="s">
        <v>2437</v>
      </c>
      <c r="T387" t="s">
        <v>2437</v>
      </c>
      <c r="U387" t="s">
        <v>2437</v>
      </c>
      <c r="V387" t="s">
        <v>2437</v>
      </c>
      <c r="Y387" t="s">
        <v>6948</v>
      </c>
      <c r="Z387" t="s">
        <v>6949</v>
      </c>
      <c r="AA387" t="s">
        <v>6950</v>
      </c>
      <c r="AB387" t="s">
        <v>6951</v>
      </c>
      <c r="AC387" t="s">
        <v>6952</v>
      </c>
      <c r="AD387" t="s">
        <v>6953</v>
      </c>
      <c r="AE387" t="s">
        <v>6954</v>
      </c>
      <c r="AF387" t="s">
        <v>6955</v>
      </c>
      <c r="AG387" t="s">
        <v>6956</v>
      </c>
      <c r="AH387" t="s">
        <v>6957</v>
      </c>
      <c r="AI387" t="s">
        <v>6958</v>
      </c>
      <c r="AJ387" t="s">
        <v>6959</v>
      </c>
      <c r="AR387" t="s">
        <v>4284</v>
      </c>
    </row>
    <row r="388" spans="1:44">
      <c r="A388">
        <v>11125092</v>
      </c>
      <c r="B388" t="s">
        <v>482</v>
      </c>
      <c r="C388" t="s">
        <v>1117</v>
      </c>
      <c r="D388" t="s">
        <v>1750</v>
      </c>
      <c r="E388" t="s">
        <v>1577</v>
      </c>
      <c r="F388" t="s">
        <v>1578</v>
      </c>
      <c r="G388" t="s">
        <v>1579</v>
      </c>
      <c r="H388" t="s">
        <v>2293</v>
      </c>
      <c r="I388" t="s">
        <v>4373</v>
      </c>
      <c r="J388" t="s">
        <v>3186</v>
      </c>
      <c r="K388" t="s">
        <v>3187</v>
      </c>
      <c r="M388">
        <v>50</v>
      </c>
      <c r="N388">
        <v>70</v>
      </c>
      <c r="O388" t="s">
        <v>2437</v>
      </c>
      <c r="P388" t="s">
        <v>2437</v>
      </c>
      <c r="R388" t="s">
        <v>2437</v>
      </c>
      <c r="T388" t="s">
        <v>2437</v>
      </c>
      <c r="U388" t="s">
        <v>2437</v>
      </c>
      <c r="V388" t="s">
        <v>2437</v>
      </c>
      <c r="Y388" t="s">
        <v>6948</v>
      </c>
      <c r="Z388" t="s">
        <v>6949</v>
      </c>
      <c r="AA388" t="s">
        <v>6950</v>
      </c>
      <c r="AB388" t="s">
        <v>6951</v>
      </c>
      <c r="AC388" t="s">
        <v>6952</v>
      </c>
      <c r="AD388" t="s">
        <v>6953</v>
      </c>
      <c r="AE388" t="s">
        <v>6954</v>
      </c>
      <c r="AF388" t="s">
        <v>6955</v>
      </c>
      <c r="AG388" t="s">
        <v>6956</v>
      </c>
      <c r="AH388" t="s">
        <v>6957</v>
      </c>
      <c r="AI388" t="s">
        <v>6958</v>
      </c>
      <c r="AJ388" t="s">
        <v>6959</v>
      </c>
      <c r="AR388" t="s">
        <v>4284</v>
      </c>
    </row>
    <row r="389" spans="1:44">
      <c r="A389">
        <v>11126748</v>
      </c>
      <c r="B389" t="s">
        <v>483</v>
      </c>
      <c r="C389" t="s">
        <v>1104</v>
      </c>
      <c r="D389" t="s">
        <v>1760</v>
      </c>
      <c r="E389" t="s">
        <v>1511</v>
      </c>
      <c r="F389" t="s">
        <v>1512</v>
      </c>
      <c r="G389" t="s">
        <v>1513</v>
      </c>
      <c r="H389" t="s">
        <v>2235</v>
      </c>
      <c r="I389" t="s">
        <v>4426</v>
      </c>
      <c r="J389" t="s">
        <v>2634</v>
      </c>
      <c r="K389" t="s">
        <v>2635</v>
      </c>
      <c r="M389">
        <v>50</v>
      </c>
      <c r="N389">
        <v>70</v>
      </c>
      <c r="O389" t="s">
        <v>2437</v>
      </c>
      <c r="P389" t="s">
        <v>2437</v>
      </c>
      <c r="R389" t="s">
        <v>2437</v>
      </c>
      <c r="T389" t="s">
        <v>2437</v>
      </c>
      <c r="U389" t="s">
        <v>2437</v>
      </c>
      <c r="V389" t="s">
        <v>2437</v>
      </c>
      <c r="Y389" t="s">
        <v>6948</v>
      </c>
      <c r="Z389" t="s">
        <v>6949</v>
      </c>
      <c r="AA389" t="s">
        <v>6950</v>
      </c>
      <c r="AB389" t="s">
        <v>6951</v>
      </c>
      <c r="AC389" t="s">
        <v>6952</v>
      </c>
      <c r="AD389" t="s">
        <v>6953</v>
      </c>
      <c r="AE389" t="s">
        <v>6954</v>
      </c>
      <c r="AF389" t="s">
        <v>6955</v>
      </c>
      <c r="AG389" t="s">
        <v>6956</v>
      </c>
      <c r="AH389" t="s">
        <v>6957</v>
      </c>
      <c r="AI389" t="s">
        <v>6958</v>
      </c>
      <c r="AJ389" t="s">
        <v>6959</v>
      </c>
      <c r="AR389" t="s">
        <v>4284</v>
      </c>
    </row>
    <row r="390" spans="1:44">
      <c r="A390">
        <v>11123398</v>
      </c>
      <c r="B390" t="s">
        <v>484</v>
      </c>
      <c r="C390" t="s">
        <v>1095</v>
      </c>
      <c r="D390" t="s">
        <v>1761</v>
      </c>
      <c r="E390" t="s">
        <v>1762</v>
      </c>
      <c r="F390" t="s">
        <v>1496</v>
      </c>
      <c r="G390" t="s">
        <v>1497</v>
      </c>
      <c r="H390" t="s">
        <v>2321</v>
      </c>
      <c r="I390" t="s">
        <v>4365</v>
      </c>
      <c r="J390" t="s">
        <v>3188</v>
      </c>
      <c r="K390" t="s">
        <v>3189</v>
      </c>
      <c r="M390">
        <v>50</v>
      </c>
      <c r="N390">
        <v>70</v>
      </c>
      <c r="O390" t="s">
        <v>2437</v>
      </c>
      <c r="P390" t="s">
        <v>2437</v>
      </c>
      <c r="R390">
        <v>24</v>
      </c>
      <c r="T390" t="s">
        <v>2437</v>
      </c>
      <c r="U390" t="s">
        <v>2437</v>
      </c>
      <c r="V390" t="s">
        <v>2437</v>
      </c>
      <c r="Y390" t="s">
        <v>6948</v>
      </c>
      <c r="Z390" t="s">
        <v>6949</v>
      </c>
      <c r="AA390" t="s">
        <v>6950</v>
      </c>
      <c r="AB390" t="s">
        <v>6951</v>
      </c>
      <c r="AC390" t="s">
        <v>6952</v>
      </c>
      <c r="AD390" t="s">
        <v>6953</v>
      </c>
      <c r="AE390" t="s">
        <v>6954</v>
      </c>
      <c r="AF390" t="s">
        <v>6955</v>
      </c>
      <c r="AG390" t="s">
        <v>6956</v>
      </c>
      <c r="AH390" t="s">
        <v>6957</v>
      </c>
      <c r="AI390" t="s">
        <v>6958</v>
      </c>
      <c r="AJ390" t="s">
        <v>6959</v>
      </c>
      <c r="AK390" t="s">
        <v>6976</v>
      </c>
      <c r="AL390" t="s">
        <v>6977</v>
      </c>
      <c r="AM390" t="s">
        <v>6978</v>
      </c>
      <c r="AN390" t="s">
        <v>6979</v>
      </c>
      <c r="AO390" t="s">
        <v>6980</v>
      </c>
      <c r="AR390" t="s">
        <v>4284</v>
      </c>
    </row>
    <row r="391" spans="1:44">
      <c r="A391">
        <v>11123399</v>
      </c>
      <c r="B391" t="s">
        <v>485</v>
      </c>
      <c r="C391" t="s">
        <v>1096</v>
      </c>
      <c r="D391" t="s">
        <v>1763</v>
      </c>
      <c r="E391" t="s">
        <v>1764</v>
      </c>
      <c r="F391" t="s">
        <v>1496</v>
      </c>
      <c r="G391" t="s">
        <v>1497</v>
      </c>
      <c r="H391" t="s">
        <v>2322</v>
      </c>
      <c r="I391" t="s">
        <v>4366</v>
      </c>
      <c r="J391" t="s">
        <v>3190</v>
      </c>
      <c r="K391" t="s">
        <v>3191</v>
      </c>
      <c r="M391">
        <v>50</v>
      </c>
      <c r="N391">
        <v>70</v>
      </c>
      <c r="O391" t="s">
        <v>2437</v>
      </c>
      <c r="P391" t="s">
        <v>2437</v>
      </c>
      <c r="R391">
        <v>24</v>
      </c>
      <c r="T391" t="s">
        <v>2437</v>
      </c>
      <c r="U391" t="s">
        <v>2437</v>
      </c>
      <c r="V391" t="s">
        <v>2437</v>
      </c>
      <c r="Y391" t="s">
        <v>6948</v>
      </c>
      <c r="Z391" t="s">
        <v>6949</v>
      </c>
      <c r="AA391" t="s">
        <v>6950</v>
      </c>
      <c r="AB391" t="s">
        <v>6951</v>
      </c>
      <c r="AC391" t="s">
        <v>6952</v>
      </c>
      <c r="AD391" t="s">
        <v>6953</v>
      </c>
      <c r="AE391" t="s">
        <v>6954</v>
      </c>
      <c r="AF391" t="s">
        <v>6955</v>
      </c>
      <c r="AG391" t="s">
        <v>6956</v>
      </c>
      <c r="AH391" t="s">
        <v>6957</v>
      </c>
      <c r="AI391" t="s">
        <v>6958</v>
      </c>
      <c r="AJ391" t="s">
        <v>6959</v>
      </c>
      <c r="AK391" t="s">
        <v>6976</v>
      </c>
      <c r="AL391" t="s">
        <v>6977</v>
      </c>
      <c r="AM391" t="s">
        <v>6978</v>
      </c>
      <c r="AN391" t="s">
        <v>6979</v>
      </c>
      <c r="AO391" t="s">
        <v>6980</v>
      </c>
      <c r="AR391" t="s">
        <v>4284</v>
      </c>
    </row>
    <row r="392" spans="1:44">
      <c r="A392">
        <v>11125782</v>
      </c>
      <c r="B392" t="s">
        <v>486</v>
      </c>
      <c r="C392" t="s">
        <v>1119</v>
      </c>
      <c r="D392" t="s">
        <v>1765</v>
      </c>
      <c r="E392" t="s">
        <v>1766</v>
      </c>
      <c r="F392" t="s">
        <v>1515</v>
      </c>
      <c r="G392" t="s">
        <v>36</v>
      </c>
      <c r="H392" t="s">
        <v>2255</v>
      </c>
      <c r="I392" t="s">
        <v>4446</v>
      </c>
      <c r="J392" t="s">
        <v>3192</v>
      </c>
      <c r="K392" t="s">
        <v>3193</v>
      </c>
      <c r="M392">
        <v>50</v>
      </c>
      <c r="N392">
        <v>70</v>
      </c>
      <c r="O392" t="s">
        <v>2437</v>
      </c>
      <c r="P392" t="s">
        <v>2437</v>
      </c>
      <c r="R392" t="s">
        <v>2437</v>
      </c>
      <c r="T392" t="s">
        <v>2437</v>
      </c>
      <c r="U392" t="s">
        <v>2437</v>
      </c>
      <c r="V392" t="s">
        <v>2437</v>
      </c>
      <c r="Y392" t="s">
        <v>6948</v>
      </c>
      <c r="Z392" t="s">
        <v>6949</v>
      </c>
      <c r="AA392" t="s">
        <v>6950</v>
      </c>
      <c r="AB392" t="s">
        <v>6951</v>
      </c>
      <c r="AC392" t="s">
        <v>6952</v>
      </c>
      <c r="AD392" t="s">
        <v>6953</v>
      </c>
      <c r="AE392" t="s">
        <v>6954</v>
      </c>
      <c r="AF392" t="s">
        <v>6955</v>
      </c>
      <c r="AG392" t="s">
        <v>6956</v>
      </c>
      <c r="AH392" t="s">
        <v>6957</v>
      </c>
      <c r="AI392" t="s">
        <v>6958</v>
      </c>
      <c r="AJ392" t="s">
        <v>6959</v>
      </c>
      <c r="AR392" t="s">
        <v>4284</v>
      </c>
    </row>
    <row r="393" spans="1:44">
      <c r="A393">
        <v>11125783</v>
      </c>
      <c r="B393" t="s">
        <v>487</v>
      </c>
      <c r="C393" t="s">
        <v>1260</v>
      </c>
      <c r="D393" t="s">
        <v>1765</v>
      </c>
      <c r="E393" t="s">
        <v>1766</v>
      </c>
      <c r="F393" t="s">
        <v>1515</v>
      </c>
      <c r="G393" t="s">
        <v>36</v>
      </c>
      <c r="H393" t="s">
        <v>2254</v>
      </c>
      <c r="I393" t="s">
        <v>4445</v>
      </c>
      <c r="J393" t="s">
        <v>3194</v>
      </c>
      <c r="K393" t="s">
        <v>3195</v>
      </c>
      <c r="M393">
        <v>50</v>
      </c>
      <c r="N393">
        <v>70</v>
      </c>
      <c r="O393" t="s">
        <v>2437</v>
      </c>
      <c r="P393" t="s">
        <v>2437</v>
      </c>
      <c r="R393" t="s">
        <v>2437</v>
      </c>
      <c r="T393" t="s">
        <v>2437</v>
      </c>
      <c r="U393" t="s">
        <v>2437</v>
      </c>
      <c r="V393" t="s">
        <v>2437</v>
      </c>
      <c r="Y393" t="s">
        <v>6948</v>
      </c>
      <c r="Z393" t="s">
        <v>6949</v>
      </c>
      <c r="AA393" t="s">
        <v>6950</v>
      </c>
      <c r="AB393" t="s">
        <v>6951</v>
      </c>
      <c r="AC393" t="s">
        <v>6952</v>
      </c>
      <c r="AD393" t="s">
        <v>6953</v>
      </c>
      <c r="AE393" t="s">
        <v>6954</v>
      </c>
      <c r="AF393" t="s">
        <v>6955</v>
      </c>
      <c r="AG393" t="s">
        <v>6956</v>
      </c>
      <c r="AH393" t="s">
        <v>6957</v>
      </c>
      <c r="AI393" t="s">
        <v>6958</v>
      </c>
      <c r="AJ393" t="s">
        <v>6959</v>
      </c>
      <c r="AR393" t="s">
        <v>4284</v>
      </c>
    </row>
    <row r="394" spans="1:44">
      <c r="A394">
        <v>11125784</v>
      </c>
      <c r="B394" t="s">
        <v>488</v>
      </c>
      <c r="C394" t="s">
        <v>1120</v>
      </c>
      <c r="D394" t="s">
        <v>1765</v>
      </c>
      <c r="E394" t="s">
        <v>1766</v>
      </c>
      <c r="F394" t="s">
        <v>1515</v>
      </c>
      <c r="G394" t="s">
        <v>36</v>
      </c>
      <c r="H394" t="s">
        <v>2256</v>
      </c>
      <c r="I394" t="s">
        <v>4447</v>
      </c>
      <c r="J394" t="s">
        <v>3196</v>
      </c>
      <c r="K394" t="s">
        <v>3197</v>
      </c>
      <c r="M394">
        <v>50</v>
      </c>
      <c r="N394">
        <v>70</v>
      </c>
      <c r="O394" t="s">
        <v>2437</v>
      </c>
      <c r="P394" t="s">
        <v>2437</v>
      </c>
      <c r="R394" t="s">
        <v>2437</v>
      </c>
      <c r="T394" t="s">
        <v>2437</v>
      </c>
      <c r="U394" t="s">
        <v>2437</v>
      </c>
      <c r="V394" t="s">
        <v>2437</v>
      </c>
      <c r="Y394" t="s">
        <v>6948</v>
      </c>
      <c r="Z394" t="s">
        <v>6949</v>
      </c>
      <c r="AA394" t="s">
        <v>6950</v>
      </c>
      <c r="AB394" t="s">
        <v>6951</v>
      </c>
      <c r="AC394" t="s">
        <v>6952</v>
      </c>
      <c r="AD394" t="s">
        <v>6953</v>
      </c>
      <c r="AE394" t="s">
        <v>6954</v>
      </c>
      <c r="AF394" t="s">
        <v>6955</v>
      </c>
      <c r="AG394" t="s">
        <v>6956</v>
      </c>
      <c r="AH394" t="s">
        <v>6957</v>
      </c>
      <c r="AI394" t="s">
        <v>6958</v>
      </c>
      <c r="AJ394" t="s">
        <v>6959</v>
      </c>
      <c r="AR394" t="s">
        <v>4284</v>
      </c>
    </row>
    <row r="395" spans="1:44">
      <c r="A395">
        <v>11125785</v>
      </c>
      <c r="B395" t="s">
        <v>489</v>
      </c>
      <c r="C395" t="s">
        <v>1261</v>
      </c>
      <c r="D395" t="s">
        <v>1765</v>
      </c>
      <c r="E395" t="s">
        <v>1766</v>
      </c>
      <c r="F395" t="s">
        <v>1515</v>
      </c>
      <c r="G395" t="s">
        <v>36</v>
      </c>
      <c r="H395" t="s">
        <v>2253</v>
      </c>
      <c r="I395" t="s">
        <v>4444</v>
      </c>
      <c r="J395" t="s">
        <v>3198</v>
      </c>
      <c r="K395" t="s">
        <v>3199</v>
      </c>
      <c r="M395">
        <v>50</v>
      </c>
      <c r="N395">
        <v>70</v>
      </c>
      <c r="O395" t="s">
        <v>2437</v>
      </c>
      <c r="P395" t="s">
        <v>2437</v>
      </c>
      <c r="R395" t="s">
        <v>2437</v>
      </c>
      <c r="T395" t="s">
        <v>2437</v>
      </c>
      <c r="U395" t="s">
        <v>2437</v>
      </c>
      <c r="V395" t="s">
        <v>2437</v>
      </c>
      <c r="Y395" t="s">
        <v>6948</v>
      </c>
      <c r="Z395" t="s">
        <v>6949</v>
      </c>
      <c r="AA395" t="s">
        <v>6950</v>
      </c>
      <c r="AB395" t="s">
        <v>6951</v>
      </c>
      <c r="AC395" t="s">
        <v>6952</v>
      </c>
      <c r="AD395" t="s">
        <v>6953</v>
      </c>
      <c r="AE395" t="s">
        <v>6954</v>
      </c>
      <c r="AF395" t="s">
        <v>6955</v>
      </c>
      <c r="AG395" t="s">
        <v>6956</v>
      </c>
      <c r="AH395" t="s">
        <v>6957</v>
      </c>
      <c r="AI395" t="s">
        <v>6958</v>
      </c>
      <c r="AJ395" t="s">
        <v>6959</v>
      </c>
      <c r="AR395" t="s">
        <v>4284</v>
      </c>
    </row>
    <row r="396" spans="1:44">
      <c r="A396">
        <v>11125786</v>
      </c>
      <c r="B396" t="s">
        <v>490</v>
      </c>
      <c r="C396" t="s">
        <v>1121</v>
      </c>
      <c r="D396" t="s">
        <v>1765</v>
      </c>
      <c r="E396" t="s">
        <v>1766</v>
      </c>
      <c r="F396" t="s">
        <v>1515</v>
      </c>
      <c r="G396" t="s">
        <v>36</v>
      </c>
      <c r="H396" t="s">
        <v>2258</v>
      </c>
      <c r="I396" t="s">
        <v>4374</v>
      </c>
      <c r="J396" t="s">
        <v>3200</v>
      </c>
      <c r="K396" t="s">
        <v>3201</v>
      </c>
      <c r="M396">
        <v>50</v>
      </c>
      <c r="N396">
        <v>70</v>
      </c>
      <c r="O396" t="s">
        <v>2437</v>
      </c>
      <c r="P396" t="s">
        <v>2437</v>
      </c>
      <c r="R396" t="s">
        <v>2437</v>
      </c>
      <c r="T396" t="s">
        <v>2437</v>
      </c>
      <c r="U396" t="s">
        <v>2437</v>
      </c>
      <c r="V396" t="s">
        <v>2437</v>
      </c>
      <c r="Y396" t="s">
        <v>6948</v>
      </c>
      <c r="Z396" t="s">
        <v>6949</v>
      </c>
      <c r="AA396" t="s">
        <v>6950</v>
      </c>
      <c r="AB396" t="s">
        <v>6951</v>
      </c>
      <c r="AC396" t="s">
        <v>6952</v>
      </c>
      <c r="AD396" t="s">
        <v>6953</v>
      </c>
      <c r="AE396" t="s">
        <v>6954</v>
      </c>
      <c r="AF396" t="s">
        <v>6955</v>
      </c>
      <c r="AG396" t="s">
        <v>6956</v>
      </c>
      <c r="AH396" t="s">
        <v>6957</v>
      </c>
      <c r="AI396" t="s">
        <v>6958</v>
      </c>
      <c r="AJ396" t="s">
        <v>6959</v>
      </c>
      <c r="AR396" t="s">
        <v>4284</v>
      </c>
    </row>
    <row r="397" spans="1:44">
      <c r="A397">
        <v>11125787</v>
      </c>
      <c r="B397" t="s">
        <v>491</v>
      </c>
      <c r="C397" t="s">
        <v>1262</v>
      </c>
      <c r="D397" t="s">
        <v>1765</v>
      </c>
      <c r="E397" t="s">
        <v>1766</v>
      </c>
      <c r="F397" t="s">
        <v>1515</v>
      </c>
      <c r="G397" t="s">
        <v>36</v>
      </c>
      <c r="H397" t="s">
        <v>2257</v>
      </c>
      <c r="I397" t="s">
        <v>4448</v>
      </c>
      <c r="J397" t="s">
        <v>3202</v>
      </c>
      <c r="K397" t="s">
        <v>3203</v>
      </c>
      <c r="M397">
        <v>50</v>
      </c>
      <c r="N397">
        <v>70</v>
      </c>
      <c r="O397" t="s">
        <v>2437</v>
      </c>
      <c r="P397" t="s">
        <v>2437</v>
      </c>
      <c r="R397" t="s">
        <v>2437</v>
      </c>
      <c r="T397" t="s">
        <v>2437</v>
      </c>
      <c r="U397" t="s">
        <v>2437</v>
      </c>
      <c r="V397" t="s">
        <v>2437</v>
      </c>
      <c r="Y397" t="s">
        <v>6948</v>
      </c>
      <c r="Z397" t="s">
        <v>6949</v>
      </c>
      <c r="AA397" t="s">
        <v>6950</v>
      </c>
      <c r="AB397" t="s">
        <v>6951</v>
      </c>
      <c r="AC397" t="s">
        <v>6952</v>
      </c>
      <c r="AD397" t="s">
        <v>6953</v>
      </c>
      <c r="AE397" t="s">
        <v>6954</v>
      </c>
      <c r="AF397" t="s">
        <v>6955</v>
      </c>
      <c r="AG397" t="s">
        <v>6956</v>
      </c>
      <c r="AH397" t="s">
        <v>6957</v>
      </c>
      <c r="AI397" t="s">
        <v>6958</v>
      </c>
      <c r="AJ397" t="s">
        <v>6959</v>
      </c>
      <c r="AR397" t="s">
        <v>4284</v>
      </c>
    </row>
    <row r="398" spans="1:44">
      <c r="A398">
        <v>11125788</v>
      </c>
      <c r="B398" t="s">
        <v>492</v>
      </c>
      <c r="C398" t="s">
        <v>1123</v>
      </c>
      <c r="D398" t="s">
        <v>1767</v>
      </c>
      <c r="E398" t="s">
        <v>1768</v>
      </c>
      <c r="F398" t="s">
        <v>1517</v>
      </c>
      <c r="G398" t="s">
        <v>1518</v>
      </c>
      <c r="H398" t="s">
        <v>2175</v>
      </c>
      <c r="I398" t="s">
        <v>4450</v>
      </c>
      <c r="J398" t="s">
        <v>3204</v>
      </c>
      <c r="K398" t="s">
        <v>3205</v>
      </c>
      <c r="M398">
        <v>50</v>
      </c>
      <c r="N398">
        <v>70</v>
      </c>
      <c r="O398" t="s">
        <v>2437</v>
      </c>
      <c r="P398" t="s">
        <v>2437</v>
      </c>
      <c r="R398" t="s">
        <v>2437</v>
      </c>
      <c r="T398" t="s">
        <v>2437</v>
      </c>
      <c r="U398" t="s">
        <v>2437</v>
      </c>
      <c r="V398" t="s">
        <v>2437</v>
      </c>
      <c r="Y398" t="s">
        <v>6948</v>
      </c>
      <c r="Z398" t="s">
        <v>6949</v>
      </c>
      <c r="AA398" t="s">
        <v>6950</v>
      </c>
      <c r="AB398" t="s">
        <v>6951</v>
      </c>
      <c r="AC398" t="s">
        <v>6952</v>
      </c>
      <c r="AD398" t="s">
        <v>6953</v>
      </c>
      <c r="AE398" t="s">
        <v>6954</v>
      </c>
      <c r="AF398" t="s">
        <v>6955</v>
      </c>
      <c r="AG398" t="s">
        <v>6956</v>
      </c>
      <c r="AH398" t="s">
        <v>6957</v>
      </c>
      <c r="AI398" t="s">
        <v>6958</v>
      </c>
      <c r="AJ398" t="s">
        <v>6959</v>
      </c>
      <c r="AR398" t="s">
        <v>4284</v>
      </c>
    </row>
    <row r="399" spans="1:44">
      <c r="A399">
        <v>11125789</v>
      </c>
      <c r="B399" t="s">
        <v>493</v>
      </c>
      <c r="C399" t="s">
        <v>1263</v>
      </c>
      <c r="D399" t="s">
        <v>1767</v>
      </c>
      <c r="E399" t="s">
        <v>1768</v>
      </c>
      <c r="F399" t="s">
        <v>1517</v>
      </c>
      <c r="G399" t="s">
        <v>1518</v>
      </c>
      <c r="H399" t="s">
        <v>2174</v>
      </c>
      <c r="I399" t="s">
        <v>4449</v>
      </c>
      <c r="J399" t="s">
        <v>3206</v>
      </c>
      <c r="K399" t="s">
        <v>3207</v>
      </c>
      <c r="M399">
        <v>50</v>
      </c>
      <c r="N399">
        <v>70</v>
      </c>
      <c r="O399" t="s">
        <v>2437</v>
      </c>
      <c r="P399" t="s">
        <v>2437</v>
      </c>
      <c r="R399" t="s">
        <v>2437</v>
      </c>
      <c r="T399" t="s">
        <v>2437</v>
      </c>
      <c r="U399" t="s">
        <v>2437</v>
      </c>
      <c r="V399" t="s">
        <v>2437</v>
      </c>
      <c r="Y399" t="s">
        <v>6948</v>
      </c>
      <c r="Z399" t="s">
        <v>6949</v>
      </c>
      <c r="AA399" t="s">
        <v>6950</v>
      </c>
      <c r="AB399" t="s">
        <v>6951</v>
      </c>
      <c r="AC399" t="s">
        <v>6952</v>
      </c>
      <c r="AD399" t="s">
        <v>6953</v>
      </c>
      <c r="AE399" t="s">
        <v>6954</v>
      </c>
      <c r="AF399" t="s">
        <v>6955</v>
      </c>
      <c r="AG399" t="s">
        <v>6956</v>
      </c>
      <c r="AH399" t="s">
        <v>6957</v>
      </c>
      <c r="AI399" t="s">
        <v>6958</v>
      </c>
      <c r="AJ399" t="s">
        <v>6959</v>
      </c>
      <c r="AR399" t="s">
        <v>4284</v>
      </c>
    </row>
    <row r="400" spans="1:44">
      <c r="A400">
        <v>11125790</v>
      </c>
      <c r="B400" t="s">
        <v>494</v>
      </c>
      <c r="C400" t="s">
        <v>1124</v>
      </c>
      <c r="D400" t="s">
        <v>1767</v>
      </c>
      <c r="E400" t="s">
        <v>1768</v>
      </c>
      <c r="F400" t="s">
        <v>1517</v>
      </c>
      <c r="G400" t="s">
        <v>1518</v>
      </c>
      <c r="H400" t="s">
        <v>2259</v>
      </c>
      <c r="I400" t="s">
        <v>4375</v>
      </c>
      <c r="J400" t="s">
        <v>3208</v>
      </c>
      <c r="K400" t="s">
        <v>3209</v>
      </c>
      <c r="M400">
        <v>50</v>
      </c>
      <c r="N400">
        <v>70</v>
      </c>
      <c r="O400" t="s">
        <v>2437</v>
      </c>
      <c r="P400" t="s">
        <v>2437</v>
      </c>
      <c r="R400" t="s">
        <v>2437</v>
      </c>
      <c r="T400" t="s">
        <v>2437</v>
      </c>
      <c r="U400" t="s">
        <v>2437</v>
      </c>
      <c r="V400" t="s">
        <v>2437</v>
      </c>
      <c r="Y400" t="s">
        <v>6948</v>
      </c>
      <c r="Z400" t="s">
        <v>6949</v>
      </c>
      <c r="AA400" t="s">
        <v>6950</v>
      </c>
      <c r="AB400" t="s">
        <v>6951</v>
      </c>
      <c r="AC400" t="s">
        <v>6952</v>
      </c>
      <c r="AD400" t="s">
        <v>6953</v>
      </c>
      <c r="AE400" t="s">
        <v>6954</v>
      </c>
      <c r="AF400" t="s">
        <v>6955</v>
      </c>
      <c r="AG400" t="s">
        <v>6956</v>
      </c>
      <c r="AH400" t="s">
        <v>6957</v>
      </c>
      <c r="AI400" t="s">
        <v>6958</v>
      </c>
      <c r="AJ400" t="s">
        <v>6959</v>
      </c>
      <c r="AR400" t="s">
        <v>4284</v>
      </c>
    </row>
    <row r="401" spans="1:44">
      <c r="A401" t="s">
        <v>93</v>
      </c>
      <c r="B401" t="s">
        <v>495</v>
      </c>
      <c r="C401" t="s">
        <v>1264</v>
      </c>
      <c r="D401" t="s">
        <v>1767</v>
      </c>
      <c r="E401" t="s">
        <v>1768</v>
      </c>
      <c r="F401" t="s">
        <v>1517</v>
      </c>
      <c r="G401" t="s">
        <v>1518</v>
      </c>
      <c r="H401" t="s">
        <v>2176</v>
      </c>
      <c r="I401" t="s">
        <v>4382</v>
      </c>
      <c r="J401" t="s">
        <v>3210</v>
      </c>
      <c r="K401" t="s">
        <v>3211</v>
      </c>
      <c r="M401">
        <v>50</v>
      </c>
      <c r="N401">
        <v>70</v>
      </c>
      <c r="O401" t="s">
        <v>2437</v>
      </c>
      <c r="P401" t="s">
        <v>2437</v>
      </c>
      <c r="R401" t="s">
        <v>2437</v>
      </c>
      <c r="T401" t="s">
        <v>2437</v>
      </c>
      <c r="U401" t="s">
        <v>2437</v>
      </c>
      <c r="V401" t="s">
        <v>2437</v>
      </c>
      <c r="Y401" t="s">
        <v>6948</v>
      </c>
      <c r="Z401" t="s">
        <v>6949</v>
      </c>
      <c r="AA401" t="s">
        <v>6950</v>
      </c>
      <c r="AB401" t="s">
        <v>6951</v>
      </c>
      <c r="AC401" t="s">
        <v>6952</v>
      </c>
      <c r="AD401" t="s">
        <v>6953</v>
      </c>
      <c r="AE401" t="s">
        <v>6954</v>
      </c>
      <c r="AF401" t="s">
        <v>6955</v>
      </c>
      <c r="AG401" t="s">
        <v>6956</v>
      </c>
      <c r="AH401" t="s">
        <v>6957</v>
      </c>
      <c r="AI401" t="s">
        <v>6958</v>
      </c>
      <c r="AJ401" t="s">
        <v>6959</v>
      </c>
      <c r="AR401" t="s">
        <v>4284</v>
      </c>
    </row>
    <row r="402" spans="1:44">
      <c r="A402">
        <v>11125792</v>
      </c>
      <c r="B402" t="s">
        <v>496</v>
      </c>
      <c r="C402" t="s">
        <v>1148</v>
      </c>
      <c r="D402" t="s">
        <v>1767</v>
      </c>
      <c r="E402" t="s">
        <v>1768</v>
      </c>
      <c r="F402" t="s">
        <v>1517</v>
      </c>
      <c r="G402" t="s">
        <v>1518</v>
      </c>
      <c r="H402" t="s">
        <v>2178</v>
      </c>
      <c r="I402" t="s">
        <v>4384</v>
      </c>
      <c r="J402" t="s">
        <v>3212</v>
      </c>
      <c r="K402" t="s">
        <v>3213</v>
      </c>
      <c r="M402">
        <v>50</v>
      </c>
      <c r="N402">
        <v>70</v>
      </c>
      <c r="O402" t="s">
        <v>2437</v>
      </c>
      <c r="P402" t="s">
        <v>2437</v>
      </c>
      <c r="R402" t="s">
        <v>2437</v>
      </c>
      <c r="T402" t="s">
        <v>2437</v>
      </c>
      <c r="U402" t="s">
        <v>2437</v>
      </c>
      <c r="V402" t="s">
        <v>2437</v>
      </c>
      <c r="Y402" t="s">
        <v>6948</v>
      </c>
      <c r="Z402" t="s">
        <v>6949</v>
      </c>
      <c r="AA402" t="s">
        <v>6950</v>
      </c>
      <c r="AB402" t="s">
        <v>6951</v>
      </c>
      <c r="AC402" t="s">
        <v>6952</v>
      </c>
      <c r="AD402" t="s">
        <v>6953</v>
      </c>
      <c r="AE402" t="s">
        <v>6954</v>
      </c>
      <c r="AF402" t="s">
        <v>6955</v>
      </c>
      <c r="AG402" t="s">
        <v>6956</v>
      </c>
      <c r="AH402" t="s">
        <v>6957</v>
      </c>
      <c r="AI402" t="s">
        <v>6958</v>
      </c>
      <c r="AJ402" t="s">
        <v>6959</v>
      </c>
      <c r="AR402" t="s">
        <v>4284</v>
      </c>
    </row>
    <row r="403" spans="1:44">
      <c r="A403">
        <v>11125793</v>
      </c>
      <c r="B403" t="s">
        <v>497</v>
      </c>
      <c r="C403" t="s">
        <v>1265</v>
      </c>
      <c r="D403" t="s">
        <v>1767</v>
      </c>
      <c r="E403" t="s">
        <v>1768</v>
      </c>
      <c r="F403" t="s">
        <v>1517</v>
      </c>
      <c r="G403" t="s">
        <v>1518</v>
      </c>
      <c r="H403" t="s">
        <v>2177</v>
      </c>
      <c r="I403" t="s">
        <v>4383</v>
      </c>
      <c r="J403" t="s">
        <v>3214</v>
      </c>
      <c r="K403" t="s">
        <v>3215</v>
      </c>
      <c r="M403">
        <v>50</v>
      </c>
      <c r="N403">
        <v>70</v>
      </c>
      <c r="O403" t="s">
        <v>2437</v>
      </c>
      <c r="P403" t="s">
        <v>2437</v>
      </c>
      <c r="R403" t="s">
        <v>2437</v>
      </c>
      <c r="T403" t="s">
        <v>2437</v>
      </c>
      <c r="U403" t="s">
        <v>2437</v>
      </c>
      <c r="V403" t="s">
        <v>2437</v>
      </c>
      <c r="Y403" t="s">
        <v>6948</v>
      </c>
      <c r="Z403" t="s">
        <v>6949</v>
      </c>
      <c r="AA403" t="s">
        <v>6950</v>
      </c>
      <c r="AB403" t="s">
        <v>6951</v>
      </c>
      <c r="AC403" t="s">
        <v>6952</v>
      </c>
      <c r="AD403" t="s">
        <v>6953</v>
      </c>
      <c r="AE403" t="s">
        <v>6954</v>
      </c>
      <c r="AF403" t="s">
        <v>6955</v>
      </c>
      <c r="AG403" t="s">
        <v>6956</v>
      </c>
      <c r="AH403" t="s">
        <v>6957</v>
      </c>
      <c r="AI403" t="s">
        <v>6958</v>
      </c>
      <c r="AJ403" t="s">
        <v>6959</v>
      </c>
      <c r="AR403" t="s">
        <v>4284</v>
      </c>
    </row>
    <row r="404" spans="1:44">
      <c r="A404">
        <v>11125794</v>
      </c>
      <c r="B404" t="s">
        <v>498</v>
      </c>
      <c r="C404" t="s">
        <v>1126</v>
      </c>
      <c r="D404" t="s">
        <v>1769</v>
      </c>
      <c r="E404" t="s">
        <v>1770</v>
      </c>
      <c r="F404" t="s">
        <v>1586</v>
      </c>
      <c r="G404" t="s">
        <v>1587</v>
      </c>
      <c r="H404" t="s">
        <v>2180</v>
      </c>
      <c r="I404" t="s">
        <v>4385</v>
      </c>
      <c r="J404" t="s">
        <v>3216</v>
      </c>
      <c r="K404" t="s">
        <v>3217</v>
      </c>
      <c r="M404">
        <v>50</v>
      </c>
      <c r="N404">
        <v>70</v>
      </c>
      <c r="O404" t="s">
        <v>2437</v>
      </c>
      <c r="P404" t="s">
        <v>2437</v>
      </c>
      <c r="R404" t="s">
        <v>2437</v>
      </c>
      <c r="T404" t="s">
        <v>2437</v>
      </c>
      <c r="U404" t="s">
        <v>2437</v>
      </c>
      <c r="V404" t="s">
        <v>2437</v>
      </c>
      <c r="Y404" t="s">
        <v>6948</v>
      </c>
      <c r="Z404" t="s">
        <v>6949</v>
      </c>
      <c r="AA404" t="s">
        <v>6950</v>
      </c>
      <c r="AB404" t="s">
        <v>6951</v>
      </c>
      <c r="AC404" t="s">
        <v>6952</v>
      </c>
      <c r="AD404" t="s">
        <v>6953</v>
      </c>
      <c r="AE404" t="s">
        <v>6954</v>
      </c>
      <c r="AF404" t="s">
        <v>6955</v>
      </c>
      <c r="AG404" t="s">
        <v>6956</v>
      </c>
      <c r="AH404" t="s">
        <v>6957</v>
      </c>
      <c r="AI404" t="s">
        <v>6958</v>
      </c>
      <c r="AJ404" t="s">
        <v>6959</v>
      </c>
      <c r="AR404" t="s">
        <v>4284</v>
      </c>
    </row>
    <row r="405" spans="1:44">
      <c r="A405">
        <v>11125795</v>
      </c>
      <c r="B405" t="s">
        <v>499</v>
      </c>
      <c r="C405" t="s">
        <v>1266</v>
      </c>
      <c r="D405" t="s">
        <v>1769</v>
      </c>
      <c r="E405" t="s">
        <v>1770</v>
      </c>
      <c r="F405" t="s">
        <v>1586</v>
      </c>
      <c r="G405" t="s">
        <v>1587</v>
      </c>
      <c r="H405" t="s">
        <v>2179</v>
      </c>
      <c r="I405" t="s">
        <v>4376</v>
      </c>
      <c r="J405" t="s">
        <v>3218</v>
      </c>
      <c r="K405" t="s">
        <v>3219</v>
      </c>
      <c r="M405">
        <v>50</v>
      </c>
      <c r="N405">
        <v>70</v>
      </c>
      <c r="O405" t="s">
        <v>2437</v>
      </c>
      <c r="P405" t="s">
        <v>2437</v>
      </c>
      <c r="R405" t="s">
        <v>2437</v>
      </c>
      <c r="T405" t="s">
        <v>2437</v>
      </c>
      <c r="U405" t="s">
        <v>2437</v>
      </c>
      <c r="V405" t="s">
        <v>2437</v>
      </c>
      <c r="Y405" t="s">
        <v>6948</v>
      </c>
      <c r="Z405" t="s">
        <v>6949</v>
      </c>
      <c r="AA405" t="s">
        <v>6950</v>
      </c>
      <c r="AB405" t="s">
        <v>6951</v>
      </c>
      <c r="AC405" t="s">
        <v>6952</v>
      </c>
      <c r="AD405" t="s">
        <v>6953</v>
      </c>
      <c r="AE405" t="s">
        <v>6954</v>
      </c>
      <c r="AF405" t="s">
        <v>6955</v>
      </c>
      <c r="AG405" t="s">
        <v>6956</v>
      </c>
      <c r="AH405" t="s">
        <v>6957</v>
      </c>
      <c r="AI405" t="s">
        <v>6958</v>
      </c>
      <c r="AJ405" t="s">
        <v>6959</v>
      </c>
      <c r="AR405" t="s">
        <v>4284</v>
      </c>
    </row>
    <row r="406" spans="1:44">
      <c r="A406">
        <v>11125796</v>
      </c>
      <c r="B406" t="s">
        <v>500</v>
      </c>
      <c r="C406" t="s">
        <v>1127</v>
      </c>
      <c r="D406" t="s">
        <v>1769</v>
      </c>
      <c r="E406" t="s">
        <v>1770</v>
      </c>
      <c r="F406" t="s">
        <v>1586</v>
      </c>
      <c r="G406" t="s">
        <v>1587</v>
      </c>
      <c r="H406" t="s">
        <v>2182</v>
      </c>
      <c r="I406" t="s">
        <v>4377</v>
      </c>
      <c r="J406" t="s">
        <v>3220</v>
      </c>
      <c r="K406" t="s">
        <v>3221</v>
      </c>
      <c r="M406">
        <v>50</v>
      </c>
      <c r="N406">
        <v>70</v>
      </c>
      <c r="O406" t="s">
        <v>2437</v>
      </c>
      <c r="P406" t="s">
        <v>2437</v>
      </c>
      <c r="R406" t="s">
        <v>2437</v>
      </c>
      <c r="T406" t="s">
        <v>2437</v>
      </c>
      <c r="U406" t="s">
        <v>2437</v>
      </c>
      <c r="V406" t="s">
        <v>2437</v>
      </c>
      <c r="Y406" t="s">
        <v>6948</v>
      </c>
      <c r="Z406" t="s">
        <v>6949</v>
      </c>
      <c r="AA406" t="s">
        <v>6950</v>
      </c>
      <c r="AB406" t="s">
        <v>6951</v>
      </c>
      <c r="AC406" t="s">
        <v>6952</v>
      </c>
      <c r="AD406" t="s">
        <v>6953</v>
      </c>
      <c r="AE406" t="s">
        <v>6954</v>
      </c>
      <c r="AF406" t="s">
        <v>6955</v>
      </c>
      <c r="AG406" t="s">
        <v>6956</v>
      </c>
      <c r="AH406" t="s">
        <v>6957</v>
      </c>
      <c r="AI406" t="s">
        <v>6958</v>
      </c>
      <c r="AJ406" t="s">
        <v>6959</v>
      </c>
      <c r="AR406" t="s">
        <v>4284</v>
      </c>
    </row>
    <row r="407" spans="1:44">
      <c r="A407">
        <v>11125797</v>
      </c>
      <c r="B407" t="s">
        <v>501</v>
      </c>
      <c r="C407" t="s">
        <v>1267</v>
      </c>
      <c r="D407" t="s">
        <v>1769</v>
      </c>
      <c r="E407" t="s">
        <v>1770</v>
      </c>
      <c r="F407" t="s">
        <v>1586</v>
      </c>
      <c r="G407" t="s">
        <v>1587</v>
      </c>
      <c r="H407" t="s">
        <v>2181</v>
      </c>
      <c r="I407" t="s">
        <v>4386</v>
      </c>
      <c r="J407" t="s">
        <v>3222</v>
      </c>
      <c r="K407" t="s">
        <v>3223</v>
      </c>
      <c r="M407">
        <v>50</v>
      </c>
      <c r="N407">
        <v>70</v>
      </c>
      <c r="O407" t="s">
        <v>2437</v>
      </c>
      <c r="P407" t="s">
        <v>2437</v>
      </c>
      <c r="R407" t="s">
        <v>2437</v>
      </c>
      <c r="T407" t="s">
        <v>2437</v>
      </c>
      <c r="U407" t="s">
        <v>2437</v>
      </c>
      <c r="V407" t="s">
        <v>2437</v>
      </c>
      <c r="Y407" t="s">
        <v>6948</v>
      </c>
      <c r="Z407" t="s">
        <v>6949</v>
      </c>
      <c r="AA407" t="s">
        <v>6950</v>
      </c>
      <c r="AB407" t="s">
        <v>6951</v>
      </c>
      <c r="AC407" t="s">
        <v>6952</v>
      </c>
      <c r="AD407" t="s">
        <v>6953</v>
      </c>
      <c r="AE407" t="s">
        <v>6954</v>
      </c>
      <c r="AF407" t="s">
        <v>6955</v>
      </c>
      <c r="AG407" t="s">
        <v>6956</v>
      </c>
      <c r="AH407" t="s">
        <v>6957</v>
      </c>
      <c r="AI407" t="s">
        <v>6958</v>
      </c>
      <c r="AJ407" t="s">
        <v>6959</v>
      </c>
      <c r="AR407" t="s">
        <v>4284</v>
      </c>
    </row>
    <row r="408" spans="1:44">
      <c r="A408">
        <v>11125798</v>
      </c>
      <c r="B408" t="s">
        <v>502</v>
      </c>
      <c r="C408" t="s">
        <v>1151</v>
      </c>
      <c r="D408" t="s">
        <v>1769</v>
      </c>
      <c r="E408" t="s">
        <v>1770</v>
      </c>
      <c r="F408" t="s">
        <v>1586</v>
      </c>
      <c r="G408" t="s">
        <v>1587</v>
      </c>
      <c r="H408" t="s">
        <v>2184</v>
      </c>
      <c r="I408" t="s">
        <v>4388</v>
      </c>
      <c r="J408" t="s">
        <v>3224</v>
      </c>
      <c r="K408" t="s">
        <v>3225</v>
      </c>
      <c r="M408">
        <v>50</v>
      </c>
      <c r="N408">
        <v>70</v>
      </c>
      <c r="O408" t="s">
        <v>2437</v>
      </c>
      <c r="P408" t="s">
        <v>2437</v>
      </c>
      <c r="R408" t="s">
        <v>2437</v>
      </c>
      <c r="T408" t="s">
        <v>2437</v>
      </c>
      <c r="U408" t="s">
        <v>2437</v>
      </c>
      <c r="V408" t="s">
        <v>2437</v>
      </c>
      <c r="Y408" t="s">
        <v>6948</v>
      </c>
      <c r="Z408" t="s">
        <v>6949</v>
      </c>
      <c r="AA408" t="s">
        <v>6950</v>
      </c>
      <c r="AB408" t="s">
        <v>6951</v>
      </c>
      <c r="AC408" t="s">
        <v>6952</v>
      </c>
      <c r="AD408" t="s">
        <v>6953</v>
      </c>
      <c r="AE408" t="s">
        <v>6954</v>
      </c>
      <c r="AF408" t="s">
        <v>6955</v>
      </c>
      <c r="AG408" t="s">
        <v>6956</v>
      </c>
      <c r="AH408" t="s">
        <v>6957</v>
      </c>
      <c r="AI408" t="s">
        <v>6958</v>
      </c>
      <c r="AJ408" t="s">
        <v>6959</v>
      </c>
      <c r="AR408" t="s">
        <v>4284</v>
      </c>
    </row>
    <row r="409" spans="1:44">
      <c r="A409">
        <v>11125799</v>
      </c>
      <c r="B409" t="s">
        <v>503</v>
      </c>
      <c r="C409" t="s">
        <v>1268</v>
      </c>
      <c r="D409" t="s">
        <v>1769</v>
      </c>
      <c r="E409" t="s">
        <v>1770</v>
      </c>
      <c r="F409" t="s">
        <v>1586</v>
      </c>
      <c r="G409" t="s">
        <v>1587</v>
      </c>
      <c r="H409" t="s">
        <v>2183</v>
      </c>
      <c r="I409" t="s">
        <v>4387</v>
      </c>
      <c r="J409" t="s">
        <v>3226</v>
      </c>
      <c r="K409" t="s">
        <v>3227</v>
      </c>
      <c r="M409">
        <v>50</v>
      </c>
      <c r="N409">
        <v>70</v>
      </c>
      <c r="O409" t="s">
        <v>2437</v>
      </c>
      <c r="P409" t="s">
        <v>2437</v>
      </c>
      <c r="R409" t="s">
        <v>2437</v>
      </c>
      <c r="T409" t="s">
        <v>2437</v>
      </c>
      <c r="U409" t="s">
        <v>2437</v>
      </c>
      <c r="V409" t="s">
        <v>2437</v>
      </c>
      <c r="Y409" t="s">
        <v>6948</v>
      </c>
      <c r="Z409" t="s">
        <v>6949</v>
      </c>
      <c r="AA409" t="s">
        <v>6950</v>
      </c>
      <c r="AB409" t="s">
        <v>6951</v>
      </c>
      <c r="AC409" t="s">
        <v>6952</v>
      </c>
      <c r="AD409" t="s">
        <v>6953</v>
      </c>
      <c r="AE409" t="s">
        <v>6954</v>
      </c>
      <c r="AF409" t="s">
        <v>6955</v>
      </c>
      <c r="AG409" t="s">
        <v>6956</v>
      </c>
      <c r="AH409" t="s">
        <v>6957</v>
      </c>
      <c r="AI409" t="s">
        <v>6958</v>
      </c>
      <c r="AJ409" t="s">
        <v>6959</v>
      </c>
      <c r="AR409" t="s">
        <v>4284</v>
      </c>
    </row>
    <row r="410" spans="1:44">
      <c r="A410">
        <v>11121966</v>
      </c>
      <c r="B410" t="s">
        <v>504</v>
      </c>
      <c r="C410" t="s">
        <v>1081</v>
      </c>
      <c r="D410" t="s">
        <v>1771</v>
      </c>
      <c r="E410" t="s">
        <v>1547</v>
      </c>
      <c r="F410" t="s">
        <v>1772</v>
      </c>
      <c r="G410" t="s">
        <v>1773</v>
      </c>
      <c r="H410" t="s">
        <v>2217</v>
      </c>
      <c r="I410" t="s">
        <v>4358</v>
      </c>
      <c r="J410" t="s">
        <v>3228</v>
      </c>
      <c r="K410" t="s">
        <v>3229</v>
      </c>
      <c r="M410">
        <v>50</v>
      </c>
      <c r="N410">
        <v>70</v>
      </c>
      <c r="O410" t="s">
        <v>2437</v>
      </c>
      <c r="P410" t="s">
        <v>2437</v>
      </c>
      <c r="R410" t="s">
        <v>2437</v>
      </c>
      <c r="T410" t="s">
        <v>2444</v>
      </c>
      <c r="U410" t="s">
        <v>2437</v>
      </c>
      <c r="V410" t="s">
        <v>2559</v>
      </c>
      <c r="Y410" t="s">
        <v>6948</v>
      </c>
      <c r="Z410" t="s">
        <v>6949</v>
      </c>
      <c r="AA410" t="s">
        <v>6950</v>
      </c>
      <c r="AB410" t="s">
        <v>6951</v>
      </c>
      <c r="AC410" t="s">
        <v>6952</v>
      </c>
      <c r="AD410" t="s">
        <v>6953</v>
      </c>
      <c r="AE410" t="s">
        <v>6954</v>
      </c>
      <c r="AF410" t="s">
        <v>6955</v>
      </c>
      <c r="AG410" t="s">
        <v>6956</v>
      </c>
      <c r="AH410" t="s">
        <v>6957</v>
      </c>
      <c r="AI410" t="s">
        <v>6958</v>
      </c>
      <c r="AJ410" t="s">
        <v>6959</v>
      </c>
      <c r="AR410" t="s">
        <v>4284</v>
      </c>
    </row>
    <row r="411" spans="1:44">
      <c r="A411">
        <v>11121974</v>
      </c>
      <c r="B411" t="s">
        <v>505</v>
      </c>
      <c r="C411" t="s">
        <v>1080</v>
      </c>
      <c r="D411" t="s">
        <v>1774</v>
      </c>
      <c r="E411" t="s">
        <v>1545</v>
      </c>
      <c r="F411" t="s">
        <v>1775</v>
      </c>
      <c r="G411" t="s">
        <v>1776</v>
      </c>
      <c r="H411" t="s">
        <v>2200</v>
      </c>
      <c r="I411" t="s">
        <v>4357</v>
      </c>
      <c r="J411" t="s">
        <v>2615</v>
      </c>
      <c r="K411" t="s">
        <v>2616</v>
      </c>
      <c r="M411">
        <v>50</v>
      </c>
      <c r="N411">
        <v>70</v>
      </c>
      <c r="O411" t="s">
        <v>2437</v>
      </c>
      <c r="P411" t="s">
        <v>2437</v>
      </c>
      <c r="R411" t="s">
        <v>2437</v>
      </c>
      <c r="T411" t="s">
        <v>2444</v>
      </c>
      <c r="U411" t="s">
        <v>2437</v>
      </c>
      <c r="V411" t="s">
        <v>2562</v>
      </c>
      <c r="Y411" t="s">
        <v>6948</v>
      </c>
      <c r="Z411" t="s">
        <v>6949</v>
      </c>
      <c r="AA411" t="s">
        <v>6950</v>
      </c>
      <c r="AB411" t="s">
        <v>6951</v>
      </c>
      <c r="AC411" t="s">
        <v>6952</v>
      </c>
      <c r="AD411" t="s">
        <v>6953</v>
      </c>
      <c r="AE411" t="s">
        <v>6954</v>
      </c>
      <c r="AF411" t="s">
        <v>6955</v>
      </c>
      <c r="AG411" t="s">
        <v>6956</v>
      </c>
      <c r="AH411" t="s">
        <v>6957</v>
      </c>
      <c r="AI411" t="s">
        <v>6958</v>
      </c>
      <c r="AJ411" t="s">
        <v>6959</v>
      </c>
      <c r="AR411" t="s">
        <v>4284</v>
      </c>
    </row>
    <row r="412" spans="1:44">
      <c r="A412">
        <v>11125732</v>
      </c>
      <c r="B412" t="s">
        <v>506</v>
      </c>
      <c r="C412" t="s">
        <v>1136</v>
      </c>
      <c r="D412" t="s">
        <v>1777</v>
      </c>
      <c r="E412" t="s">
        <v>1479</v>
      </c>
      <c r="F412" t="s">
        <v>1693</v>
      </c>
      <c r="G412" t="s">
        <v>1694</v>
      </c>
      <c r="H412" t="s">
        <v>2325</v>
      </c>
      <c r="I412" t="s">
        <v>4307</v>
      </c>
      <c r="J412" t="s">
        <v>2670</v>
      </c>
      <c r="K412" t="s">
        <v>2671</v>
      </c>
      <c r="M412">
        <v>55</v>
      </c>
      <c r="N412">
        <v>65</v>
      </c>
      <c r="O412" t="s">
        <v>2437</v>
      </c>
      <c r="P412" t="s">
        <v>2437</v>
      </c>
      <c r="R412" t="s">
        <v>2437</v>
      </c>
      <c r="T412" t="s">
        <v>2437</v>
      </c>
      <c r="U412" t="s">
        <v>2439</v>
      </c>
      <c r="V412" t="s">
        <v>2437</v>
      </c>
      <c r="Y412" t="s">
        <v>6948</v>
      </c>
      <c r="Z412" t="s">
        <v>6949</v>
      </c>
      <c r="AA412" t="s">
        <v>6950</v>
      </c>
      <c r="AB412" t="s">
        <v>6951</v>
      </c>
      <c r="AC412" t="s">
        <v>6952</v>
      </c>
      <c r="AD412" t="s">
        <v>6953</v>
      </c>
      <c r="AE412" t="s">
        <v>6975</v>
      </c>
      <c r="AF412" t="s">
        <v>6974</v>
      </c>
      <c r="AR412" t="s">
        <v>4284</v>
      </c>
    </row>
    <row r="413" spans="1:44">
      <c r="A413">
        <v>11125733</v>
      </c>
      <c r="B413" t="s">
        <v>507</v>
      </c>
      <c r="C413" t="s">
        <v>961</v>
      </c>
      <c r="D413" t="s">
        <v>1777</v>
      </c>
      <c r="E413" t="s">
        <v>1479</v>
      </c>
      <c r="F413" t="s">
        <v>1693</v>
      </c>
      <c r="G413" t="s">
        <v>1694</v>
      </c>
      <c r="H413" t="s">
        <v>2326</v>
      </c>
      <c r="I413" t="s">
        <v>4308</v>
      </c>
      <c r="J413" t="s">
        <v>2672</v>
      </c>
      <c r="K413" t="s">
        <v>2673</v>
      </c>
      <c r="M413">
        <v>55</v>
      </c>
      <c r="N413">
        <v>65</v>
      </c>
      <c r="O413" t="s">
        <v>2437</v>
      </c>
      <c r="P413" t="s">
        <v>2437</v>
      </c>
      <c r="R413" t="s">
        <v>2437</v>
      </c>
      <c r="T413" t="s">
        <v>2437</v>
      </c>
      <c r="U413" t="s">
        <v>2439</v>
      </c>
      <c r="V413" t="s">
        <v>2437</v>
      </c>
      <c r="Y413" t="s">
        <v>6948</v>
      </c>
      <c r="Z413" t="s">
        <v>6949</v>
      </c>
      <c r="AA413" t="s">
        <v>6950</v>
      </c>
      <c r="AB413" t="s">
        <v>6951</v>
      </c>
      <c r="AC413" t="s">
        <v>6952</v>
      </c>
      <c r="AD413" t="s">
        <v>6953</v>
      </c>
      <c r="AE413" t="s">
        <v>6975</v>
      </c>
      <c r="AF413" t="s">
        <v>6974</v>
      </c>
      <c r="AR413" t="s">
        <v>4284</v>
      </c>
    </row>
    <row r="414" spans="1:44">
      <c r="A414" t="s">
        <v>94</v>
      </c>
      <c r="B414" t="s">
        <v>508</v>
      </c>
      <c r="C414" t="s">
        <v>962</v>
      </c>
      <c r="D414" t="s">
        <v>1777</v>
      </c>
      <c r="E414" t="s">
        <v>1479</v>
      </c>
      <c r="F414" t="s">
        <v>1693</v>
      </c>
      <c r="G414" t="s">
        <v>1694</v>
      </c>
      <c r="H414" t="s">
        <v>2327</v>
      </c>
      <c r="J414" t="s">
        <v>3230</v>
      </c>
      <c r="K414" t="s">
        <v>3231</v>
      </c>
      <c r="M414">
        <v>55</v>
      </c>
      <c r="N414">
        <v>65</v>
      </c>
      <c r="O414" t="s">
        <v>2437</v>
      </c>
      <c r="P414" t="s">
        <v>2437</v>
      </c>
      <c r="R414" t="s">
        <v>2437</v>
      </c>
      <c r="T414" t="s">
        <v>2437</v>
      </c>
      <c r="U414" t="s">
        <v>2439</v>
      </c>
      <c r="V414" t="s">
        <v>2437</v>
      </c>
      <c r="Y414" t="s">
        <v>6948</v>
      </c>
      <c r="Z414" t="s">
        <v>6949</v>
      </c>
      <c r="AA414" t="s">
        <v>6950</v>
      </c>
      <c r="AB414" t="s">
        <v>6951</v>
      </c>
      <c r="AC414" t="s">
        <v>6952</v>
      </c>
      <c r="AD414" t="s">
        <v>6953</v>
      </c>
      <c r="AE414" t="s">
        <v>6975</v>
      </c>
      <c r="AF414" t="s">
        <v>6974</v>
      </c>
      <c r="AR414" t="s">
        <v>4284</v>
      </c>
    </row>
    <row r="415" spans="1:44">
      <c r="A415">
        <v>11125737</v>
      </c>
      <c r="B415" t="s">
        <v>509</v>
      </c>
      <c r="C415" t="s">
        <v>963</v>
      </c>
      <c r="D415" t="s">
        <v>1778</v>
      </c>
      <c r="E415" t="s">
        <v>1481</v>
      </c>
      <c r="F415" t="s">
        <v>1696</v>
      </c>
      <c r="G415" t="s">
        <v>1697</v>
      </c>
      <c r="H415" t="s">
        <v>2328</v>
      </c>
      <c r="I415" t="s">
        <v>4309</v>
      </c>
      <c r="J415" t="s">
        <v>3056</v>
      </c>
      <c r="K415" t="s">
        <v>3057</v>
      </c>
      <c r="M415">
        <v>55</v>
      </c>
      <c r="N415">
        <v>65</v>
      </c>
      <c r="O415" t="s">
        <v>2437</v>
      </c>
      <c r="P415" t="s">
        <v>2437</v>
      </c>
      <c r="R415" t="s">
        <v>2437</v>
      </c>
      <c r="T415" t="s">
        <v>2437</v>
      </c>
      <c r="U415" t="s">
        <v>2437</v>
      </c>
      <c r="V415" t="s">
        <v>2437</v>
      </c>
      <c r="Y415" t="s">
        <v>6948</v>
      </c>
      <c r="Z415" t="s">
        <v>6949</v>
      </c>
      <c r="AA415" t="s">
        <v>6950</v>
      </c>
      <c r="AB415" t="s">
        <v>6951</v>
      </c>
      <c r="AC415" t="s">
        <v>6952</v>
      </c>
      <c r="AD415" t="s">
        <v>6953</v>
      </c>
      <c r="AE415" t="s">
        <v>6975</v>
      </c>
      <c r="AF415" t="s">
        <v>6974</v>
      </c>
      <c r="AR415" t="s">
        <v>4284</v>
      </c>
    </row>
    <row r="416" spans="1:44">
      <c r="A416">
        <v>11125738</v>
      </c>
      <c r="B416" t="s">
        <v>510</v>
      </c>
      <c r="C416" t="s">
        <v>964</v>
      </c>
      <c r="D416" t="s">
        <v>1778</v>
      </c>
      <c r="E416" t="s">
        <v>1481</v>
      </c>
      <c r="F416" t="s">
        <v>1696</v>
      </c>
      <c r="G416" t="s">
        <v>1697</v>
      </c>
      <c r="H416" t="s">
        <v>2329</v>
      </c>
      <c r="I416" t="s">
        <v>4310</v>
      </c>
      <c r="J416" t="s">
        <v>2674</v>
      </c>
      <c r="K416" t="s">
        <v>2675</v>
      </c>
      <c r="M416">
        <v>55</v>
      </c>
      <c r="N416">
        <v>65</v>
      </c>
      <c r="O416" t="s">
        <v>2437</v>
      </c>
      <c r="P416" t="s">
        <v>2437</v>
      </c>
      <c r="R416" t="s">
        <v>2437</v>
      </c>
      <c r="T416" t="s">
        <v>2437</v>
      </c>
      <c r="U416" t="s">
        <v>2437</v>
      </c>
      <c r="V416" t="s">
        <v>2437</v>
      </c>
      <c r="Y416" t="s">
        <v>6948</v>
      </c>
      <c r="Z416" t="s">
        <v>6949</v>
      </c>
      <c r="AA416" t="s">
        <v>6950</v>
      </c>
      <c r="AB416" t="s">
        <v>6951</v>
      </c>
      <c r="AC416" t="s">
        <v>6952</v>
      </c>
      <c r="AD416" t="s">
        <v>6953</v>
      </c>
      <c r="AE416" t="s">
        <v>6975</v>
      </c>
      <c r="AF416" t="s">
        <v>6974</v>
      </c>
      <c r="AR416" t="s">
        <v>4284</v>
      </c>
    </row>
    <row r="417" spans="1:44">
      <c r="A417">
        <v>11125626</v>
      </c>
      <c r="B417" t="s">
        <v>511</v>
      </c>
      <c r="C417" t="s">
        <v>1008</v>
      </c>
      <c r="D417" t="s">
        <v>1779</v>
      </c>
      <c r="E417" t="s">
        <v>1780</v>
      </c>
      <c r="F417" t="s">
        <v>1781</v>
      </c>
      <c r="G417" t="s">
        <v>1782</v>
      </c>
      <c r="H417" t="s">
        <v>2330</v>
      </c>
      <c r="I417" t="s">
        <v>4506</v>
      </c>
      <c r="J417" t="s">
        <v>3232</v>
      </c>
      <c r="K417" t="s">
        <v>3233</v>
      </c>
      <c r="M417">
        <v>50</v>
      </c>
      <c r="N417">
        <v>70</v>
      </c>
      <c r="O417">
        <v>68</v>
      </c>
      <c r="P417">
        <v>105</v>
      </c>
      <c r="R417" t="s">
        <v>2437</v>
      </c>
      <c r="T417" t="s">
        <v>3234</v>
      </c>
      <c r="U417" t="s">
        <v>3235</v>
      </c>
      <c r="V417" t="s">
        <v>89</v>
      </c>
      <c r="Y417" t="s">
        <v>6948</v>
      </c>
      <c r="Z417" t="s">
        <v>6949</v>
      </c>
      <c r="AA417" t="s">
        <v>6950</v>
      </c>
      <c r="AB417" t="s">
        <v>6951</v>
      </c>
      <c r="AC417" t="s">
        <v>6952</v>
      </c>
      <c r="AD417" t="s">
        <v>6953</v>
      </c>
      <c r="AE417" t="s">
        <v>6954</v>
      </c>
      <c r="AF417" t="s">
        <v>6955</v>
      </c>
      <c r="AG417" t="s">
        <v>6956</v>
      </c>
      <c r="AH417" t="s">
        <v>6957</v>
      </c>
      <c r="AI417" t="s">
        <v>6958</v>
      </c>
      <c r="AJ417" t="s">
        <v>6959</v>
      </c>
      <c r="AK417" t="s">
        <v>6969</v>
      </c>
      <c r="AL417" t="s">
        <v>6970</v>
      </c>
      <c r="AM417" t="s">
        <v>6971</v>
      </c>
      <c r="AN417" t="s">
        <v>6972</v>
      </c>
      <c r="AR417" t="s">
        <v>4284</v>
      </c>
    </row>
    <row r="418" spans="1:44">
      <c r="A418">
        <v>11125669</v>
      </c>
      <c r="B418" t="s">
        <v>512</v>
      </c>
      <c r="C418" t="s">
        <v>1272</v>
      </c>
      <c r="D418" t="s">
        <v>1783</v>
      </c>
      <c r="E418" t="s">
        <v>1491</v>
      </c>
      <c r="F418" t="s">
        <v>1784</v>
      </c>
      <c r="G418" t="s">
        <v>1785</v>
      </c>
      <c r="H418" t="s">
        <v>2331</v>
      </c>
      <c r="I418" t="s">
        <v>4507</v>
      </c>
      <c r="J418" t="s">
        <v>2563</v>
      </c>
      <c r="K418" t="s">
        <v>2564</v>
      </c>
      <c r="M418">
        <v>60</v>
      </c>
      <c r="N418">
        <v>70</v>
      </c>
      <c r="O418">
        <v>68</v>
      </c>
      <c r="P418">
        <v>105</v>
      </c>
      <c r="R418" t="s">
        <v>2437</v>
      </c>
      <c r="T418" t="s">
        <v>2565</v>
      </c>
      <c r="U418" t="s">
        <v>2566</v>
      </c>
      <c r="V418" t="s">
        <v>2437</v>
      </c>
      <c r="Y418" t="s">
        <v>6948</v>
      </c>
      <c r="Z418" t="s">
        <v>6949</v>
      </c>
      <c r="AA418" t="s">
        <v>6950</v>
      </c>
      <c r="AB418" t="s">
        <v>6951</v>
      </c>
      <c r="AC418" t="s">
        <v>6952</v>
      </c>
      <c r="AD418" t="s">
        <v>6953</v>
      </c>
      <c r="AE418" t="s">
        <v>6961</v>
      </c>
      <c r="AF418" t="s">
        <v>6962</v>
      </c>
      <c r="AG418" t="s">
        <v>6963</v>
      </c>
      <c r="AH418" t="s">
        <v>6964</v>
      </c>
      <c r="AI418" t="s">
        <v>6965</v>
      </c>
      <c r="AJ418" t="s">
        <v>6966</v>
      </c>
      <c r="AK418" t="s">
        <v>6969</v>
      </c>
      <c r="AL418" t="s">
        <v>6970</v>
      </c>
      <c r="AM418" t="s">
        <v>6971</v>
      </c>
      <c r="AN418" t="s">
        <v>6972</v>
      </c>
      <c r="AR418" t="s">
        <v>4284</v>
      </c>
    </row>
    <row r="419" spans="1:44">
      <c r="A419">
        <v>11126848</v>
      </c>
      <c r="B419" t="s">
        <v>513</v>
      </c>
      <c r="C419" t="s">
        <v>1277</v>
      </c>
      <c r="D419" t="s">
        <v>1786</v>
      </c>
      <c r="E419" t="s">
        <v>1787</v>
      </c>
      <c r="F419" t="s">
        <v>1788</v>
      </c>
      <c r="G419" t="s">
        <v>1789</v>
      </c>
      <c r="H419" t="s">
        <v>2260</v>
      </c>
      <c r="I419" t="s">
        <v>4451</v>
      </c>
      <c r="J419" t="s">
        <v>3236</v>
      </c>
      <c r="K419" t="s">
        <v>3237</v>
      </c>
      <c r="M419">
        <v>60</v>
      </c>
      <c r="N419">
        <v>70</v>
      </c>
      <c r="O419" t="s">
        <v>2437</v>
      </c>
      <c r="P419" t="s">
        <v>2437</v>
      </c>
      <c r="R419" t="s">
        <v>2437</v>
      </c>
      <c r="T419" t="s">
        <v>2437</v>
      </c>
      <c r="U419" t="s">
        <v>2437</v>
      </c>
      <c r="V419" t="s">
        <v>2437</v>
      </c>
      <c r="Y419" t="s">
        <v>6948</v>
      </c>
      <c r="Z419" t="s">
        <v>6949</v>
      </c>
      <c r="AA419" t="s">
        <v>6950</v>
      </c>
      <c r="AB419" t="s">
        <v>6951</v>
      </c>
      <c r="AC419" t="s">
        <v>6952</v>
      </c>
      <c r="AD419" t="s">
        <v>6953</v>
      </c>
      <c r="AE419" t="s">
        <v>6961</v>
      </c>
      <c r="AF419" t="s">
        <v>6962</v>
      </c>
      <c r="AG419" t="s">
        <v>6963</v>
      </c>
      <c r="AH419" t="s">
        <v>6964</v>
      </c>
      <c r="AI419" t="s">
        <v>6965</v>
      </c>
      <c r="AJ419" t="s">
        <v>6966</v>
      </c>
      <c r="AR419" t="s">
        <v>4284</v>
      </c>
    </row>
    <row r="420" spans="1:44">
      <c r="A420">
        <v>11126849</v>
      </c>
      <c r="B420" t="s">
        <v>514</v>
      </c>
      <c r="C420" t="s">
        <v>1278</v>
      </c>
      <c r="D420" t="s">
        <v>1786</v>
      </c>
      <c r="E420" t="s">
        <v>1787</v>
      </c>
      <c r="F420" t="s">
        <v>1788</v>
      </c>
      <c r="G420" t="s">
        <v>1789</v>
      </c>
      <c r="H420" t="s">
        <v>2261</v>
      </c>
      <c r="I420" t="s">
        <v>4452</v>
      </c>
      <c r="J420" t="s">
        <v>3238</v>
      </c>
      <c r="K420" t="s">
        <v>3239</v>
      </c>
      <c r="M420">
        <v>60</v>
      </c>
      <c r="N420">
        <v>70</v>
      </c>
      <c r="O420" t="s">
        <v>2437</v>
      </c>
      <c r="P420" t="s">
        <v>2437</v>
      </c>
      <c r="R420" t="s">
        <v>2437</v>
      </c>
      <c r="T420" t="s">
        <v>2437</v>
      </c>
      <c r="U420" t="s">
        <v>2437</v>
      </c>
      <c r="V420" t="s">
        <v>2437</v>
      </c>
      <c r="Y420" t="s">
        <v>6948</v>
      </c>
      <c r="Z420" t="s">
        <v>6949</v>
      </c>
      <c r="AA420" t="s">
        <v>6950</v>
      </c>
      <c r="AB420" t="s">
        <v>6951</v>
      </c>
      <c r="AC420" t="s">
        <v>6952</v>
      </c>
      <c r="AD420" t="s">
        <v>6953</v>
      </c>
      <c r="AE420" t="s">
        <v>6961</v>
      </c>
      <c r="AF420" t="s">
        <v>6962</v>
      </c>
      <c r="AG420" t="s">
        <v>6963</v>
      </c>
      <c r="AH420" t="s">
        <v>6964</v>
      </c>
      <c r="AI420" t="s">
        <v>6965</v>
      </c>
      <c r="AJ420" t="s">
        <v>6966</v>
      </c>
      <c r="AR420" t="s">
        <v>4284</v>
      </c>
    </row>
    <row r="421" spans="1:44">
      <c r="A421">
        <v>11126850</v>
      </c>
      <c r="B421" t="s">
        <v>515</v>
      </c>
      <c r="C421" t="s">
        <v>1279</v>
      </c>
      <c r="D421" t="s">
        <v>1786</v>
      </c>
      <c r="E421" t="s">
        <v>1787</v>
      </c>
      <c r="F421" t="s">
        <v>1788</v>
      </c>
      <c r="G421" t="s">
        <v>1789</v>
      </c>
      <c r="H421" t="s">
        <v>2262</v>
      </c>
      <c r="I421" t="s">
        <v>4453</v>
      </c>
      <c r="J421" t="s">
        <v>3240</v>
      </c>
      <c r="K421" t="s">
        <v>3241</v>
      </c>
      <c r="M421">
        <v>60</v>
      </c>
      <c r="N421">
        <v>70</v>
      </c>
      <c r="O421" t="s">
        <v>2437</v>
      </c>
      <c r="P421" t="s">
        <v>2437</v>
      </c>
      <c r="R421" t="s">
        <v>2437</v>
      </c>
      <c r="T421" t="s">
        <v>2437</v>
      </c>
      <c r="U421" t="s">
        <v>2437</v>
      </c>
      <c r="V421" t="s">
        <v>2437</v>
      </c>
      <c r="Y421" t="s">
        <v>6948</v>
      </c>
      <c r="Z421" t="s">
        <v>6949</v>
      </c>
      <c r="AA421" t="s">
        <v>6950</v>
      </c>
      <c r="AB421" t="s">
        <v>6951</v>
      </c>
      <c r="AC421" t="s">
        <v>6952</v>
      </c>
      <c r="AD421" t="s">
        <v>6953</v>
      </c>
      <c r="AE421" t="s">
        <v>6961</v>
      </c>
      <c r="AF421" t="s">
        <v>6962</v>
      </c>
      <c r="AG421" t="s">
        <v>6963</v>
      </c>
      <c r="AH421" t="s">
        <v>6964</v>
      </c>
      <c r="AI421" t="s">
        <v>6965</v>
      </c>
      <c r="AJ421" t="s">
        <v>6966</v>
      </c>
      <c r="AR421" t="s">
        <v>4284</v>
      </c>
    </row>
    <row r="422" spans="1:44">
      <c r="A422">
        <v>11126851</v>
      </c>
      <c r="B422" t="s">
        <v>516</v>
      </c>
      <c r="C422" t="s">
        <v>1221</v>
      </c>
      <c r="D422" t="s">
        <v>1786</v>
      </c>
      <c r="E422" t="s">
        <v>1787</v>
      </c>
      <c r="F422" t="s">
        <v>1788</v>
      </c>
      <c r="G422" t="s">
        <v>1789</v>
      </c>
      <c r="H422" t="s">
        <v>2263</v>
      </c>
      <c r="I422" t="s">
        <v>4454</v>
      </c>
      <c r="J422" t="s">
        <v>3242</v>
      </c>
      <c r="K422" t="s">
        <v>3243</v>
      </c>
      <c r="M422">
        <v>60</v>
      </c>
      <c r="N422">
        <v>70</v>
      </c>
      <c r="O422" t="s">
        <v>2437</v>
      </c>
      <c r="P422" t="s">
        <v>2437</v>
      </c>
      <c r="R422" t="s">
        <v>2437</v>
      </c>
      <c r="T422" t="s">
        <v>2437</v>
      </c>
      <c r="U422" t="s">
        <v>2437</v>
      </c>
      <c r="V422" t="s">
        <v>2437</v>
      </c>
      <c r="Y422" t="s">
        <v>6948</v>
      </c>
      <c r="Z422" t="s">
        <v>6949</v>
      </c>
      <c r="AA422" t="s">
        <v>6950</v>
      </c>
      <c r="AB422" t="s">
        <v>6951</v>
      </c>
      <c r="AC422" t="s">
        <v>6952</v>
      </c>
      <c r="AD422" t="s">
        <v>6953</v>
      </c>
      <c r="AE422" t="s">
        <v>6961</v>
      </c>
      <c r="AF422" t="s">
        <v>6962</v>
      </c>
      <c r="AG422" t="s">
        <v>6963</v>
      </c>
      <c r="AH422" t="s">
        <v>6964</v>
      </c>
      <c r="AI422" t="s">
        <v>6965</v>
      </c>
      <c r="AJ422" t="s">
        <v>6966</v>
      </c>
      <c r="AR422" t="s">
        <v>4284</v>
      </c>
    </row>
    <row r="423" spans="1:44">
      <c r="A423">
        <v>11126852</v>
      </c>
      <c r="B423" t="s">
        <v>517</v>
      </c>
      <c r="C423" t="s">
        <v>1048</v>
      </c>
      <c r="D423" t="s">
        <v>1786</v>
      </c>
      <c r="E423" t="s">
        <v>1787</v>
      </c>
      <c r="F423" t="s">
        <v>1788</v>
      </c>
      <c r="G423" t="s">
        <v>1789</v>
      </c>
      <c r="H423" t="s">
        <v>2264</v>
      </c>
      <c r="I423" t="s">
        <v>4455</v>
      </c>
      <c r="J423" t="s">
        <v>3244</v>
      </c>
      <c r="K423" t="s">
        <v>3245</v>
      </c>
      <c r="M423">
        <v>60</v>
      </c>
      <c r="N423">
        <v>70</v>
      </c>
      <c r="O423" t="s">
        <v>2437</v>
      </c>
      <c r="P423" t="s">
        <v>2437</v>
      </c>
      <c r="R423" t="s">
        <v>2437</v>
      </c>
      <c r="T423" t="s">
        <v>2437</v>
      </c>
      <c r="U423" t="s">
        <v>2437</v>
      </c>
      <c r="V423" t="s">
        <v>2437</v>
      </c>
      <c r="Y423" t="s">
        <v>6948</v>
      </c>
      <c r="Z423" t="s">
        <v>6949</v>
      </c>
      <c r="AA423" t="s">
        <v>6950</v>
      </c>
      <c r="AB423" t="s">
        <v>6951</v>
      </c>
      <c r="AC423" t="s">
        <v>6952</v>
      </c>
      <c r="AD423" t="s">
        <v>6953</v>
      </c>
      <c r="AE423" t="s">
        <v>6961</v>
      </c>
      <c r="AF423" t="s">
        <v>6962</v>
      </c>
      <c r="AG423" t="s">
        <v>6963</v>
      </c>
      <c r="AH423" t="s">
        <v>6964</v>
      </c>
      <c r="AI423" t="s">
        <v>6965</v>
      </c>
      <c r="AJ423" t="s">
        <v>6966</v>
      </c>
      <c r="AR423" t="s">
        <v>4284</v>
      </c>
    </row>
    <row r="424" spans="1:44">
      <c r="A424">
        <v>11126853</v>
      </c>
      <c r="B424" t="s">
        <v>518</v>
      </c>
      <c r="C424" t="s">
        <v>1222</v>
      </c>
      <c r="D424" t="s">
        <v>1786</v>
      </c>
      <c r="E424" t="s">
        <v>1787</v>
      </c>
      <c r="F424" t="s">
        <v>1788</v>
      </c>
      <c r="G424" t="s">
        <v>1789</v>
      </c>
      <c r="H424" t="s">
        <v>2265</v>
      </c>
      <c r="I424" t="s">
        <v>4456</v>
      </c>
      <c r="J424" t="s">
        <v>3246</v>
      </c>
      <c r="K424" t="s">
        <v>3247</v>
      </c>
      <c r="M424">
        <v>60</v>
      </c>
      <c r="N424">
        <v>70</v>
      </c>
      <c r="O424" t="s">
        <v>2437</v>
      </c>
      <c r="P424" t="s">
        <v>2437</v>
      </c>
      <c r="R424" t="s">
        <v>2437</v>
      </c>
      <c r="T424" t="s">
        <v>2437</v>
      </c>
      <c r="U424" t="s">
        <v>2437</v>
      </c>
      <c r="V424" t="s">
        <v>2437</v>
      </c>
      <c r="Y424" t="s">
        <v>6948</v>
      </c>
      <c r="Z424" t="s">
        <v>6949</v>
      </c>
      <c r="AA424" t="s">
        <v>6950</v>
      </c>
      <c r="AB424" t="s">
        <v>6951</v>
      </c>
      <c r="AC424" t="s">
        <v>6952</v>
      </c>
      <c r="AD424" t="s">
        <v>6953</v>
      </c>
      <c r="AE424" t="s">
        <v>6961</v>
      </c>
      <c r="AF424" t="s">
        <v>6962</v>
      </c>
      <c r="AG424" t="s">
        <v>6963</v>
      </c>
      <c r="AH424" t="s">
        <v>6964</v>
      </c>
      <c r="AI424" t="s">
        <v>6965</v>
      </c>
      <c r="AJ424" t="s">
        <v>6966</v>
      </c>
      <c r="AR424" t="s">
        <v>4284</v>
      </c>
    </row>
    <row r="425" spans="1:44">
      <c r="A425">
        <v>11126854</v>
      </c>
      <c r="B425" t="s">
        <v>519</v>
      </c>
      <c r="C425" t="s">
        <v>1223</v>
      </c>
      <c r="D425" t="s">
        <v>1790</v>
      </c>
      <c r="E425" t="s">
        <v>1791</v>
      </c>
      <c r="F425" t="s">
        <v>1578</v>
      </c>
      <c r="G425" t="s">
        <v>1579</v>
      </c>
      <c r="H425" t="s">
        <v>2266</v>
      </c>
      <c r="I425" t="s">
        <v>4457</v>
      </c>
      <c r="J425" t="s">
        <v>3248</v>
      </c>
      <c r="K425" t="s">
        <v>3249</v>
      </c>
      <c r="M425">
        <v>50</v>
      </c>
      <c r="N425">
        <v>70</v>
      </c>
      <c r="O425" t="s">
        <v>2437</v>
      </c>
      <c r="P425" t="s">
        <v>2437</v>
      </c>
      <c r="R425" t="s">
        <v>2437</v>
      </c>
      <c r="T425" t="s">
        <v>2437</v>
      </c>
      <c r="U425" t="s">
        <v>2437</v>
      </c>
      <c r="V425" t="s">
        <v>2437</v>
      </c>
      <c r="Y425" t="s">
        <v>6948</v>
      </c>
      <c r="Z425" t="s">
        <v>6949</v>
      </c>
      <c r="AA425" t="s">
        <v>6950</v>
      </c>
      <c r="AB425" t="s">
        <v>6951</v>
      </c>
      <c r="AC425" t="s">
        <v>6952</v>
      </c>
      <c r="AD425" t="s">
        <v>6953</v>
      </c>
      <c r="AE425" t="s">
        <v>6954</v>
      </c>
      <c r="AF425" t="s">
        <v>6955</v>
      </c>
      <c r="AG425" t="s">
        <v>6956</v>
      </c>
      <c r="AH425" t="s">
        <v>6957</v>
      </c>
      <c r="AI425" t="s">
        <v>6958</v>
      </c>
      <c r="AJ425" t="s">
        <v>6959</v>
      </c>
      <c r="AR425" t="s">
        <v>4284</v>
      </c>
    </row>
    <row r="426" spans="1:44">
      <c r="A426">
        <v>11126855</v>
      </c>
      <c r="B426" t="s">
        <v>520</v>
      </c>
      <c r="C426" t="s">
        <v>1224</v>
      </c>
      <c r="D426" t="s">
        <v>1790</v>
      </c>
      <c r="E426" t="s">
        <v>1791</v>
      </c>
      <c r="F426" t="s">
        <v>1578</v>
      </c>
      <c r="G426" t="s">
        <v>1579</v>
      </c>
      <c r="H426" t="s">
        <v>2267</v>
      </c>
      <c r="I426" t="s">
        <v>4458</v>
      </c>
      <c r="J426" t="s">
        <v>3250</v>
      </c>
      <c r="K426" t="s">
        <v>3251</v>
      </c>
      <c r="M426">
        <v>50</v>
      </c>
      <c r="N426">
        <v>70</v>
      </c>
      <c r="O426" t="s">
        <v>2437</v>
      </c>
      <c r="P426" t="s">
        <v>2437</v>
      </c>
      <c r="R426" t="s">
        <v>2437</v>
      </c>
      <c r="T426" t="s">
        <v>2437</v>
      </c>
      <c r="U426" t="s">
        <v>2437</v>
      </c>
      <c r="V426" t="s">
        <v>2437</v>
      </c>
      <c r="Y426" t="s">
        <v>6948</v>
      </c>
      <c r="Z426" t="s">
        <v>6949</v>
      </c>
      <c r="AA426" t="s">
        <v>6950</v>
      </c>
      <c r="AB426" t="s">
        <v>6951</v>
      </c>
      <c r="AC426" t="s">
        <v>6952</v>
      </c>
      <c r="AD426" t="s">
        <v>6953</v>
      </c>
      <c r="AE426" t="s">
        <v>6954</v>
      </c>
      <c r="AF426" t="s">
        <v>6955</v>
      </c>
      <c r="AG426" t="s">
        <v>6956</v>
      </c>
      <c r="AH426" t="s">
        <v>6957</v>
      </c>
      <c r="AI426" t="s">
        <v>6958</v>
      </c>
      <c r="AJ426" t="s">
        <v>6959</v>
      </c>
      <c r="AR426" t="s">
        <v>4284</v>
      </c>
    </row>
    <row r="427" spans="1:44">
      <c r="A427">
        <v>11126856</v>
      </c>
      <c r="B427" t="s">
        <v>521</v>
      </c>
      <c r="C427" t="s">
        <v>1195</v>
      </c>
      <c r="D427" t="s">
        <v>1790</v>
      </c>
      <c r="E427" t="s">
        <v>1791</v>
      </c>
      <c r="F427" t="s">
        <v>1792</v>
      </c>
      <c r="G427" t="s">
        <v>1793</v>
      </c>
      <c r="H427" t="s">
        <v>2268</v>
      </c>
      <c r="I427" t="s">
        <v>4459</v>
      </c>
      <c r="J427" t="s">
        <v>3252</v>
      </c>
      <c r="K427" t="s">
        <v>3253</v>
      </c>
      <c r="M427">
        <v>50</v>
      </c>
      <c r="N427">
        <v>70</v>
      </c>
      <c r="O427" t="s">
        <v>2437</v>
      </c>
      <c r="P427" t="s">
        <v>2437</v>
      </c>
      <c r="R427" t="s">
        <v>2437</v>
      </c>
      <c r="T427" t="s">
        <v>2437</v>
      </c>
      <c r="U427" t="s">
        <v>2437</v>
      </c>
      <c r="V427" t="s">
        <v>2437</v>
      </c>
      <c r="Y427" t="s">
        <v>6948</v>
      </c>
      <c r="Z427" t="s">
        <v>6949</v>
      </c>
      <c r="AA427" t="s">
        <v>6950</v>
      </c>
      <c r="AB427" t="s">
        <v>6951</v>
      </c>
      <c r="AC427" t="s">
        <v>6952</v>
      </c>
      <c r="AD427" t="s">
        <v>6953</v>
      </c>
      <c r="AE427" t="s">
        <v>6954</v>
      </c>
      <c r="AF427" t="s">
        <v>6955</v>
      </c>
      <c r="AG427" t="s">
        <v>6956</v>
      </c>
      <c r="AH427" t="s">
        <v>6957</v>
      </c>
      <c r="AI427" t="s">
        <v>6958</v>
      </c>
      <c r="AJ427" t="s">
        <v>6959</v>
      </c>
      <c r="AR427" t="s">
        <v>4284</v>
      </c>
    </row>
    <row r="428" spans="1:44">
      <c r="A428">
        <v>11126857</v>
      </c>
      <c r="B428" t="s">
        <v>522</v>
      </c>
      <c r="C428" t="s">
        <v>1196</v>
      </c>
      <c r="D428" t="s">
        <v>1790</v>
      </c>
      <c r="E428" t="s">
        <v>1791</v>
      </c>
      <c r="F428" t="s">
        <v>1792</v>
      </c>
      <c r="G428" t="s">
        <v>1793</v>
      </c>
      <c r="H428" t="s">
        <v>2269</v>
      </c>
      <c r="I428" t="s">
        <v>4460</v>
      </c>
      <c r="J428" t="s">
        <v>3254</v>
      </c>
      <c r="K428" t="s">
        <v>3255</v>
      </c>
      <c r="M428">
        <v>50</v>
      </c>
      <c r="N428">
        <v>70</v>
      </c>
      <c r="O428" t="s">
        <v>2437</v>
      </c>
      <c r="P428" t="s">
        <v>2437</v>
      </c>
      <c r="R428" t="s">
        <v>2437</v>
      </c>
      <c r="T428" t="s">
        <v>2437</v>
      </c>
      <c r="U428" t="s">
        <v>2437</v>
      </c>
      <c r="V428" t="s">
        <v>2437</v>
      </c>
      <c r="Y428" t="s">
        <v>6948</v>
      </c>
      <c r="Z428" t="s">
        <v>6949</v>
      </c>
      <c r="AA428" t="s">
        <v>6950</v>
      </c>
      <c r="AB428" t="s">
        <v>6951</v>
      </c>
      <c r="AC428" t="s">
        <v>6952</v>
      </c>
      <c r="AD428" t="s">
        <v>6953</v>
      </c>
      <c r="AE428" t="s">
        <v>6954</v>
      </c>
      <c r="AF428" t="s">
        <v>6955</v>
      </c>
      <c r="AG428" t="s">
        <v>6956</v>
      </c>
      <c r="AH428" t="s">
        <v>6957</v>
      </c>
      <c r="AI428" t="s">
        <v>6958</v>
      </c>
      <c r="AJ428" t="s">
        <v>6959</v>
      </c>
      <c r="AR428" t="s">
        <v>4284</v>
      </c>
    </row>
    <row r="429" spans="1:44">
      <c r="A429">
        <v>11126858</v>
      </c>
      <c r="B429" t="s">
        <v>523</v>
      </c>
      <c r="C429" t="s">
        <v>1280</v>
      </c>
      <c r="D429" t="s">
        <v>1794</v>
      </c>
      <c r="E429" t="s">
        <v>1795</v>
      </c>
      <c r="F429" t="s">
        <v>1526</v>
      </c>
      <c r="G429" t="s">
        <v>1527</v>
      </c>
      <c r="H429" t="s">
        <v>2270</v>
      </c>
      <c r="I429" t="s">
        <v>4461</v>
      </c>
      <c r="J429" t="s">
        <v>3256</v>
      </c>
      <c r="K429" t="s">
        <v>3257</v>
      </c>
      <c r="M429">
        <v>60</v>
      </c>
      <c r="N429">
        <v>70</v>
      </c>
      <c r="O429" t="s">
        <v>2437</v>
      </c>
      <c r="P429" t="s">
        <v>2437</v>
      </c>
      <c r="R429" t="s">
        <v>2437</v>
      </c>
      <c r="T429" t="s">
        <v>2437</v>
      </c>
      <c r="U429" t="s">
        <v>2437</v>
      </c>
      <c r="V429" t="s">
        <v>2437</v>
      </c>
      <c r="Y429" t="s">
        <v>6948</v>
      </c>
      <c r="Z429" t="s">
        <v>6949</v>
      </c>
      <c r="AA429" t="s">
        <v>6950</v>
      </c>
      <c r="AB429" t="s">
        <v>6951</v>
      </c>
      <c r="AC429" t="s">
        <v>6952</v>
      </c>
      <c r="AD429" t="s">
        <v>6953</v>
      </c>
      <c r="AE429" t="s">
        <v>6961</v>
      </c>
      <c r="AF429" t="s">
        <v>6962</v>
      </c>
      <c r="AG429" t="s">
        <v>6963</v>
      </c>
      <c r="AH429" t="s">
        <v>6964</v>
      </c>
      <c r="AI429" t="s">
        <v>6965</v>
      </c>
      <c r="AJ429" t="s">
        <v>6966</v>
      </c>
      <c r="AR429" t="s">
        <v>4284</v>
      </c>
    </row>
    <row r="430" spans="1:44">
      <c r="A430">
        <v>11126859</v>
      </c>
      <c r="B430" t="s">
        <v>524</v>
      </c>
      <c r="C430" t="s">
        <v>1281</v>
      </c>
      <c r="D430" t="s">
        <v>1794</v>
      </c>
      <c r="E430" t="s">
        <v>1795</v>
      </c>
      <c r="F430" t="s">
        <v>1526</v>
      </c>
      <c r="G430" t="s">
        <v>1527</v>
      </c>
      <c r="H430" t="s">
        <v>2271</v>
      </c>
      <c r="I430" t="s">
        <v>4380</v>
      </c>
      <c r="J430" t="s">
        <v>3258</v>
      </c>
      <c r="K430" t="s">
        <v>3259</v>
      </c>
      <c r="M430">
        <v>60</v>
      </c>
      <c r="N430">
        <v>70</v>
      </c>
      <c r="O430" t="s">
        <v>2437</v>
      </c>
      <c r="P430" t="s">
        <v>2437</v>
      </c>
      <c r="R430" t="s">
        <v>2437</v>
      </c>
      <c r="T430" t="s">
        <v>2437</v>
      </c>
      <c r="U430" t="s">
        <v>2437</v>
      </c>
      <c r="V430" t="s">
        <v>2437</v>
      </c>
      <c r="Y430" t="s">
        <v>6948</v>
      </c>
      <c r="Z430" t="s">
        <v>6949</v>
      </c>
      <c r="AA430" t="s">
        <v>6950</v>
      </c>
      <c r="AB430" t="s">
        <v>6951</v>
      </c>
      <c r="AC430" t="s">
        <v>6952</v>
      </c>
      <c r="AD430" t="s">
        <v>6953</v>
      </c>
      <c r="AE430" t="s">
        <v>6961</v>
      </c>
      <c r="AF430" t="s">
        <v>6962</v>
      </c>
      <c r="AG430" t="s">
        <v>6963</v>
      </c>
      <c r="AH430" t="s">
        <v>6964</v>
      </c>
      <c r="AI430" t="s">
        <v>6965</v>
      </c>
      <c r="AJ430" t="s">
        <v>6966</v>
      </c>
      <c r="AR430" t="s">
        <v>4284</v>
      </c>
    </row>
    <row r="431" spans="1:44">
      <c r="A431">
        <v>11126860</v>
      </c>
      <c r="B431" t="s">
        <v>525</v>
      </c>
      <c r="C431" t="s">
        <v>1282</v>
      </c>
      <c r="D431" t="s">
        <v>1794</v>
      </c>
      <c r="E431" t="s">
        <v>1795</v>
      </c>
      <c r="F431" t="s">
        <v>1526</v>
      </c>
      <c r="G431" t="s">
        <v>1527</v>
      </c>
      <c r="H431" t="s">
        <v>2272</v>
      </c>
      <c r="I431" t="s">
        <v>4462</v>
      </c>
      <c r="J431" t="s">
        <v>3260</v>
      </c>
      <c r="K431" t="s">
        <v>3261</v>
      </c>
      <c r="M431">
        <v>60</v>
      </c>
      <c r="N431">
        <v>70</v>
      </c>
      <c r="O431" t="s">
        <v>2437</v>
      </c>
      <c r="P431" t="s">
        <v>2437</v>
      </c>
      <c r="R431" t="s">
        <v>2437</v>
      </c>
      <c r="T431" t="s">
        <v>2437</v>
      </c>
      <c r="U431" t="s">
        <v>2437</v>
      </c>
      <c r="V431" t="s">
        <v>2437</v>
      </c>
      <c r="Y431" t="s">
        <v>6948</v>
      </c>
      <c r="Z431" t="s">
        <v>6949</v>
      </c>
      <c r="AA431" t="s">
        <v>6950</v>
      </c>
      <c r="AB431" t="s">
        <v>6951</v>
      </c>
      <c r="AC431" t="s">
        <v>6952</v>
      </c>
      <c r="AD431" t="s">
        <v>6953</v>
      </c>
      <c r="AE431" t="s">
        <v>6961</v>
      </c>
      <c r="AF431" t="s">
        <v>6962</v>
      </c>
      <c r="AG431" t="s">
        <v>6963</v>
      </c>
      <c r="AH431" t="s">
        <v>6964</v>
      </c>
      <c r="AI431" t="s">
        <v>6965</v>
      </c>
      <c r="AJ431" t="s">
        <v>6966</v>
      </c>
      <c r="AR431" t="s">
        <v>4284</v>
      </c>
    </row>
    <row r="432" spans="1:44">
      <c r="A432">
        <v>11126861</v>
      </c>
      <c r="B432" t="s">
        <v>526</v>
      </c>
      <c r="C432" t="s">
        <v>1270</v>
      </c>
      <c r="D432" t="s">
        <v>1794</v>
      </c>
      <c r="E432" t="s">
        <v>1795</v>
      </c>
      <c r="F432" t="s">
        <v>1526</v>
      </c>
      <c r="G432" t="s">
        <v>1527</v>
      </c>
      <c r="H432" t="s">
        <v>2273</v>
      </c>
      <c r="I432" t="s">
        <v>4463</v>
      </c>
      <c r="J432" t="s">
        <v>3262</v>
      </c>
      <c r="K432" t="s">
        <v>3263</v>
      </c>
      <c r="M432">
        <v>60</v>
      </c>
      <c r="N432">
        <v>70</v>
      </c>
      <c r="O432" t="s">
        <v>2437</v>
      </c>
      <c r="P432" t="s">
        <v>2437</v>
      </c>
      <c r="R432" t="s">
        <v>2437</v>
      </c>
      <c r="T432" t="s">
        <v>2437</v>
      </c>
      <c r="U432" t="s">
        <v>2437</v>
      </c>
      <c r="V432" t="s">
        <v>2437</v>
      </c>
      <c r="Y432" t="s">
        <v>6948</v>
      </c>
      <c r="Z432" t="s">
        <v>6949</v>
      </c>
      <c r="AA432" t="s">
        <v>6950</v>
      </c>
      <c r="AB432" t="s">
        <v>6951</v>
      </c>
      <c r="AC432" t="s">
        <v>6952</v>
      </c>
      <c r="AD432" t="s">
        <v>6953</v>
      </c>
      <c r="AE432" t="s">
        <v>6961</v>
      </c>
      <c r="AF432" t="s">
        <v>6962</v>
      </c>
      <c r="AG432" t="s">
        <v>6963</v>
      </c>
      <c r="AH432" t="s">
        <v>6964</v>
      </c>
      <c r="AI432" t="s">
        <v>6965</v>
      </c>
      <c r="AJ432" t="s">
        <v>6966</v>
      </c>
      <c r="AR432" t="s">
        <v>4284</v>
      </c>
    </row>
    <row r="433" spans="1:44">
      <c r="A433">
        <v>11126862</v>
      </c>
      <c r="B433" t="s">
        <v>527</v>
      </c>
      <c r="C433" t="s">
        <v>1271</v>
      </c>
      <c r="D433" t="s">
        <v>1794</v>
      </c>
      <c r="E433" t="s">
        <v>1795</v>
      </c>
      <c r="F433" t="s">
        <v>1526</v>
      </c>
      <c r="G433" t="s">
        <v>1527</v>
      </c>
      <c r="H433" t="s">
        <v>2274</v>
      </c>
      <c r="I433" t="s">
        <v>4464</v>
      </c>
      <c r="J433" t="s">
        <v>3264</v>
      </c>
      <c r="K433" t="s">
        <v>3265</v>
      </c>
      <c r="M433">
        <v>60</v>
      </c>
      <c r="N433">
        <v>70</v>
      </c>
      <c r="O433" t="s">
        <v>2437</v>
      </c>
      <c r="P433" t="s">
        <v>2437</v>
      </c>
      <c r="R433" t="s">
        <v>2437</v>
      </c>
      <c r="T433" t="s">
        <v>2437</v>
      </c>
      <c r="U433" t="s">
        <v>2437</v>
      </c>
      <c r="V433" t="s">
        <v>2437</v>
      </c>
      <c r="Y433" t="s">
        <v>6948</v>
      </c>
      <c r="Z433" t="s">
        <v>6949</v>
      </c>
      <c r="AA433" t="s">
        <v>6950</v>
      </c>
      <c r="AB433" t="s">
        <v>6951</v>
      </c>
      <c r="AC433" t="s">
        <v>6952</v>
      </c>
      <c r="AD433" t="s">
        <v>6953</v>
      </c>
      <c r="AE433" t="s">
        <v>6961</v>
      </c>
      <c r="AF433" t="s">
        <v>6962</v>
      </c>
      <c r="AG433" t="s">
        <v>6963</v>
      </c>
      <c r="AH433" t="s">
        <v>6964</v>
      </c>
      <c r="AI433" t="s">
        <v>6965</v>
      </c>
      <c r="AJ433" t="s">
        <v>6966</v>
      </c>
      <c r="AR433" t="s">
        <v>4284</v>
      </c>
    </row>
    <row r="434" spans="1:44">
      <c r="A434">
        <v>11126863</v>
      </c>
      <c r="B434" t="s">
        <v>528</v>
      </c>
      <c r="C434" t="s">
        <v>1272</v>
      </c>
      <c r="D434" t="s">
        <v>1794</v>
      </c>
      <c r="E434" t="s">
        <v>1795</v>
      </c>
      <c r="F434" t="s">
        <v>1526</v>
      </c>
      <c r="G434" t="s">
        <v>1527</v>
      </c>
      <c r="H434" t="s">
        <v>2275</v>
      </c>
      <c r="I434" t="s">
        <v>4343</v>
      </c>
      <c r="J434" t="s">
        <v>3266</v>
      </c>
      <c r="K434" t="s">
        <v>3267</v>
      </c>
      <c r="M434">
        <v>60</v>
      </c>
      <c r="N434">
        <v>70</v>
      </c>
      <c r="O434" t="s">
        <v>2437</v>
      </c>
      <c r="P434" t="s">
        <v>2437</v>
      </c>
      <c r="R434" t="s">
        <v>2437</v>
      </c>
      <c r="T434" t="s">
        <v>2437</v>
      </c>
      <c r="U434" t="s">
        <v>2437</v>
      </c>
      <c r="V434" t="s">
        <v>2437</v>
      </c>
      <c r="Y434" t="s">
        <v>6948</v>
      </c>
      <c r="Z434" t="s">
        <v>6949</v>
      </c>
      <c r="AA434" t="s">
        <v>6950</v>
      </c>
      <c r="AB434" t="s">
        <v>6951</v>
      </c>
      <c r="AC434" t="s">
        <v>6952</v>
      </c>
      <c r="AD434" t="s">
        <v>6953</v>
      </c>
      <c r="AE434" t="s">
        <v>6961</v>
      </c>
      <c r="AF434" t="s">
        <v>6962</v>
      </c>
      <c r="AG434" t="s">
        <v>6963</v>
      </c>
      <c r="AH434" t="s">
        <v>6964</v>
      </c>
      <c r="AI434" t="s">
        <v>6965</v>
      </c>
      <c r="AJ434" t="s">
        <v>6966</v>
      </c>
      <c r="AR434" t="s">
        <v>4284</v>
      </c>
    </row>
    <row r="435" spans="1:44">
      <c r="A435">
        <v>11126864</v>
      </c>
      <c r="B435" t="s">
        <v>529</v>
      </c>
      <c r="C435" t="s">
        <v>1273</v>
      </c>
      <c r="D435" t="s">
        <v>1796</v>
      </c>
      <c r="E435" t="s">
        <v>1797</v>
      </c>
      <c r="F435" t="s">
        <v>1798</v>
      </c>
      <c r="G435" t="s">
        <v>1799</v>
      </c>
      <c r="H435" t="s">
        <v>2276</v>
      </c>
      <c r="I435" t="s">
        <v>4314</v>
      </c>
      <c r="J435" t="s">
        <v>3268</v>
      </c>
      <c r="K435" t="s">
        <v>3269</v>
      </c>
      <c r="M435">
        <v>60</v>
      </c>
      <c r="N435">
        <v>70</v>
      </c>
      <c r="O435" t="s">
        <v>2437</v>
      </c>
      <c r="P435" t="s">
        <v>2437</v>
      </c>
      <c r="R435" t="s">
        <v>2437</v>
      </c>
      <c r="T435" t="s">
        <v>2437</v>
      </c>
      <c r="U435" t="s">
        <v>2437</v>
      </c>
      <c r="V435" t="s">
        <v>2437</v>
      </c>
      <c r="Y435" t="s">
        <v>6948</v>
      </c>
      <c r="Z435" t="s">
        <v>6949</v>
      </c>
      <c r="AA435" t="s">
        <v>6950</v>
      </c>
      <c r="AB435" t="s">
        <v>6951</v>
      </c>
      <c r="AC435" t="s">
        <v>6952</v>
      </c>
      <c r="AD435" t="s">
        <v>6953</v>
      </c>
      <c r="AE435" t="s">
        <v>6961</v>
      </c>
      <c r="AF435" t="s">
        <v>6962</v>
      </c>
      <c r="AG435" t="s">
        <v>6963</v>
      </c>
      <c r="AH435" t="s">
        <v>6964</v>
      </c>
      <c r="AI435" t="s">
        <v>6965</v>
      </c>
      <c r="AJ435" t="s">
        <v>6966</v>
      </c>
      <c r="AR435" t="s">
        <v>4284</v>
      </c>
    </row>
    <row r="436" spans="1:44">
      <c r="A436">
        <v>11126865</v>
      </c>
      <c r="B436" t="s">
        <v>530</v>
      </c>
      <c r="C436" t="s">
        <v>1274</v>
      </c>
      <c r="D436" t="s">
        <v>1796</v>
      </c>
      <c r="E436" t="s">
        <v>1797</v>
      </c>
      <c r="F436" t="s">
        <v>1798</v>
      </c>
      <c r="G436" t="s">
        <v>1799</v>
      </c>
      <c r="H436" t="s">
        <v>2223</v>
      </c>
      <c r="I436" t="s">
        <v>4315</v>
      </c>
      <c r="J436" t="s">
        <v>3270</v>
      </c>
      <c r="K436" t="s">
        <v>3271</v>
      </c>
      <c r="M436">
        <v>60</v>
      </c>
      <c r="N436">
        <v>70</v>
      </c>
      <c r="O436" t="s">
        <v>2437</v>
      </c>
      <c r="P436" t="s">
        <v>2437</v>
      </c>
      <c r="R436" t="s">
        <v>2437</v>
      </c>
      <c r="T436" t="s">
        <v>2437</v>
      </c>
      <c r="U436" t="s">
        <v>2437</v>
      </c>
      <c r="V436" t="s">
        <v>2437</v>
      </c>
      <c r="Y436" t="s">
        <v>6948</v>
      </c>
      <c r="Z436" t="s">
        <v>6949</v>
      </c>
      <c r="AA436" t="s">
        <v>6950</v>
      </c>
      <c r="AB436" t="s">
        <v>6951</v>
      </c>
      <c r="AC436" t="s">
        <v>6952</v>
      </c>
      <c r="AD436" t="s">
        <v>6953</v>
      </c>
      <c r="AE436" t="s">
        <v>6961</v>
      </c>
      <c r="AF436" t="s">
        <v>6962</v>
      </c>
      <c r="AG436" t="s">
        <v>6963</v>
      </c>
      <c r="AH436" t="s">
        <v>6964</v>
      </c>
      <c r="AI436" t="s">
        <v>6965</v>
      </c>
      <c r="AJ436" t="s">
        <v>6966</v>
      </c>
      <c r="AR436" t="s">
        <v>4284</v>
      </c>
    </row>
    <row r="437" spans="1:44">
      <c r="A437">
        <v>11126866</v>
      </c>
      <c r="B437" t="s">
        <v>531</v>
      </c>
      <c r="C437" t="s">
        <v>1275</v>
      </c>
      <c r="D437" t="s">
        <v>1796</v>
      </c>
      <c r="E437" t="s">
        <v>1797</v>
      </c>
      <c r="F437" t="s">
        <v>1798</v>
      </c>
      <c r="G437" t="s">
        <v>1799</v>
      </c>
      <c r="H437" t="s">
        <v>2277</v>
      </c>
      <c r="I437" t="s">
        <v>4316</v>
      </c>
      <c r="J437" t="s">
        <v>3272</v>
      </c>
      <c r="K437" t="s">
        <v>3273</v>
      </c>
      <c r="M437">
        <v>60</v>
      </c>
      <c r="N437">
        <v>70</v>
      </c>
      <c r="O437" t="s">
        <v>2437</v>
      </c>
      <c r="P437" t="s">
        <v>2437</v>
      </c>
      <c r="R437" t="s">
        <v>2437</v>
      </c>
      <c r="T437" t="s">
        <v>2437</v>
      </c>
      <c r="U437" t="s">
        <v>2437</v>
      </c>
      <c r="V437" t="s">
        <v>2437</v>
      </c>
      <c r="Y437" t="s">
        <v>6948</v>
      </c>
      <c r="Z437" t="s">
        <v>6949</v>
      </c>
      <c r="AA437" t="s">
        <v>6950</v>
      </c>
      <c r="AB437" t="s">
        <v>6951</v>
      </c>
      <c r="AC437" t="s">
        <v>6952</v>
      </c>
      <c r="AD437" t="s">
        <v>6953</v>
      </c>
      <c r="AE437" t="s">
        <v>6961</v>
      </c>
      <c r="AF437" t="s">
        <v>6962</v>
      </c>
      <c r="AG437" t="s">
        <v>6963</v>
      </c>
      <c r="AH437" t="s">
        <v>6964</v>
      </c>
      <c r="AI437" t="s">
        <v>6965</v>
      </c>
      <c r="AJ437" t="s">
        <v>6966</v>
      </c>
      <c r="AR437" t="s">
        <v>4284</v>
      </c>
    </row>
    <row r="438" spans="1:44">
      <c r="A438">
        <v>11126867</v>
      </c>
      <c r="B438" t="s">
        <v>532</v>
      </c>
      <c r="C438" t="s">
        <v>1276</v>
      </c>
      <c r="D438" t="s">
        <v>1796</v>
      </c>
      <c r="E438" t="s">
        <v>1797</v>
      </c>
      <c r="F438" t="s">
        <v>1798</v>
      </c>
      <c r="G438" t="s">
        <v>1799</v>
      </c>
      <c r="H438" t="s">
        <v>2278</v>
      </c>
      <c r="I438" t="s">
        <v>4317</v>
      </c>
      <c r="J438" t="s">
        <v>3274</v>
      </c>
      <c r="K438" t="s">
        <v>3275</v>
      </c>
      <c r="M438">
        <v>60</v>
      </c>
      <c r="N438">
        <v>70</v>
      </c>
      <c r="O438" t="s">
        <v>2437</v>
      </c>
      <c r="P438" t="s">
        <v>2437</v>
      </c>
      <c r="R438" t="s">
        <v>2437</v>
      </c>
      <c r="T438" t="s">
        <v>2437</v>
      </c>
      <c r="U438" t="s">
        <v>2437</v>
      </c>
      <c r="V438" t="s">
        <v>2437</v>
      </c>
      <c r="Y438" t="s">
        <v>6948</v>
      </c>
      <c r="Z438" t="s">
        <v>6949</v>
      </c>
      <c r="AA438" t="s">
        <v>6950</v>
      </c>
      <c r="AB438" t="s">
        <v>6951</v>
      </c>
      <c r="AC438" t="s">
        <v>6952</v>
      </c>
      <c r="AD438" t="s">
        <v>6953</v>
      </c>
      <c r="AE438" t="s">
        <v>6961</v>
      </c>
      <c r="AF438" t="s">
        <v>6962</v>
      </c>
      <c r="AG438" t="s">
        <v>6963</v>
      </c>
      <c r="AH438" t="s">
        <v>6964</v>
      </c>
      <c r="AI438" t="s">
        <v>6965</v>
      </c>
      <c r="AJ438" t="s">
        <v>6966</v>
      </c>
      <c r="AR438" t="s">
        <v>4284</v>
      </c>
    </row>
    <row r="439" spans="1:44">
      <c r="A439">
        <v>11126868</v>
      </c>
      <c r="B439" t="s">
        <v>533</v>
      </c>
      <c r="C439" t="s">
        <v>1283</v>
      </c>
      <c r="D439" t="s">
        <v>1796</v>
      </c>
      <c r="E439" t="s">
        <v>1797</v>
      </c>
      <c r="F439" t="s">
        <v>1798</v>
      </c>
      <c r="G439" t="s">
        <v>1799</v>
      </c>
      <c r="H439" t="s">
        <v>2224</v>
      </c>
      <c r="I439" t="s">
        <v>4312</v>
      </c>
      <c r="J439" t="s">
        <v>3276</v>
      </c>
      <c r="K439" t="s">
        <v>3277</v>
      </c>
      <c r="M439">
        <v>60</v>
      </c>
      <c r="N439">
        <v>70</v>
      </c>
      <c r="O439" t="s">
        <v>2437</v>
      </c>
      <c r="P439" t="s">
        <v>2437</v>
      </c>
      <c r="R439" t="s">
        <v>2437</v>
      </c>
      <c r="T439" t="s">
        <v>2437</v>
      </c>
      <c r="U439" t="s">
        <v>2437</v>
      </c>
      <c r="V439" t="s">
        <v>2437</v>
      </c>
      <c r="Y439" t="s">
        <v>6948</v>
      </c>
      <c r="Z439" t="s">
        <v>6949</v>
      </c>
      <c r="AA439" t="s">
        <v>6950</v>
      </c>
      <c r="AB439" t="s">
        <v>6951</v>
      </c>
      <c r="AC439" t="s">
        <v>6952</v>
      </c>
      <c r="AD439" t="s">
        <v>6953</v>
      </c>
      <c r="AE439" t="s">
        <v>6961</v>
      </c>
      <c r="AF439" t="s">
        <v>6962</v>
      </c>
      <c r="AG439" t="s">
        <v>6963</v>
      </c>
      <c r="AH439" t="s">
        <v>6964</v>
      </c>
      <c r="AI439" t="s">
        <v>6965</v>
      </c>
      <c r="AJ439" t="s">
        <v>6966</v>
      </c>
      <c r="AR439" t="s">
        <v>4284</v>
      </c>
    </row>
    <row r="440" spans="1:44">
      <c r="A440">
        <v>11126869</v>
      </c>
      <c r="B440" t="s">
        <v>534</v>
      </c>
      <c r="C440" t="s">
        <v>1284</v>
      </c>
      <c r="D440" t="s">
        <v>1796</v>
      </c>
      <c r="E440" t="s">
        <v>1797</v>
      </c>
      <c r="F440" t="s">
        <v>1798</v>
      </c>
      <c r="G440" t="s">
        <v>1799</v>
      </c>
      <c r="H440" t="s">
        <v>2225</v>
      </c>
      <c r="I440" t="s">
        <v>4313</v>
      </c>
      <c r="J440" t="s">
        <v>3278</v>
      </c>
      <c r="K440" t="s">
        <v>3279</v>
      </c>
      <c r="M440">
        <v>60</v>
      </c>
      <c r="N440">
        <v>70</v>
      </c>
      <c r="O440" t="s">
        <v>2437</v>
      </c>
      <c r="P440" t="s">
        <v>2437</v>
      </c>
      <c r="R440" t="s">
        <v>2437</v>
      </c>
      <c r="T440" t="s">
        <v>2437</v>
      </c>
      <c r="U440" t="s">
        <v>2437</v>
      </c>
      <c r="V440" t="s">
        <v>2437</v>
      </c>
      <c r="Y440" t="s">
        <v>6948</v>
      </c>
      <c r="Z440" t="s">
        <v>6949</v>
      </c>
      <c r="AA440" t="s">
        <v>6950</v>
      </c>
      <c r="AB440" t="s">
        <v>6951</v>
      </c>
      <c r="AC440" t="s">
        <v>6952</v>
      </c>
      <c r="AD440" t="s">
        <v>6953</v>
      </c>
      <c r="AE440" t="s">
        <v>6961</v>
      </c>
      <c r="AF440" t="s">
        <v>6962</v>
      </c>
      <c r="AG440" t="s">
        <v>6963</v>
      </c>
      <c r="AH440" t="s">
        <v>6964</v>
      </c>
      <c r="AI440" t="s">
        <v>6965</v>
      </c>
      <c r="AJ440" t="s">
        <v>6966</v>
      </c>
      <c r="AR440" t="s">
        <v>4284</v>
      </c>
    </row>
    <row r="441" spans="1:44">
      <c r="A441">
        <v>11126870</v>
      </c>
      <c r="B441" t="s">
        <v>535</v>
      </c>
      <c r="C441" t="s">
        <v>1285</v>
      </c>
      <c r="D441" t="s">
        <v>1800</v>
      </c>
      <c r="E441" t="s">
        <v>1801</v>
      </c>
      <c r="F441" t="s">
        <v>1596</v>
      </c>
      <c r="G441" t="s">
        <v>1597</v>
      </c>
      <c r="H441" t="s">
        <v>2215</v>
      </c>
      <c r="I441" t="s">
        <v>4408</v>
      </c>
      <c r="J441" t="s">
        <v>3280</v>
      </c>
      <c r="K441" t="s">
        <v>3281</v>
      </c>
      <c r="M441">
        <v>60</v>
      </c>
      <c r="N441">
        <v>70</v>
      </c>
      <c r="O441" t="s">
        <v>2437</v>
      </c>
      <c r="P441" t="s">
        <v>2437</v>
      </c>
      <c r="R441" t="s">
        <v>2437</v>
      </c>
      <c r="T441" t="s">
        <v>2437</v>
      </c>
      <c r="U441" t="s">
        <v>2437</v>
      </c>
      <c r="V441" t="s">
        <v>2437</v>
      </c>
      <c r="Y441" t="s">
        <v>6948</v>
      </c>
      <c r="Z441" t="s">
        <v>6949</v>
      </c>
      <c r="AA441" t="s">
        <v>6950</v>
      </c>
      <c r="AB441" t="s">
        <v>6951</v>
      </c>
      <c r="AC441" t="s">
        <v>6952</v>
      </c>
      <c r="AD441" t="s">
        <v>6953</v>
      </c>
      <c r="AE441" t="s">
        <v>6961</v>
      </c>
      <c r="AF441" t="s">
        <v>6962</v>
      </c>
      <c r="AG441" t="s">
        <v>6963</v>
      </c>
      <c r="AH441" t="s">
        <v>6964</v>
      </c>
      <c r="AI441" t="s">
        <v>6965</v>
      </c>
      <c r="AJ441" t="s">
        <v>6966</v>
      </c>
      <c r="AR441" t="s">
        <v>4284</v>
      </c>
    </row>
    <row r="442" spans="1:44">
      <c r="A442">
        <v>11126871</v>
      </c>
      <c r="B442" t="s">
        <v>536</v>
      </c>
      <c r="C442" t="s">
        <v>1286</v>
      </c>
      <c r="D442" t="s">
        <v>1800</v>
      </c>
      <c r="E442" t="s">
        <v>1801</v>
      </c>
      <c r="F442" t="s">
        <v>1596</v>
      </c>
      <c r="G442" t="s">
        <v>1597</v>
      </c>
      <c r="H442" t="s">
        <v>2185</v>
      </c>
      <c r="I442" t="s">
        <v>4389</v>
      </c>
      <c r="J442" t="s">
        <v>3282</v>
      </c>
      <c r="K442" t="s">
        <v>3283</v>
      </c>
      <c r="M442">
        <v>60</v>
      </c>
      <c r="N442">
        <v>70</v>
      </c>
      <c r="O442" t="s">
        <v>2437</v>
      </c>
      <c r="P442" t="s">
        <v>2437</v>
      </c>
      <c r="R442" t="s">
        <v>2437</v>
      </c>
      <c r="T442" t="s">
        <v>2437</v>
      </c>
      <c r="U442" t="s">
        <v>2437</v>
      </c>
      <c r="V442" t="s">
        <v>2437</v>
      </c>
      <c r="Y442" t="s">
        <v>6948</v>
      </c>
      <c r="Z442" t="s">
        <v>6949</v>
      </c>
      <c r="AA442" t="s">
        <v>6950</v>
      </c>
      <c r="AB442" t="s">
        <v>6951</v>
      </c>
      <c r="AC442" t="s">
        <v>6952</v>
      </c>
      <c r="AD442" t="s">
        <v>6953</v>
      </c>
      <c r="AE442" t="s">
        <v>6961</v>
      </c>
      <c r="AF442" t="s">
        <v>6962</v>
      </c>
      <c r="AG442" t="s">
        <v>6963</v>
      </c>
      <c r="AH442" t="s">
        <v>6964</v>
      </c>
      <c r="AI442" t="s">
        <v>6965</v>
      </c>
      <c r="AJ442" t="s">
        <v>6966</v>
      </c>
      <c r="AR442" t="s">
        <v>4284</v>
      </c>
    </row>
    <row r="443" spans="1:44">
      <c r="A443">
        <v>11126872</v>
      </c>
      <c r="B443" t="s">
        <v>537</v>
      </c>
      <c r="C443" t="s">
        <v>1287</v>
      </c>
      <c r="D443" t="s">
        <v>1800</v>
      </c>
      <c r="E443" t="s">
        <v>1801</v>
      </c>
      <c r="F443" t="s">
        <v>1596</v>
      </c>
      <c r="G443" t="s">
        <v>1597</v>
      </c>
      <c r="H443" t="s">
        <v>2279</v>
      </c>
      <c r="I443" t="s">
        <v>4465</v>
      </c>
      <c r="J443" t="s">
        <v>3284</v>
      </c>
      <c r="K443" t="s">
        <v>3285</v>
      </c>
      <c r="M443">
        <v>60</v>
      </c>
      <c r="N443">
        <v>70</v>
      </c>
      <c r="O443" t="s">
        <v>2437</v>
      </c>
      <c r="P443" t="s">
        <v>2437</v>
      </c>
      <c r="R443" t="s">
        <v>2437</v>
      </c>
      <c r="T443" t="s">
        <v>2437</v>
      </c>
      <c r="U443" t="s">
        <v>2437</v>
      </c>
      <c r="V443" t="s">
        <v>2437</v>
      </c>
      <c r="Y443" t="s">
        <v>6948</v>
      </c>
      <c r="Z443" t="s">
        <v>6949</v>
      </c>
      <c r="AA443" t="s">
        <v>6950</v>
      </c>
      <c r="AB443" t="s">
        <v>6951</v>
      </c>
      <c r="AC443" t="s">
        <v>6952</v>
      </c>
      <c r="AD443" t="s">
        <v>6953</v>
      </c>
      <c r="AE443" t="s">
        <v>6961</v>
      </c>
      <c r="AF443" t="s">
        <v>6962</v>
      </c>
      <c r="AG443" t="s">
        <v>6963</v>
      </c>
      <c r="AH443" t="s">
        <v>6964</v>
      </c>
      <c r="AI443" t="s">
        <v>6965</v>
      </c>
      <c r="AJ443" t="s">
        <v>6966</v>
      </c>
      <c r="AR443" t="s">
        <v>4284</v>
      </c>
    </row>
    <row r="444" spans="1:44">
      <c r="A444">
        <v>11126873</v>
      </c>
      <c r="B444" t="s">
        <v>538</v>
      </c>
      <c r="C444" t="s">
        <v>1288</v>
      </c>
      <c r="D444" t="s">
        <v>1800</v>
      </c>
      <c r="E444" t="s">
        <v>1801</v>
      </c>
      <c r="F444" t="s">
        <v>1596</v>
      </c>
      <c r="G444" t="s">
        <v>1597</v>
      </c>
      <c r="H444" t="s">
        <v>2186</v>
      </c>
      <c r="I444" t="s">
        <v>4390</v>
      </c>
      <c r="J444" t="s">
        <v>3286</v>
      </c>
      <c r="K444" t="s">
        <v>3287</v>
      </c>
      <c r="M444">
        <v>60</v>
      </c>
      <c r="N444">
        <v>70</v>
      </c>
      <c r="O444" t="s">
        <v>2437</v>
      </c>
      <c r="P444" t="s">
        <v>2437</v>
      </c>
      <c r="R444" t="s">
        <v>2437</v>
      </c>
      <c r="T444" t="s">
        <v>2437</v>
      </c>
      <c r="U444" t="s">
        <v>2437</v>
      </c>
      <c r="V444" t="s">
        <v>2437</v>
      </c>
      <c r="Y444" t="s">
        <v>6948</v>
      </c>
      <c r="Z444" t="s">
        <v>6949</v>
      </c>
      <c r="AA444" t="s">
        <v>6950</v>
      </c>
      <c r="AB444" t="s">
        <v>6951</v>
      </c>
      <c r="AC444" t="s">
        <v>6952</v>
      </c>
      <c r="AD444" t="s">
        <v>6953</v>
      </c>
      <c r="AE444" t="s">
        <v>6961</v>
      </c>
      <c r="AF444" t="s">
        <v>6962</v>
      </c>
      <c r="AG444" t="s">
        <v>6963</v>
      </c>
      <c r="AH444" t="s">
        <v>6964</v>
      </c>
      <c r="AI444" t="s">
        <v>6965</v>
      </c>
      <c r="AJ444" t="s">
        <v>6966</v>
      </c>
      <c r="AR444" t="s">
        <v>4284</v>
      </c>
    </row>
    <row r="445" spans="1:44">
      <c r="A445">
        <v>11126874</v>
      </c>
      <c r="B445" t="s">
        <v>539</v>
      </c>
      <c r="C445" t="s">
        <v>1289</v>
      </c>
      <c r="D445" t="s">
        <v>1800</v>
      </c>
      <c r="E445" t="s">
        <v>1801</v>
      </c>
      <c r="F445" t="s">
        <v>1596</v>
      </c>
      <c r="G445" t="s">
        <v>1597</v>
      </c>
      <c r="H445" t="s">
        <v>2216</v>
      </c>
      <c r="I445" t="s">
        <v>4409</v>
      </c>
      <c r="J445" t="s">
        <v>3288</v>
      </c>
      <c r="K445" t="s">
        <v>3289</v>
      </c>
      <c r="M445">
        <v>60</v>
      </c>
      <c r="N445">
        <v>70</v>
      </c>
      <c r="O445" t="s">
        <v>2437</v>
      </c>
      <c r="P445" t="s">
        <v>2437</v>
      </c>
      <c r="R445" t="s">
        <v>2437</v>
      </c>
      <c r="T445" t="s">
        <v>2437</v>
      </c>
      <c r="U445" t="s">
        <v>2437</v>
      </c>
      <c r="V445" t="s">
        <v>2437</v>
      </c>
      <c r="Y445" t="s">
        <v>6948</v>
      </c>
      <c r="Z445" t="s">
        <v>6949</v>
      </c>
      <c r="AA445" t="s">
        <v>6950</v>
      </c>
      <c r="AB445" t="s">
        <v>6951</v>
      </c>
      <c r="AC445" t="s">
        <v>6952</v>
      </c>
      <c r="AD445" t="s">
        <v>6953</v>
      </c>
      <c r="AE445" t="s">
        <v>6961</v>
      </c>
      <c r="AF445" t="s">
        <v>6962</v>
      </c>
      <c r="AG445" t="s">
        <v>6963</v>
      </c>
      <c r="AH445" t="s">
        <v>6964</v>
      </c>
      <c r="AI445" t="s">
        <v>6965</v>
      </c>
      <c r="AJ445" t="s">
        <v>6966</v>
      </c>
      <c r="AR445" t="s">
        <v>4284</v>
      </c>
    </row>
    <row r="446" spans="1:44">
      <c r="A446">
        <v>11126875</v>
      </c>
      <c r="B446" t="s">
        <v>540</v>
      </c>
      <c r="C446" t="s">
        <v>1290</v>
      </c>
      <c r="D446" t="s">
        <v>1800</v>
      </c>
      <c r="E446" t="s">
        <v>1801</v>
      </c>
      <c r="F446" t="s">
        <v>1596</v>
      </c>
      <c r="G446" t="s">
        <v>1597</v>
      </c>
      <c r="H446" t="s">
        <v>2280</v>
      </c>
      <c r="I446" t="s">
        <v>4466</v>
      </c>
      <c r="J446" t="s">
        <v>3290</v>
      </c>
      <c r="K446" t="s">
        <v>3291</v>
      </c>
      <c r="M446">
        <v>60</v>
      </c>
      <c r="N446">
        <v>70</v>
      </c>
      <c r="O446" t="s">
        <v>2437</v>
      </c>
      <c r="P446" t="s">
        <v>2437</v>
      </c>
      <c r="R446" t="s">
        <v>2437</v>
      </c>
      <c r="T446" t="s">
        <v>2437</v>
      </c>
      <c r="U446" t="s">
        <v>2437</v>
      </c>
      <c r="V446" t="s">
        <v>2437</v>
      </c>
      <c r="Y446" t="s">
        <v>6948</v>
      </c>
      <c r="Z446" t="s">
        <v>6949</v>
      </c>
      <c r="AA446" t="s">
        <v>6950</v>
      </c>
      <c r="AB446" t="s">
        <v>6951</v>
      </c>
      <c r="AC446" t="s">
        <v>6952</v>
      </c>
      <c r="AD446" t="s">
        <v>6953</v>
      </c>
      <c r="AE446" t="s">
        <v>6961</v>
      </c>
      <c r="AF446" t="s">
        <v>6962</v>
      </c>
      <c r="AG446" t="s">
        <v>6963</v>
      </c>
      <c r="AH446" t="s">
        <v>6964</v>
      </c>
      <c r="AI446" t="s">
        <v>6965</v>
      </c>
      <c r="AJ446" t="s">
        <v>6966</v>
      </c>
      <c r="AR446" t="s">
        <v>4284</v>
      </c>
    </row>
    <row r="447" spans="1:44">
      <c r="A447">
        <v>11126876</v>
      </c>
      <c r="B447" t="s">
        <v>541</v>
      </c>
      <c r="C447" t="s">
        <v>1291</v>
      </c>
      <c r="D447" t="s">
        <v>1802</v>
      </c>
      <c r="E447" t="s">
        <v>1803</v>
      </c>
      <c r="F447" t="s">
        <v>1688</v>
      </c>
      <c r="G447" t="s">
        <v>1689</v>
      </c>
      <c r="H447" t="s">
        <v>2190</v>
      </c>
      <c r="I447" t="s">
        <v>4410</v>
      </c>
      <c r="J447" t="s">
        <v>3292</v>
      </c>
      <c r="K447" t="s">
        <v>3293</v>
      </c>
      <c r="M447">
        <v>60</v>
      </c>
      <c r="N447">
        <v>70</v>
      </c>
      <c r="O447" t="s">
        <v>2437</v>
      </c>
      <c r="P447" t="s">
        <v>2437</v>
      </c>
      <c r="R447" t="s">
        <v>2437</v>
      </c>
      <c r="T447" t="s">
        <v>2437</v>
      </c>
      <c r="U447" t="s">
        <v>2437</v>
      </c>
      <c r="V447" t="s">
        <v>2437</v>
      </c>
      <c r="Y447" t="s">
        <v>6948</v>
      </c>
      <c r="Z447" t="s">
        <v>6949</v>
      </c>
      <c r="AA447" t="s">
        <v>6950</v>
      </c>
      <c r="AB447" t="s">
        <v>6951</v>
      </c>
      <c r="AC447" t="s">
        <v>6952</v>
      </c>
      <c r="AD447" t="s">
        <v>6953</v>
      </c>
      <c r="AE447" t="s">
        <v>6961</v>
      </c>
      <c r="AF447" t="s">
        <v>6962</v>
      </c>
      <c r="AG447" t="s">
        <v>6963</v>
      </c>
      <c r="AH447" t="s">
        <v>6964</v>
      </c>
      <c r="AI447" t="s">
        <v>6965</v>
      </c>
      <c r="AJ447" t="s">
        <v>6966</v>
      </c>
      <c r="AR447" t="s">
        <v>4284</v>
      </c>
    </row>
    <row r="448" spans="1:44">
      <c r="A448">
        <v>11126877</v>
      </c>
      <c r="B448" t="s">
        <v>542</v>
      </c>
      <c r="C448" t="s">
        <v>1292</v>
      </c>
      <c r="D448" t="s">
        <v>1802</v>
      </c>
      <c r="E448" t="s">
        <v>1803</v>
      </c>
      <c r="F448" t="s">
        <v>1688</v>
      </c>
      <c r="G448" t="s">
        <v>1689</v>
      </c>
      <c r="H448" t="s">
        <v>2187</v>
      </c>
      <c r="I448" t="s">
        <v>4467</v>
      </c>
      <c r="J448" t="s">
        <v>3294</v>
      </c>
      <c r="K448" t="s">
        <v>3295</v>
      </c>
      <c r="M448">
        <v>60</v>
      </c>
      <c r="N448">
        <v>70</v>
      </c>
      <c r="O448" t="s">
        <v>2437</v>
      </c>
      <c r="P448" t="s">
        <v>2437</v>
      </c>
      <c r="R448" t="s">
        <v>2437</v>
      </c>
      <c r="T448" t="s">
        <v>2437</v>
      </c>
      <c r="U448" t="s">
        <v>2437</v>
      </c>
      <c r="V448" t="s">
        <v>2437</v>
      </c>
      <c r="Y448" t="s">
        <v>6948</v>
      </c>
      <c r="Z448" t="s">
        <v>6949</v>
      </c>
      <c r="AA448" t="s">
        <v>6950</v>
      </c>
      <c r="AB448" t="s">
        <v>6951</v>
      </c>
      <c r="AC448" t="s">
        <v>6952</v>
      </c>
      <c r="AD448" t="s">
        <v>6953</v>
      </c>
      <c r="AE448" t="s">
        <v>6961</v>
      </c>
      <c r="AF448" t="s">
        <v>6962</v>
      </c>
      <c r="AG448" t="s">
        <v>6963</v>
      </c>
      <c r="AH448" t="s">
        <v>6964</v>
      </c>
      <c r="AI448" t="s">
        <v>6965</v>
      </c>
      <c r="AJ448" t="s">
        <v>6966</v>
      </c>
      <c r="AR448" t="s">
        <v>4284</v>
      </c>
    </row>
    <row r="449" spans="1:44">
      <c r="A449">
        <v>11126878</v>
      </c>
      <c r="B449" t="s">
        <v>543</v>
      </c>
      <c r="C449" t="s">
        <v>1293</v>
      </c>
      <c r="D449" t="s">
        <v>1802</v>
      </c>
      <c r="E449" t="s">
        <v>1803</v>
      </c>
      <c r="F449" t="s">
        <v>1688</v>
      </c>
      <c r="G449" t="s">
        <v>1689</v>
      </c>
      <c r="H449" t="s">
        <v>2191</v>
      </c>
      <c r="I449" t="s">
        <v>4379</v>
      </c>
      <c r="J449" t="s">
        <v>3296</v>
      </c>
      <c r="K449" t="s">
        <v>3297</v>
      </c>
      <c r="M449">
        <v>60</v>
      </c>
      <c r="N449">
        <v>70</v>
      </c>
      <c r="O449" t="s">
        <v>2437</v>
      </c>
      <c r="P449" t="s">
        <v>2437</v>
      </c>
      <c r="R449" t="s">
        <v>2437</v>
      </c>
      <c r="T449" t="s">
        <v>2437</v>
      </c>
      <c r="U449" t="s">
        <v>2437</v>
      </c>
      <c r="V449" t="s">
        <v>2437</v>
      </c>
      <c r="Y449" t="s">
        <v>6948</v>
      </c>
      <c r="Z449" t="s">
        <v>6949</v>
      </c>
      <c r="AA449" t="s">
        <v>6950</v>
      </c>
      <c r="AB449" t="s">
        <v>6951</v>
      </c>
      <c r="AC449" t="s">
        <v>6952</v>
      </c>
      <c r="AD449" t="s">
        <v>6953</v>
      </c>
      <c r="AE449" t="s">
        <v>6961</v>
      </c>
      <c r="AF449" t="s">
        <v>6962</v>
      </c>
      <c r="AG449" t="s">
        <v>6963</v>
      </c>
      <c r="AH449" t="s">
        <v>6964</v>
      </c>
      <c r="AI449" t="s">
        <v>6965</v>
      </c>
      <c r="AJ449" t="s">
        <v>6966</v>
      </c>
      <c r="AR449" t="s">
        <v>4284</v>
      </c>
    </row>
    <row r="450" spans="1:44">
      <c r="A450">
        <v>11126879</v>
      </c>
      <c r="B450" t="s">
        <v>544</v>
      </c>
      <c r="C450" t="s">
        <v>1294</v>
      </c>
      <c r="D450" t="s">
        <v>1802</v>
      </c>
      <c r="E450" t="s">
        <v>1803</v>
      </c>
      <c r="F450" t="s">
        <v>1688</v>
      </c>
      <c r="G450" t="s">
        <v>1689</v>
      </c>
      <c r="H450" t="s">
        <v>2188</v>
      </c>
      <c r="I450" t="s">
        <v>4378</v>
      </c>
      <c r="J450" t="s">
        <v>3298</v>
      </c>
      <c r="K450" t="s">
        <v>3299</v>
      </c>
      <c r="M450">
        <v>60</v>
      </c>
      <c r="N450">
        <v>70</v>
      </c>
      <c r="O450" t="s">
        <v>2437</v>
      </c>
      <c r="P450" t="s">
        <v>2437</v>
      </c>
      <c r="R450" t="s">
        <v>2437</v>
      </c>
      <c r="T450" t="s">
        <v>2437</v>
      </c>
      <c r="U450" t="s">
        <v>2437</v>
      </c>
      <c r="V450" t="s">
        <v>2437</v>
      </c>
      <c r="Y450" t="s">
        <v>6948</v>
      </c>
      <c r="Z450" t="s">
        <v>6949</v>
      </c>
      <c r="AA450" t="s">
        <v>6950</v>
      </c>
      <c r="AB450" t="s">
        <v>6951</v>
      </c>
      <c r="AC450" t="s">
        <v>6952</v>
      </c>
      <c r="AD450" t="s">
        <v>6953</v>
      </c>
      <c r="AE450" t="s">
        <v>6961</v>
      </c>
      <c r="AF450" t="s">
        <v>6962</v>
      </c>
      <c r="AG450" t="s">
        <v>6963</v>
      </c>
      <c r="AH450" t="s">
        <v>6964</v>
      </c>
      <c r="AI450" t="s">
        <v>6965</v>
      </c>
      <c r="AJ450" t="s">
        <v>6966</v>
      </c>
      <c r="AR450" t="s">
        <v>4284</v>
      </c>
    </row>
    <row r="451" spans="1:44">
      <c r="A451">
        <v>11126880</v>
      </c>
      <c r="B451" t="s">
        <v>545</v>
      </c>
      <c r="C451" t="s">
        <v>1295</v>
      </c>
      <c r="D451" t="s">
        <v>1802</v>
      </c>
      <c r="E451" t="s">
        <v>1803</v>
      </c>
      <c r="F451" t="s">
        <v>1688</v>
      </c>
      <c r="G451" t="s">
        <v>1689</v>
      </c>
      <c r="H451" t="s">
        <v>2192</v>
      </c>
      <c r="I451" t="s">
        <v>4411</v>
      </c>
      <c r="J451" t="s">
        <v>3300</v>
      </c>
      <c r="K451" t="s">
        <v>3301</v>
      </c>
      <c r="M451">
        <v>60</v>
      </c>
      <c r="N451">
        <v>70</v>
      </c>
      <c r="O451" t="s">
        <v>2437</v>
      </c>
      <c r="P451" t="s">
        <v>2437</v>
      </c>
      <c r="R451" t="s">
        <v>2437</v>
      </c>
      <c r="T451" t="s">
        <v>2437</v>
      </c>
      <c r="U451" t="s">
        <v>2437</v>
      </c>
      <c r="V451" t="s">
        <v>2437</v>
      </c>
      <c r="Y451" t="s">
        <v>6948</v>
      </c>
      <c r="Z451" t="s">
        <v>6949</v>
      </c>
      <c r="AA451" t="s">
        <v>6950</v>
      </c>
      <c r="AB451" t="s">
        <v>6951</v>
      </c>
      <c r="AC451" t="s">
        <v>6952</v>
      </c>
      <c r="AD451" t="s">
        <v>6953</v>
      </c>
      <c r="AE451" t="s">
        <v>6961</v>
      </c>
      <c r="AF451" t="s">
        <v>6962</v>
      </c>
      <c r="AG451" t="s">
        <v>6963</v>
      </c>
      <c r="AH451" t="s">
        <v>6964</v>
      </c>
      <c r="AI451" t="s">
        <v>6965</v>
      </c>
      <c r="AJ451" t="s">
        <v>6966</v>
      </c>
      <c r="AR451" t="s">
        <v>4284</v>
      </c>
    </row>
    <row r="452" spans="1:44">
      <c r="A452">
        <v>11126881</v>
      </c>
      <c r="B452" t="s">
        <v>546</v>
      </c>
      <c r="C452" t="s">
        <v>1296</v>
      </c>
      <c r="D452" t="s">
        <v>1802</v>
      </c>
      <c r="E452" t="s">
        <v>1803</v>
      </c>
      <c r="F452" t="s">
        <v>1688</v>
      </c>
      <c r="G452" t="s">
        <v>1689</v>
      </c>
      <c r="H452" t="s">
        <v>2189</v>
      </c>
      <c r="I452" t="s">
        <v>4468</v>
      </c>
      <c r="J452" t="s">
        <v>3302</v>
      </c>
      <c r="K452" t="s">
        <v>3303</v>
      </c>
      <c r="M452">
        <v>60</v>
      </c>
      <c r="N452">
        <v>70</v>
      </c>
      <c r="O452" t="s">
        <v>2437</v>
      </c>
      <c r="P452" t="s">
        <v>2437</v>
      </c>
      <c r="R452" t="s">
        <v>2437</v>
      </c>
      <c r="T452" t="s">
        <v>2437</v>
      </c>
      <c r="U452" t="s">
        <v>2437</v>
      </c>
      <c r="V452" t="s">
        <v>2437</v>
      </c>
      <c r="Y452" t="s">
        <v>6948</v>
      </c>
      <c r="Z452" t="s">
        <v>6949</v>
      </c>
      <c r="AA452" t="s">
        <v>6950</v>
      </c>
      <c r="AB452" t="s">
        <v>6951</v>
      </c>
      <c r="AC452" t="s">
        <v>6952</v>
      </c>
      <c r="AD452" t="s">
        <v>6953</v>
      </c>
      <c r="AE452" t="s">
        <v>6961</v>
      </c>
      <c r="AF452" t="s">
        <v>6962</v>
      </c>
      <c r="AG452" t="s">
        <v>6963</v>
      </c>
      <c r="AH452" t="s">
        <v>6964</v>
      </c>
      <c r="AI452" t="s">
        <v>6965</v>
      </c>
      <c r="AJ452" t="s">
        <v>6966</v>
      </c>
      <c r="AR452" t="s">
        <v>4284</v>
      </c>
    </row>
    <row r="453" spans="1:44">
      <c r="A453">
        <v>11126882</v>
      </c>
      <c r="B453" t="s">
        <v>547</v>
      </c>
      <c r="C453" t="s">
        <v>1269</v>
      </c>
      <c r="D453" t="s">
        <v>1804</v>
      </c>
      <c r="E453" t="s">
        <v>1805</v>
      </c>
      <c r="F453" t="s">
        <v>1806</v>
      </c>
      <c r="G453" t="s">
        <v>1807</v>
      </c>
      <c r="H453" t="s">
        <v>2241</v>
      </c>
      <c r="I453" t="s">
        <v>4432</v>
      </c>
      <c r="J453" t="s">
        <v>3304</v>
      </c>
      <c r="K453" t="s">
        <v>3305</v>
      </c>
      <c r="M453">
        <v>50</v>
      </c>
      <c r="N453">
        <v>70</v>
      </c>
      <c r="O453" t="s">
        <v>2437</v>
      </c>
      <c r="P453" t="s">
        <v>2437</v>
      </c>
      <c r="R453" t="s">
        <v>2437</v>
      </c>
      <c r="T453" t="s">
        <v>2437</v>
      </c>
      <c r="U453" t="s">
        <v>2437</v>
      </c>
      <c r="V453" t="s">
        <v>2437</v>
      </c>
      <c r="Y453" t="s">
        <v>6948</v>
      </c>
      <c r="Z453" t="s">
        <v>6949</v>
      </c>
      <c r="AA453" t="s">
        <v>6950</v>
      </c>
      <c r="AB453" t="s">
        <v>6951</v>
      </c>
      <c r="AC453" t="s">
        <v>6952</v>
      </c>
      <c r="AD453" t="s">
        <v>6953</v>
      </c>
      <c r="AE453" t="s">
        <v>6954</v>
      </c>
      <c r="AF453" t="s">
        <v>6955</v>
      </c>
      <c r="AG453" t="s">
        <v>6956</v>
      </c>
      <c r="AH453" t="s">
        <v>6957</v>
      </c>
      <c r="AI453" t="s">
        <v>6958</v>
      </c>
      <c r="AJ453" t="s">
        <v>6959</v>
      </c>
      <c r="AR453" t="s">
        <v>4284</v>
      </c>
    </row>
    <row r="454" spans="1:44">
      <c r="A454">
        <v>11126883</v>
      </c>
      <c r="B454" t="s">
        <v>548</v>
      </c>
      <c r="C454" t="s">
        <v>1008</v>
      </c>
      <c r="D454" t="s">
        <v>1804</v>
      </c>
      <c r="E454" t="s">
        <v>1805</v>
      </c>
      <c r="F454" t="s">
        <v>1806</v>
      </c>
      <c r="G454" t="s">
        <v>1807</v>
      </c>
      <c r="H454" t="s">
        <v>2242</v>
      </c>
      <c r="I454" t="s">
        <v>4433</v>
      </c>
      <c r="J454" t="s">
        <v>3306</v>
      </c>
      <c r="K454" t="s">
        <v>3307</v>
      </c>
      <c r="M454">
        <v>50</v>
      </c>
      <c r="N454">
        <v>70</v>
      </c>
      <c r="O454" t="s">
        <v>2437</v>
      </c>
      <c r="P454" t="s">
        <v>2437</v>
      </c>
      <c r="R454" t="s">
        <v>2437</v>
      </c>
      <c r="T454" t="s">
        <v>2437</v>
      </c>
      <c r="U454" t="s">
        <v>2437</v>
      </c>
      <c r="V454" t="s">
        <v>2437</v>
      </c>
      <c r="Y454" t="s">
        <v>6948</v>
      </c>
      <c r="Z454" t="s">
        <v>6949</v>
      </c>
      <c r="AA454" t="s">
        <v>6950</v>
      </c>
      <c r="AB454" t="s">
        <v>6951</v>
      </c>
      <c r="AC454" t="s">
        <v>6952</v>
      </c>
      <c r="AD454" t="s">
        <v>6953</v>
      </c>
      <c r="AE454" t="s">
        <v>6954</v>
      </c>
      <c r="AF454" t="s">
        <v>6955</v>
      </c>
      <c r="AG454" t="s">
        <v>6956</v>
      </c>
      <c r="AH454" t="s">
        <v>6957</v>
      </c>
      <c r="AI454" t="s">
        <v>6958</v>
      </c>
      <c r="AJ454" t="s">
        <v>6959</v>
      </c>
      <c r="AR454" t="s">
        <v>4284</v>
      </c>
    </row>
    <row r="455" spans="1:44">
      <c r="A455">
        <v>11126884</v>
      </c>
      <c r="B455" t="s">
        <v>549</v>
      </c>
      <c r="C455" t="s">
        <v>1197</v>
      </c>
      <c r="D455" t="s">
        <v>1804</v>
      </c>
      <c r="E455" t="s">
        <v>1805</v>
      </c>
      <c r="F455" t="s">
        <v>1654</v>
      </c>
      <c r="G455" t="s">
        <v>1655</v>
      </c>
      <c r="H455" t="s">
        <v>2239</v>
      </c>
      <c r="I455" t="s">
        <v>4430</v>
      </c>
      <c r="J455" t="s">
        <v>3308</v>
      </c>
      <c r="K455" t="s">
        <v>3309</v>
      </c>
      <c r="M455">
        <v>50</v>
      </c>
      <c r="N455">
        <v>70</v>
      </c>
      <c r="O455" t="s">
        <v>2437</v>
      </c>
      <c r="P455" t="s">
        <v>2437</v>
      </c>
      <c r="R455" t="s">
        <v>2437</v>
      </c>
      <c r="T455" t="s">
        <v>2437</v>
      </c>
      <c r="U455" t="s">
        <v>2437</v>
      </c>
      <c r="V455" t="s">
        <v>2437</v>
      </c>
      <c r="Y455" t="s">
        <v>6948</v>
      </c>
      <c r="Z455" t="s">
        <v>6949</v>
      </c>
      <c r="AA455" t="s">
        <v>6950</v>
      </c>
      <c r="AB455" t="s">
        <v>6951</v>
      </c>
      <c r="AC455" t="s">
        <v>6952</v>
      </c>
      <c r="AD455" t="s">
        <v>6953</v>
      </c>
      <c r="AE455" t="s">
        <v>6954</v>
      </c>
      <c r="AF455" t="s">
        <v>6955</v>
      </c>
      <c r="AG455" t="s">
        <v>6956</v>
      </c>
      <c r="AH455" t="s">
        <v>6957</v>
      </c>
      <c r="AI455" t="s">
        <v>6958</v>
      </c>
      <c r="AJ455" t="s">
        <v>6959</v>
      </c>
      <c r="AR455" t="s">
        <v>4284</v>
      </c>
    </row>
    <row r="456" spans="1:44">
      <c r="A456">
        <v>11126885</v>
      </c>
      <c r="B456" t="s">
        <v>550</v>
      </c>
      <c r="C456" t="s">
        <v>1006</v>
      </c>
      <c r="D456" t="s">
        <v>1804</v>
      </c>
      <c r="E456" t="s">
        <v>1805</v>
      </c>
      <c r="F456" t="s">
        <v>1654</v>
      </c>
      <c r="G456" t="s">
        <v>1655</v>
      </c>
      <c r="H456" t="s">
        <v>2240</v>
      </c>
      <c r="I456" t="s">
        <v>4431</v>
      </c>
      <c r="J456" t="s">
        <v>3310</v>
      </c>
      <c r="K456" t="s">
        <v>3311</v>
      </c>
      <c r="M456">
        <v>50</v>
      </c>
      <c r="N456">
        <v>70</v>
      </c>
      <c r="O456" t="s">
        <v>2437</v>
      </c>
      <c r="P456" t="s">
        <v>2437</v>
      </c>
      <c r="R456" t="s">
        <v>2437</v>
      </c>
      <c r="T456" t="s">
        <v>2437</v>
      </c>
      <c r="U456" t="s">
        <v>2437</v>
      </c>
      <c r="V456" t="s">
        <v>2437</v>
      </c>
      <c r="Y456" t="s">
        <v>6948</v>
      </c>
      <c r="Z456" t="s">
        <v>6949</v>
      </c>
      <c r="AA456" t="s">
        <v>6950</v>
      </c>
      <c r="AB456" t="s">
        <v>6951</v>
      </c>
      <c r="AC456" t="s">
        <v>6952</v>
      </c>
      <c r="AD456" t="s">
        <v>6953</v>
      </c>
      <c r="AE456" t="s">
        <v>6954</v>
      </c>
      <c r="AF456" t="s">
        <v>6955</v>
      </c>
      <c r="AG456" t="s">
        <v>6956</v>
      </c>
      <c r="AH456" t="s">
        <v>6957</v>
      </c>
      <c r="AI456" t="s">
        <v>6958</v>
      </c>
      <c r="AJ456" t="s">
        <v>6959</v>
      </c>
      <c r="AR456" t="s">
        <v>4284</v>
      </c>
    </row>
    <row r="457" spans="1:44">
      <c r="A457">
        <v>11126886</v>
      </c>
      <c r="B457" t="s">
        <v>551</v>
      </c>
      <c r="C457" t="s">
        <v>1225</v>
      </c>
      <c r="D457" t="s">
        <v>1808</v>
      </c>
      <c r="E457" t="s">
        <v>1809</v>
      </c>
      <c r="F457" t="s">
        <v>1810</v>
      </c>
      <c r="G457" t="s">
        <v>1811</v>
      </c>
      <c r="H457" t="s">
        <v>2281</v>
      </c>
      <c r="I457" t="s">
        <v>4469</v>
      </c>
      <c r="J457" t="s">
        <v>3312</v>
      </c>
      <c r="K457" t="s">
        <v>3313</v>
      </c>
      <c r="M457">
        <v>50</v>
      </c>
      <c r="N457">
        <v>70</v>
      </c>
      <c r="O457" t="s">
        <v>2437</v>
      </c>
      <c r="P457" t="s">
        <v>2437</v>
      </c>
      <c r="R457" t="s">
        <v>2437</v>
      </c>
      <c r="T457" t="s">
        <v>2437</v>
      </c>
      <c r="U457" t="s">
        <v>2437</v>
      </c>
      <c r="V457" t="s">
        <v>2437</v>
      </c>
      <c r="Y457" t="s">
        <v>6948</v>
      </c>
      <c r="Z457" t="s">
        <v>6949</v>
      </c>
      <c r="AA457" t="s">
        <v>6950</v>
      </c>
      <c r="AB457" t="s">
        <v>6951</v>
      </c>
      <c r="AC457" t="s">
        <v>6952</v>
      </c>
      <c r="AD457" t="s">
        <v>6953</v>
      </c>
      <c r="AE457" t="s">
        <v>6954</v>
      </c>
      <c r="AF457" t="s">
        <v>6955</v>
      </c>
      <c r="AG457" t="s">
        <v>6956</v>
      </c>
      <c r="AH457" t="s">
        <v>6957</v>
      </c>
      <c r="AI457" t="s">
        <v>6958</v>
      </c>
      <c r="AJ457" t="s">
        <v>6959</v>
      </c>
      <c r="AR457" t="s">
        <v>4284</v>
      </c>
    </row>
    <row r="458" spans="1:44">
      <c r="A458">
        <v>11126887</v>
      </c>
      <c r="B458" t="s">
        <v>552</v>
      </c>
      <c r="C458" t="s">
        <v>1226</v>
      </c>
      <c r="D458" t="s">
        <v>1808</v>
      </c>
      <c r="E458" t="s">
        <v>1809</v>
      </c>
      <c r="F458" t="s">
        <v>1810</v>
      </c>
      <c r="G458" t="s">
        <v>1811</v>
      </c>
      <c r="H458" t="s">
        <v>2282</v>
      </c>
      <c r="I458" t="s">
        <v>4470</v>
      </c>
      <c r="J458" t="s">
        <v>3314</v>
      </c>
      <c r="K458" t="s">
        <v>3315</v>
      </c>
      <c r="M458">
        <v>50</v>
      </c>
      <c r="N458">
        <v>70</v>
      </c>
      <c r="O458" t="s">
        <v>2437</v>
      </c>
      <c r="P458" t="s">
        <v>2437</v>
      </c>
      <c r="R458" t="s">
        <v>2437</v>
      </c>
      <c r="T458" t="s">
        <v>2437</v>
      </c>
      <c r="U458" t="s">
        <v>2437</v>
      </c>
      <c r="V458" t="s">
        <v>2437</v>
      </c>
      <c r="Y458" t="s">
        <v>6948</v>
      </c>
      <c r="Z458" t="s">
        <v>6949</v>
      </c>
      <c r="AA458" t="s">
        <v>6950</v>
      </c>
      <c r="AB458" t="s">
        <v>6951</v>
      </c>
      <c r="AC458" t="s">
        <v>6952</v>
      </c>
      <c r="AD458" t="s">
        <v>6953</v>
      </c>
      <c r="AE458" t="s">
        <v>6954</v>
      </c>
      <c r="AF458" t="s">
        <v>6955</v>
      </c>
      <c r="AG458" t="s">
        <v>6956</v>
      </c>
      <c r="AH458" t="s">
        <v>6957</v>
      </c>
      <c r="AI458" t="s">
        <v>6958</v>
      </c>
      <c r="AJ458" t="s">
        <v>6959</v>
      </c>
      <c r="AR458" t="s">
        <v>4284</v>
      </c>
    </row>
    <row r="459" spans="1:44">
      <c r="A459">
        <v>11126888</v>
      </c>
      <c r="B459" t="s">
        <v>553</v>
      </c>
      <c r="C459" t="s">
        <v>1177</v>
      </c>
      <c r="D459" t="s">
        <v>1812</v>
      </c>
      <c r="E459" t="s">
        <v>1813</v>
      </c>
      <c r="F459" t="s">
        <v>1772</v>
      </c>
      <c r="G459" t="s">
        <v>1773</v>
      </c>
      <c r="H459" t="s">
        <v>2323</v>
      </c>
      <c r="I459" t="s">
        <v>4360</v>
      </c>
      <c r="J459" t="s">
        <v>3316</v>
      </c>
      <c r="K459" t="s">
        <v>3317</v>
      </c>
      <c r="M459">
        <v>50</v>
      </c>
      <c r="N459">
        <v>70</v>
      </c>
      <c r="O459" t="s">
        <v>2437</v>
      </c>
      <c r="P459" t="s">
        <v>2437</v>
      </c>
      <c r="R459" t="s">
        <v>2437</v>
      </c>
      <c r="T459" t="s">
        <v>2437</v>
      </c>
      <c r="U459" t="s">
        <v>2437</v>
      </c>
      <c r="V459" t="s">
        <v>2437</v>
      </c>
      <c r="Y459" t="s">
        <v>6948</v>
      </c>
      <c r="Z459" t="s">
        <v>6949</v>
      </c>
      <c r="AA459" t="s">
        <v>6950</v>
      </c>
      <c r="AB459" t="s">
        <v>6951</v>
      </c>
      <c r="AC459" t="s">
        <v>6952</v>
      </c>
      <c r="AD459" t="s">
        <v>6953</v>
      </c>
      <c r="AE459" t="s">
        <v>6954</v>
      </c>
      <c r="AF459" t="s">
        <v>6955</v>
      </c>
      <c r="AG459" t="s">
        <v>6956</v>
      </c>
      <c r="AH459" t="s">
        <v>6957</v>
      </c>
      <c r="AI459" t="s">
        <v>6958</v>
      </c>
      <c r="AJ459" t="s">
        <v>6959</v>
      </c>
      <c r="AR459" t="s">
        <v>4284</v>
      </c>
    </row>
    <row r="460" spans="1:44">
      <c r="A460">
        <v>11126889</v>
      </c>
      <c r="B460" t="s">
        <v>554</v>
      </c>
      <c r="C460" t="s">
        <v>1081</v>
      </c>
      <c r="D460" t="s">
        <v>1812</v>
      </c>
      <c r="E460" t="s">
        <v>1813</v>
      </c>
      <c r="F460" t="s">
        <v>1772</v>
      </c>
      <c r="G460" t="s">
        <v>1773</v>
      </c>
      <c r="H460" t="s">
        <v>2217</v>
      </c>
      <c r="I460" t="s">
        <v>4358</v>
      </c>
      <c r="J460" t="s">
        <v>3318</v>
      </c>
      <c r="K460" t="s">
        <v>3319</v>
      </c>
      <c r="M460">
        <v>50</v>
      </c>
      <c r="N460">
        <v>70</v>
      </c>
      <c r="O460" t="s">
        <v>2437</v>
      </c>
      <c r="P460" t="s">
        <v>2437</v>
      </c>
      <c r="R460" t="s">
        <v>2437</v>
      </c>
      <c r="T460" t="s">
        <v>2437</v>
      </c>
      <c r="U460" t="s">
        <v>2437</v>
      </c>
      <c r="V460" t="s">
        <v>2437</v>
      </c>
      <c r="Y460" t="s">
        <v>6948</v>
      </c>
      <c r="Z460" t="s">
        <v>6949</v>
      </c>
      <c r="AA460" t="s">
        <v>6950</v>
      </c>
      <c r="AB460" t="s">
        <v>6951</v>
      </c>
      <c r="AC460" t="s">
        <v>6952</v>
      </c>
      <c r="AD460" t="s">
        <v>6953</v>
      </c>
      <c r="AE460" t="s">
        <v>6954</v>
      </c>
      <c r="AF460" t="s">
        <v>6955</v>
      </c>
      <c r="AG460" t="s">
        <v>6956</v>
      </c>
      <c r="AH460" t="s">
        <v>6957</v>
      </c>
      <c r="AI460" t="s">
        <v>6958</v>
      </c>
      <c r="AJ460" t="s">
        <v>6959</v>
      </c>
      <c r="AR460" t="s">
        <v>4284</v>
      </c>
    </row>
    <row r="461" spans="1:44">
      <c r="A461">
        <v>11126743</v>
      </c>
      <c r="B461" t="s">
        <v>555</v>
      </c>
      <c r="C461" t="s">
        <v>1109</v>
      </c>
      <c r="D461" t="s">
        <v>1814</v>
      </c>
      <c r="E461" t="s">
        <v>1514</v>
      </c>
      <c r="F461" t="s">
        <v>1515</v>
      </c>
      <c r="G461" t="s">
        <v>36</v>
      </c>
      <c r="H461" t="s">
        <v>2233</v>
      </c>
      <c r="I461" t="s">
        <v>4424</v>
      </c>
      <c r="J461" t="s">
        <v>3320</v>
      </c>
      <c r="K461" t="s">
        <v>3321</v>
      </c>
      <c r="M461">
        <v>50</v>
      </c>
      <c r="N461">
        <v>70</v>
      </c>
      <c r="O461" t="s">
        <v>2437</v>
      </c>
      <c r="P461" t="s">
        <v>2437</v>
      </c>
      <c r="R461" t="s">
        <v>2437</v>
      </c>
      <c r="T461" t="s">
        <v>2437</v>
      </c>
      <c r="U461" t="s">
        <v>2437</v>
      </c>
      <c r="V461" t="s">
        <v>2437</v>
      </c>
      <c r="Y461" t="s">
        <v>6948</v>
      </c>
      <c r="Z461" t="s">
        <v>6949</v>
      </c>
      <c r="AA461" t="s">
        <v>6950</v>
      </c>
      <c r="AB461" t="s">
        <v>6951</v>
      </c>
      <c r="AC461" t="s">
        <v>6952</v>
      </c>
      <c r="AD461" t="s">
        <v>6953</v>
      </c>
      <c r="AE461" t="s">
        <v>6954</v>
      </c>
      <c r="AF461" t="s">
        <v>6955</v>
      </c>
      <c r="AG461" t="s">
        <v>6956</v>
      </c>
      <c r="AH461" t="s">
        <v>6957</v>
      </c>
      <c r="AI461" t="s">
        <v>6958</v>
      </c>
      <c r="AJ461" t="s">
        <v>6959</v>
      </c>
      <c r="AR461" t="s">
        <v>4284</v>
      </c>
    </row>
    <row r="462" spans="1:44">
      <c r="A462">
        <v>11126744</v>
      </c>
      <c r="B462" t="s">
        <v>556</v>
      </c>
      <c r="C462" t="s">
        <v>1108</v>
      </c>
      <c r="D462" t="s">
        <v>1814</v>
      </c>
      <c r="E462" t="s">
        <v>1514</v>
      </c>
      <c r="F462" t="s">
        <v>1515</v>
      </c>
      <c r="G462" t="s">
        <v>36</v>
      </c>
      <c r="H462" t="s">
        <v>37</v>
      </c>
      <c r="I462" t="s">
        <v>38</v>
      </c>
      <c r="J462" t="s">
        <v>3322</v>
      </c>
      <c r="K462" t="s">
        <v>3323</v>
      </c>
      <c r="M462">
        <v>50</v>
      </c>
      <c r="N462">
        <v>70</v>
      </c>
      <c r="O462" t="s">
        <v>2437</v>
      </c>
      <c r="P462" t="s">
        <v>2437</v>
      </c>
      <c r="R462" t="s">
        <v>2437</v>
      </c>
      <c r="T462" t="s">
        <v>2437</v>
      </c>
      <c r="U462" t="s">
        <v>2437</v>
      </c>
      <c r="V462" t="s">
        <v>2437</v>
      </c>
      <c r="Y462" t="s">
        <v>6948</v>
      </c>
      <c r="Z462" t="s">
        <v>6949</v>
      </c>
      <c r="AA462" t="s">
        <v>6950</v>
      </c>
      <c r="AB462" t="s">
        <v>6951</v>
      </c>
      <c r="AC462" t="s">
        <v>6952</v>
      </c>
      <c r="AD462" t="s">
        <v>6953</v>
      </c>
      <c r="AE462" t="s">
        <v>6954</v>
      </c>
      <c r="AF462" t="s">
        <v>6955</v>
      </c>
      <c r="AG462" t="s">
        <v>6956</v>
      </c>
      <c r="AH462" t="s">
        <v>6957</v>
      </c>
      <c r="AI462" t="s">
        <v>6958</v>
      </c>
      <c r="AJ462" t="s">
        <v>6959</v>
      </c>
      <c r="AR462" t="s">
        <v>4284</v>
      </c>
    </row>
    <row r="463" spans="1:44">
      <c r="A463">
        <v>11126745</v>
      </c>
      <c r="B463" t="s">
        <v>557</v>
      </c>
      <c r="C463" t="s">
        <v>1144</v>
      </c>
      <c r="D463" t="s">
        <v>1815</v>
      </c>
      <c r="E463" t="s">
        <v>1516</v>
      </c>
      <c r="F463" t="s">
        <v>1517</v>
      </c>
      <c r="G463" t="s">
        <v>1518</v>
      </c>
      <c r="H463" t="s">
        <v>2214</v>
      </c>
      <c r="I463" t="s">
        <v>4407</v>
      </c>
      <c r="J463" t="s">
        <v>2545</v>
      </c>
      <c r="K463" t="s">
        <v>2546</v>
      </c>
      <c r="M463">
        <v>50</v>
      </c>
      <c r="N463">
        <v>70</v>
      </c>
      <c r="O463" t="s">
        <v>2437</v>
      </c>
      <c r="P463" t="s">
        <v>2437</v>
      </c>
      <c r="R463" t="s">
        <v>2437</v>
      </c>
      <c r="T463" t="s">
        <v>2437</v>
      </c>
      <c r="U463" t="s">
        <v>2437</v>
      </c>
      <c r="V463" t="s">
        <v>2437</v>
      </c>
      <c r="Y463" t="s">
        <v>6948</v>
      </c>
      <c r="Z463" t="s">
        <v>6949</v>
      </c>
      <c r="AA463" t="s">
        <v>6950</v>
      </c>
      <c r="AB463" t="s">
        <v>6951</v>
      </c>
      <c r="AC463" t="s">
        <v>6952</v>
      </c>
      <c r="AD463" t="s">
        <v>6953</v>
      </c>
      <c r="AE463" t="s">
        <v>6954</v>
      </c>
      <c r="AF463" t="s">
        <v>6955</v>
      </c>
      <c r="AG463" t="s">
        <v>6956</v>
      </c>
      <c r="AH463" t="s">
        <v>6957</v>
      </c>
      <c r="AI463" t="s">
        <v>6958</v>
      </c>
      <c r="AJ463" t="s">
        <v>6959</v>
      </c>
      <c r="AR463" t="s">
        <v>4284</v>
      </c>
    </row>
    <row r="464" spans="1:44">
      <c r="A464">
        <v>11126746</v>
      </c>
      <c r="B464" t="s">
        <v>558</v>
      </c>
      <c r="C464" t="s">
        <v>1143</v>
      </c>
      <c r="D464" t="s">
        <v>1815</v>
      </c>
      <c r="E464" t="s">
        <v>1516</v>
      </c>
      <c r="F464" t="s">
        <v>1517</v>
      </c>
      <c r="G464" t="s">
        <v>1518</v>
      </c>
      <c r="H464" t="s">
        <v>2213</v>
      </c>
      <c r="I464" t="s">
        <v>4371</v>
      </c>
      <c r="J464" t="s">
        <v>2547</v>
      </c>
      <c r="K464" t="s">
        <v>2548</v>
      </c>
      <c r="M464">
        <v>50</v>
      </c>
      <c r="N464">
        <v>70</v>
      </c>
      <c r="O464" t="s">
        <v>2437</v>
      </c>
      <c r="P464" t="s">
        <v>2437</v>
      </c>
      <c r="R464" t="s">
        <v>2437</v>
      </c>
      <c r="T464" t="s">
        <v>2437</v>
      </c>
      <c r="U464" t="s">
        <v>2437</v>
      </c>
      <c r="V464" t="s">
        <v>2437</v>
      </c>
      <c r="Y464" t="s">
        <v>6948</v>
      </c>
      <c r="Z464" t="s">
        <v>6949</v>
      </c>
      <c r="AA464" t="s">
        <v>6950</v>
      </c>
      <c r="AB464" t="s">
        <v>6951</v>
      </c>
      <c r="AC464" t="s">
        <v>6952</v>
      </c>
      <c r="AD464" t="s">
        <v>6953</v>
      </c>
      <c r="AE464" t="s">
        <v>6954</v>
      </c>
      <c r="AF464" t="s">
        <v>6955</v>
      </c>
      <c r="AG464" t="s">
        <v>6956</v>
      </c>
      <c r="AH464" t="s">
        <v>6957</v>
      </c>
      <c r="AI464" t="s">
        <v>6958</v>
      </c>
      <c r="AJ464" t="s">
        <v>6959</v>
      </c>
      <c r="AR464" t="s">
        <v>4284</v>
      </c>
    </row>
    <row r="465" spans="1:44">
      <c r="A465">
        <v>11126747</v>
      </c>
      <c r="B465" t="s">
        <v>559</v>
      </c>
      <c r="C465" t="s">
        <v>1001</v>
      </c>
      <c r="D465" t="s">
        <v>1760</v>
      </c>
      <c r="E465" t="s">
        <v>1511</v>
      </c>
      <c r="F465" t="s">
        <v>1512</v>
      </c>
      <c r="G465" t="s">
        <v>1513</v>
      </c>
      <c r="H465" t="s">
        <v>2236</v>
      </c>
      <c r="I465" t="s">
        <v>4427</v>
      </c>
      <c r="J465" t="s">
        <v>2552</v>
      </c>
      <c r="K465" t="s">
        <v>2553</v>
      </c>
      <c r="M465">
        <v>50</v>
      </c>
      <c r="N465">
        <v>70</v>
      </c>
      <c r="O465" t="s">
        <v>2437</v>
      </c>
      <c r="P465" t="s">
        <v>2437</v>
      </c>
      <c r="R465" t="s">
        <v>2437</v>
      </c>
      <c r="T465" t="s">
        <v>2437</v>
      </c>
      <c r="U465" t="s">
        <v>2437</v>
      </c>
      <c r="V465" t="s">
        <v>2437</v>
      </c>
      <c r="Y465" t="s">
        <v>6948</v>
      </c>
      <c r="Z465" t="s">
        <v>6949</v>
      </c>
      <c r="AA465" t="s">
        <v>6950</v>
      </c>
      <c r="AB465" t="s">
        <v>6951</v>
      </c>
      <c r="AC465" t="s">
        <v>6952</v>
      </c>
      <c r="AD465" t="s">
        <v>6953</v>
      </c>
      <c r="AE465" t="s">
        <v>6954</v>
      </c>
      <c r="AF465" t="s">
        <v>6955</v>
      </c>
      <c r="AG465" t="s">
        <v>6956</v>
      </c>
      <c r="AH465" t="s">
        <v>6957</v>
      </c>
      <c r="AI465" t="s">
        <v>6958</v>
      </c>
      <c r="AJ465" t="s">
        <v>6959</v>
      </c>
      <c r="AR465" t="s">
        <v>4284</v>
      </c>
    </row>
    <row r="466" spans="1:44">
      <c r="A466">
        <v>11123346</v>
      </c>
      <c r="B466" t="s">
        <v>560</v>
      </c>
      <c r="C466" t="s">
        <v>1297</v>
      </c>
      <c r="D466" t="s">
        <v>1722</v>
      </c>
      <c r="E466" t="s">
        <v>1723</v>
      </c>
      <c r="F466" t="s">
        <v>1724</v>
      </c>
      <c r="G466" t="s">
        <v>1725</v>
      </c>
      <c r="H466" t="s">
        <v>2333</v>
      </c>
      <c r="I466" t="s">
        <v>4508</v>
      </c>
      <c r="J466" t="s">
        <v>3324</v>
      </c>
      <c r="K466" t="s">
        <v>3325</v>
      </c>
      <c r="M466">
        <v>60</v>
      </c>
      <c r="N466">
        <v>70</v>
      </c>
      <c r="O466" t="s">
        <v>2437</v>
      </c>
      <c r="P466" t="s">
        <v>2437</v>
      </c>
      <c r="R466" t="s">
        <v>2437</v>
      </c>
      <c r="T466" t="s">
        <v>2437</v>
      </c>
      <c r="U466" t="s">
        <v>2437</v>
      </c>
      <c r="V466" t="s">
        <v>2437</v>
      </c>
      <c r="Y466" t="s">
        <v>6948</v>
      </c>
      <c r="Z466" t="s">
        <v>6949</v>
      </c>
      <c r="AA466" t="s">
        <v>6950</v>
      </c>
      <c r="AB466" t="s">
        <v>6951</v>
      </c>
      <c r="AC466" t="s">
        <v>6952</v>
      </c>
      <c r="AD466" t="s">
        <v>6953</v>
      </c>
      <c r="AE466" t="s">
        <v>6961</v>
      </c>
      <c r="AF466" t="s">
        <v>6962</v>
      </c>
      <c r="AG466" t="s">
        <v>6963</v>
      </c>
      <c r="AH466" t="s">
        <v>6964</v>
      </c>
      <c r="AI466" t="s">
        <v>6965</v>
      </c>
      <c r="AJ466" t="s">
        <v>6966</v>
      </c>
      <c r="AR466" t="s">
        <v>4284</v>
      </c>
    </row>
    <row r="467" spans="1:44">
      <c r="A467">
        <v>11123348</v>
      </c>
      <c r="B467" t="s">
        <v>561</v>
      </c>
      <c r="C467" t="s">
        <v>1298</v>
      </c>
      <c r="D467" t="s">
        <v>1722</v>
      </c>
      <c r="E467" t="s">
        <v>1723</v>
      </c>
      <c r="F467" t="s">
        <v>1724</v>
      </c>
      <c r="G467" t="s">
        <v>1725</v>
      </c>
      <c r="H467" t="s">
        <v>2334</v>
      </c>
      <c r="I467" t="s">
        <v>4509</v>
      </c>
      <c r="J467" t="s">
        <v>3326</v>
      </c>
      <c r="K467" t="s">
        <v>3327</v>
      </c>
      <c r="M467">
        <v>60</v>
      </c>
      <c r="N467">
        <v>70</v>
      </c>
      <c r="O467" t="s">
        <v>2437</v>
      </c>
      <c r="P467" t="s">
        <v>2437</v>
      </c>
      <c r="R467" t="s">
        <v>2437</v>
      </c>
      <c r="T467" t="s">
        <v>2437</v>
      </c>
      <c r="U467" t="s">
        <v>2437</v>
      </c>
      <c r="V467" t="s">
        <v>2437</v>
      </c>
      <c r="Y467" t="s">
        <v>6948</v>
      </c>
      <c r="Z467" t="s">
        <v>6949</v>
      </c>
      <c r="AA467" t="s">
        <v>6950</v>
      </c>
      <c r="AB467" t="s">
        <v>6951</v>
      </c>
      <c r="AC467" t="s">
        <v>6952</v>
      </c>
      <c r="AD467" t="s">
        <v>6953</v>
      </c>
      <c r="AE467" t="s">
        <v>6961</v>
      </c>
      <c r="AF467" t="s">
        <v>6962</v>
      </c>
      <c r="AG467" t="s">
        <v>6963</v>
      </c>
      <c r="AH467" t="s">
        <v>6964</v>
      </c>
      <c r="AI467" t="s">
        <v>6965</v>
      </c>
      <c r="AJ467" t="s">
        <v>6966</v>
      </c>
      <c r="AR467" t="s">
        <v>4284</v>
      </c>
    </row>
    <row r="468" spans="1:44">
      <c r="A468">
        <v>11125421</v>
      </c>
      <c r="B468" t="s">
        <v>562</v>
      </c>
      <c r="C468" t="s">
        <v>1203</v>
      </c>
      <c r="D468" t="s">
        <v>1816</v>
      </c>
      <c r="E468" t="s">
        <v>1817</v>
      </c>
      <c r="F468" t="s">
        <v>1818</v>
      </c>
      <c r="G468" t="s">
        <v>1819</v>
      </c>
      <c r="H468" t="s">
        <v>2335</v>
      </c>
      <c r="I468" t="s">
        <v>4510</v>
      </c>
      <c r="J468" t="s">
        <v>3328</v>
      </c>
      <c r="K468" t="s">
        <v>3329</v>
      </c>
      <c r="M468">
        <v>50</v>
      </c>
      <c r="N468">
        <v>70</v>
      </c>
      <c r="O468">
        <v>68</v>
      </c>
      <c r="P468">
        <v>105</v>
      </c>
      <c r="R468" t="s">
        <v>2437</v>
      </c>
      <c r="T468" t="s">
        <v>3330</v>
      </c>
      <c r="U468" t="s">
        <v>3331</v>
      </c>
      <c r="V468" t="s">
        <v>2437</v>
      </c>
      <c r="Y468" t="s">
        <v>6948</v>
      </c>
      <c r="Z468" t="s">
        <v>6949</v>
      </c>
      <c r="AA468" t="s">
        <v>6950</v>
      </c>
      <c r="AB468" t="s">
        <v>6951</v>
      </c>
      <c r="AC468" t="s">
        <v>6952</v>
      </c>
      <c r="AD468" t="s">
        <v>6953</v>
      </c>
      <c r="AE468" t="s">
        <v>6954</v>
      </c>
      <c r="AF468" t="s">
        <v>6955</v>
      </c>
      <c r="AG468" t="s">
        <v>6956</v>
      </c>
      <c r="AH468" t="s">
        <v>6957</v>
      </c>
      <c r="AI468" t="s">
        <v>6958</v>
      </c>
      <c r="AJ468" t="s">
        <v>6959</v>
      </c>
      <c r="AK468" t="s">
        <v>6969</v>
      </c>
      <c r="AL468" t="s">
        <v>6970</v>
      </c>
      <c r="AM468" t="s">
        <v>6971</v>
      </c>
      <c r="AN468" t="s">
        <v>6972</v>
      </c>
      <c r="AR468" t="s">
        <v>4284</v>
      </c>
    </row>
    <row r="469" spans="1:44">
      <c r="A469">
        <v>11124642</v>
      </c>
      <c r="B469" t="s">
        <v>563</v>
      </c>
      <c r="C469" t="s">
        <v>1299</v>
      </c>
      <c r="D469" t="s">
        <v>1820</v>
      </c>
      <c r="E469" t="s">
        <v>1821</v>
      </c>
      <c r="F469" t="s">
        <v>1752</v>
      </c>
      <c r="G469" t="s">
        <v>1753</v>
      </c>
      <c r="H469" t="s">
        <v>2336</v>
      </c>
      <c r="I469" t="s">
        <v>4511</v>
      </c>
      <c r="J469" t="s">
        <v>3332</v>
      </c>
      <c r="K469" t="s">
        <v>3333</v>
      </c>
      <c r="M469">
        <v>50</v>
      </c>
      <c r="N469">
        <v>70</v>
      </c>
      <c r="O469" t="s">
        <v>2437</v>
      </c>
      <c r="P469" t="s">
        <v>2437</v>
      </c>
      <c r="R469" t="s">
        <v>2437</v>
      </c>
      <c r="T469" t="s">
        <v>2437</v>
      </c>
      <c r="U469" t="s">
        <v>2437</v>
      </c>
      <c r="V469" t="s">
        <v>2437</v>
      </c>
      <c r="Y469" t="s">
        <v>6948</v>
      </c>
      <c r="Z469" t="s">
        <v>6949</v>
      </c>
      <c r="AA469" t="s">
        <v>6950</v>
      </c>
      <c r="AB469" t="s">
        <v>6951</v>
      </c>
      <c r="AC469" t="s">
        <v>6952</v>
      </c>
      <c r="AD469" t="s">
        <v>6953</v>
      </c>
      <c r="AE469" t="s">
        <v>6954</v>
      </c>
      <c r="AF469" t="s">
        <v>6955</v>
      </c>
      <c r="AG469" t="s">
        <v>6956</v>
      </c>
      <c r="AH469" t="s">
        <v>6957</v>
      </c>
      <c r="AI469" t="s">
        <v>6958</v>
      </c>
      <c r="AJ469" t="s">
        <v>6959</v>
      </c>
      <c r="AR469" t="s">
        <v>4284</v>
      </c>
    </row>
    <row r="470" spans="1:44">
      <c r="A470">
        <v>11126818</v>
      </c>
      <c r="B470" t="s">
        <v>564</v>
      </c>
      <c r="C470" t="s">
        <v>1032</v>
      </c>
      <c r="D470" t="s">
        <v>1822</v>
      </c>
      <c r="E470" t="s">
        <v>1823</v>
      </c>
      <c r="F470" t="s">
        <v>1824</v>
      </c>
      <c r="G470" t="s">
        <v>1825</v>
      </c>
      <c r="H470" t="s">
        <v>2338</v>
      </c>
      <c r="I470" t="s">
        <v>4512</v>
      </c>
      <c r="J470" t="s">
        <v>3334</v>
      </c>
      <c r="K470" t="s">
        <v>3335</v>
      </c>
      <c r="M470">
        <v>50</v>
      </c>
      <c r="N470">
        <v>70</v>
      </c>
      <c r="O470" t="s">
        <v>2437</v>
      </c>
      <c r="P470" t="s">
        <v>2437</v>
      </c>
      <c r="R470" t="s">
        <v>2437</v>
      </c>
      <c r="T470" t="s">
        <v>2437</v>
      </c>
      <c r="U470" t="s">
        <v>2437</v>
      </c>
      <c r="V470" t="s">
        <v>2437</v>
      </c>
      <c r="Y470" t="s">
        <v>6948</v>
      </c>
      <c r="Z470" t="s">
        <v>6949</v>
      </c>
      <c r="AA470" t="s">
        <v>6950</v>
      </c>
      <c r="AB470" t="s">
        <v>6951</v>
      </c>
      <c r="AC470" t="s">
        <v>6952</v>
      </c>
      <c r="AD470" t="s">
        <v>6953</v>
      </c>
      <c r="AE470" t="s">
        <v>6954</v>
      </c>
      <c r="AF470" t="s">
        <v>6955</v>
      </c>
      <c r="AG470" t="s">
        <v>6956</v>
      </c>
      <c r="AH470" t="s">
        <v>6957</v>
      </c>
      <c r="AI470" t="s">
        <v>6958</v>
      </c>
      <c r="AJ470" t="s">
        <v>6959</v>
      </c>
      <c r="AR470" t="s">
        <v>4284</v>
      </c>
    </row>
    <row r="471" spans="1:44">
      <c r="A471">
        <v>11126819</v>
      </c>
      <c r="B471" t="s">
        <v>565</v>
      </c>
      <c r="C471" t="s">
        <v>965</v>
      </c>
      <c r="D471" t="s">
        <v>1826</v>
      </c>
      <c r="E471" t="s">
        <v>1563</v>
      </c>
      <c r="F471" t="s">
        <v>1564</v>
      </c>
      <c r="G471" t="s">
        <v>1565</v>
      </c>
      <c r="H471" t="s">
        <v>2228</v>
      </c>
      <c r="I471" t="s">
        <v>4370</v>
      </c>
      <c r="J471" t="s">
        <v>2642</v>
      </c>
      <c r="K471" t="s">
        <v>2643</v>
      </c>
      <c r="M471">
        <v>50</v>
      </c>
      <c r="N471">
        <v>70</v>
      </c>
      <c r="O471" t="s">
        <v>2437</v>
      </c>
      <c r="P471" t="s">
        <v>2437</v>
      </c>
      <c r="R471" t="s">
        <v>2437</v>
      </c>
      <c r="T471" t="s">
        <v>2437</v>
      </c>
      <c r="U471" t="s">
        <v>2437</v>
      </c>
      <c r="V471" t="s">
        <v>2437</v>
      </c>
      <c r="Y471" t="s">
        <v>6948</v>
      </c>
      <c r="Z471" t="s">
        <v>6949</v>
      </c>
      <c r="AA471" t="s">
        <v>6950</v>
      </c>
      <c r="AB471" t="s">
        <v>6951</v>
      </c>
      <c r="AC471" t="s">
        <v>6952</v>
      </c>
      <c r="AD471" t="s">
        <v>6953</v>
      </c>
      <c r="AE471" t="s">
        <v>6954</v>
      </c>
      <c r="AF471" t="s">
        <v>6955</v>
      </c>
      <c r="AG471" t="s">
        <v>6956</v>
      </c>
      <c r="AH471" t="s">
        <v>6957</v>
      </c>
      <c r="AI471" t="s">
        <v>6958</v>
      </c>
      <c r="AJ471" t="s">
        <v>6959</v>
      </c>
      <c r="AR471" t="s">
        <v>4284</v>
      </c>
    </row>
    <row r="472" spans="1:44">
      <c r="A472">
        <v>11126820</v>
      </c>
      <c r="B472" t="s">
        <v>566</v>
      </c>
      <c r="C472" t="s">
        <v>1206</v>
      </c>
      <c r="D472" t="s">
        <v>1826</v>
      </c>
      <c r="E472" t="s">
        <v>1563</v>
      </c>
      <c r="F472" t="s">
        <v>1564</v>
      </c>
      <c r="G472" t="s">
        <v>1565</v>
      </c>
      <c r="H472" t="s">
        <v>2229</v>
      </c>
      <c r="I472" t="s">
        <v>4420</v>
      </c>
      <c r="J472" t="s">
        <v>3336</v>
      </c>
      <c r="K472" t="s">
        <v>3337</v>
      </c>
      <c r="M472">
        <v>50</v>
      </c>
      <c r="N472">
        <v>70</v>
      </c>
      <c r="O472" t="s">
        <v>2437</v>
      </c>
      <c r="P472" t="s">
        <v>2437</v>
      </c>
      <c r="R472" t="s">
        <v>2437</v>
      </c>
      <c r="T472" t="s">
        <v>2437</v>
      </c>
      <c r="U472" t="s">
        <v>2437</v>
      </c>
      <c r="V472" t="s">
        <v>2437</v>
      </c>
      <c r="Y472" t="s">
        <v>6948</v>
      </c>
      <c r="Z472" t="s">
        <v>6949</v>
      </c>
      <c r="AA472" t="s">
        <v>6950</v>
      </c>
      <c r="AB472" t="s">
        <v>6951</v>
      </c>
      <c r="AC472" t="s">
        <v>6952</v>
      </c>
      <c r="AD472" t="s">
        <v>6953</v>
      </c>
      <c r="AE472" t="s">
        <v>6954</v>
      </c>
      <c r="AF472" t="s">
        <v>6955</v>
      </c>
      <c r="AG472" t="s">
        <v>6956</v>
      </c>
      <c r="AH472" t="s">
        <v>6957</v>
      </c>
      <c r="AI472" t="s">
        <v>6958</v>
      </c>
      <c r="AJ472" t="s">
        <v>6959</v>
      </c>
      <c r="AR472" t="s">
        <v>4284</v>
      </c>
    </row>
    <row r="473" spans="1:44">
      <c r="A473">
        <v>11126821</v>
      </c>
      <c r="B473" t="s">
        <v>567</v>
      </c>
      <c r="C473" t="s">
        <v>977</v>
      </c>
      <c r="D473" t="s">
        <v>1826</v>
      </c>
      <c r="E473" t="s">
        <v>1563</v>
      </c>
      <c r="F473" t="s">
        <v>1564</v>
      </c>
      <c r="G473" t="s">
        <v>1565</v>
      </c>
      <c r="H473" t="s">
        <v>2230</v>
      </c>
      <c r="I473" t="s">
        <v>4421</v>
      </c>
      <c r="J473" t="s">
        <v>3338</v>
      </c>
      <c r="K473" t="s">
        <v>3339</v>
      </c>
      <c r="M473">
        <v>50</v>
      </c>
      <c r="N473">
        <v>70</v>
      </c>
      <c r="O473" t="s">
        <v>2437</v>
      </c>
      <c r="P473" t="s">
        <v>2437</v>
      </c>
      <c r="R473" t="s">
        <v>2437</v>
      </c>
      <c r="T473" t="s">
        <v>2437</v>
      </c>
      <c r="U473" t="s">
        <v>2437</v>
      </c>
      <c r="V473" t="s">
        <v>2437</v>
      </c>
      <c r="Y473" t="s">
        <v>6948</v>
      </c>
      <c r="Z473" t="s">
        <v>6949</v>
      </c>
      <c r="AA473" t="s">
        <v>6950</v>
      </c>
      <c r="AB473" t="s">
        <v>6951</v>
      </c>
      <c r="AC473" t="s">
        <v>6952</v>
      </c>
      <c r="AD473" t="s">
        <v>6953</v>
      </c>
      <c r="AE473" t="s">
        <v>6954</v>
      </c>
      <c r="AF473" t="s">
        <v>6955</v>
      </c>
      <c r="AG473" t="s">
        <v>6956</v>
      </c>
      <c r="AH473" t="s">
        <v>6957</v>
      </c>
      <c r="AI473" t="s">
        <v>6958</v>
      </c>
      <c r="AJ473" t="s">
        <v>6959</v>
      </c>
      <c r="AR473" t="s">
        <v>4284</v>
      </c>
    </row>
    <row r="474" spans="1:44">
      <c r="A474">
        <v>11126822</v>
      </c>
      <c r="B474" t="s">
        <v>568</v>
      </c>
      <c r="C474" t="s">
        <v>976</v>
      </c>
      <c r="D474" t="s">
        <v>1826</v>
      </c>
      <c r="E474" t="s">
        <v>1563</v>
      </c>
      <c r="F474" t="s">
        <v>1564</v>
      </c>
      <c r="G474" t="s">
        <v>1565</v>
      </c>
      <c r="H474" t="s">
        <v>2231</v>
      </c>
      <c r="I474" t="s">
        <v>4422</v>
      </c>
      <c r="J474" t="s">
        <v>3340</v>
      </c>
      <c r="K474" t="s">
        <v>3341</v>
      </c>
      <c r="M474">
        <v>50</v>
      </c>
      <c r="N474">
        <v>70</v>
      </c>
      <c r="O474" t="s">
        <v>2437</v>
      </c>
      <c r="P474" t="s">
        <v>2437</v>
      </c>
      <c r="R474" t="s">
        <v>2437</v>
      </c>
      <c r="T474" t="s">
        <v>2437</v>
      </c>
      <c r="U474" t="s">
        <v>2437</v>
      </c>
      <c r="V474" t="s">
        <v>2437</v>
      </c>
      <c r="Y474" t="s">
        <v>6948</v>
      </c>
      <c r="Z474" t="s">
        <v>6949</v>
      </c>
      <c r="AA474" t="s">
        <v>6950</v>
      </c>
      <c r="AB474" t="s">
        <v>6951</v>
      </c>
      <c r="AC474" t="s">
        <v>6952</v>
      </c>
      <c r="AD474" t="s">
        <v>6953</v>
      </c>
      <c r="AE474" t="s">
        <v>6954</v>
      </c>
      <c r="AF474" t="s">
        <v>6955</v>
      </c>
      <c r="AG474" t="s">
        <v>6956</v>
      </c>
      <c r="AH474" t="s">
        <v>6957</v>
      </c>
      <c r="AI474" t="s">
        <v>6958</v>
      </c>
      <c r="AJ474" t="s">
        <v>6959</v>
      </c>
      <c r="AR474" t="s">
        <v>4284</v>
      </c>
    </row>
    <row r="475" spans="1:44">
      <c r="A475">
        <v>11126823</v>
      </c>
      <c r="B475" t="s">
        <v>569</v>
      </c>
      <c r="C475" t="s">
        <v>1204</v>
      </c>
      <c r="D475" t="s">
        <v>1827</v>
      </c>
      <c r="E475" t="s">
        <v>1828</v>
      </c>
      <c r="F475" t="s">
        <v>1564</v>
      </c>
      <c r="G475" t="s">
        <v>1565</v>
      </c>
      <c r="H475" t="s">
        <v>2226</v>
      </c>
      <c r="I475" t="s">
        <v>4418</v>
      </c>
      <c r="J475" t="s">
        <v>3342</v>
      </c>
      <c r="K475" t="s">
        <v>3343</v>
      </c>
      <c r="M475">
        <v>50</v>
      </c>
      <c r="N475">
        <v>70</v>
      </c>
      <c r="O475" t="s">
        <v>2437</v>
      </c>
      <c r="P475" t="s">
        <v>2437</v>
      </c>
      <c r="R475" t="s">
        <v>2437</v>
      </c>
      <c r="T475" t="s">
        <v>2437</v>
      </c>
      <c r="U475" t="s">
        <v>2437</v>
      </c>
      <c r="V475" t="s">
        <v>2437</v>
      </c>
      <c r="Y475" t="s">
        <v>6948</v>
      </c>
      <c r="Z475" t="s">
        <v>6949</v>
      </c>
      <c r="AA475" t="s">
        <v>6950</v>
      </c>
      <c r="AB475" t="s">
        <v>6951</v>
      </c>
      <c r="AC475" t="s">
        <v>6952</v>
      </c>
      <c r="AD475" t="s">
        <v>6953</v>
      </c>
      <c r="AE475" t="s">
        <v>6954</v>
      </c>
      <c r="AF475" t="s">
        <v>6955</v>
      </c>
      <c r="AG475" t="s">
        <v>6956</v>
      </c>
      <c r="AH475" t="s">
        <v>6957</v>
      </c>
      <c r="AI475" t="s">
        <v>6958</v>
      </c>
      <c r="AJ475" t="s">
        <v>6959</v>
      </c>
      <c r="AR475" t="s">
        <v>4284</v>
      </c>
    </row>
    <row r="476" spans="1:44">
      <c r="A476">
        <v>11126824</v>
      </c>
      <c r="B476" t="s">
        <v>570</v>
      </c>
      <c r="C476" t="s">
        <v>1205</v>
      </c>
      <c r="D476" t="s">
        <v>1827</v>
      </c>
      <c r="E476" t="s">
        <v>1828</v>
      </c>
      <c r="F476" t="s">
        <v>1564</v>
      </c>
      <c r="G476" t="s">
        <v>1565</v>
      </c>
      <c r="H476" t="s">
        <v>2227</v>
      </c>
      <c r="I476" t="s">
        <v>4419</v>
      </c>
      <c r="J476" t="s">
        <v>3344</v>
      </c>
      <c r="K476" t="s">
        <v>3345</v>
      </c>
      <c r="M476">
        <v>50</v>
      </c>
      <c r="N476">
        <v>70</v>
      </c>
      <c r="O476" t="s">
        <v>2437</v>
      </c>
      <c r="P476" t="s">
        <v>2437</v>
      </c>
      <c r="R476" t="s">
        <v>2437</v>
      </c>
      <c r="T476" t="s">
        <v>2437</v>
      </c>
      <c r="U476" t="s">
        <v>2437</v>
      </c>
      <c r="V476" t="s">
        <v>2437</v>
      </c>
      <c r="Y476" t="s">
        <v>6948</v>
      </c>
      <c r="Z476" t="s">
        <v>6949</v>
      </c>
      <c r="AA476" t="s">
        <v>6950</v>
      </c>
      <c r="AB476" t="s">
        <v>6951</v>
      </c>
      <c r="AC476" t="s">
        <v>6952</v>
      </c>
      <c r="AD476" t="s">
        <v>6953</v>
      </c>
      <c r="AE476" t="s">
        <v>6954</v>
      </c>
      <c r="AF476" t="s">
        <v>6955</v>
      </c>
      <c r="AG476" t="s">
        <v>6956</v>
      </c>
      <c r="AH476" t="s">
        <v>6957</v>
      </c>
      <c r="AI476" t="s">
        <v>6958</v>
      </c>
      <c r="AJ476" t="s">
        <v>6959</v>
      </c>
      <c r="AR476" t="s">
        <v>4284</v>
      </c>
    </row>
    <row r="477" spans="1:44">
      <c r="A477">
        <v>11126825</v>
      </c>
      <c r="B477" t="s">
        <v>571</v>
      </c>
      <c r="C477" t="s">
        <v>1198</v>
      </c>
      <c r="D477" t="s">
        <v>1829</v>
      </c>
      <c r="E477" t="s">
        <v>1830</v>
      </c>
      <c r="F477" t="s">
        <v>1831</v>
      </c>
      <c r="G477" t="s">
        <v>1832</v>
      </c>
      <c r="H477" t="s">
        <v>2339</v>
      </c>
      <c r="I477" t="s">
        <v>4513</v>
      </c>
      <c r="J477" t="s">
        <v>3346</v>
      </c>
      <c r="K477" t="s">
        <v>3347</v>
      </c>
      <c r="M477">
        <v>50</v>
      </c>
      <c r="N477">
        <v>70</v>
      </c>
      <c r="O477" t="s">
        <v>2437</v>
      </c>
      <c r="P477" t="s">
        <v>2437</v>
      </c>
      <c r="R477" t="s">
        <v>2437</v>
      </c>
      <c r="T477" t="s">
        <v>2437</v>
      </c>
      <c r="U477" t="s">
        <v>2437</v>
      </c>
      <c r="V477" t="s">
        <v>2437</v>
      </c>
      <c r="Y477" t="s">
        <v>6948</v>
      </c>
      <c r="Z477" t="s">
        <v>6949</v>
      </c>
      <c r="AA477" t="s">
        <v>6950</v>
      </c>
      <c r="AB477" t="s">
        <v>6951</v>
      </c>
      <c r="AC477" t="s">
        <v>6952</v>
      </c>
      <c r="AD477" t="s">
        <v>6953</v>
      </c>
      <c r="AE477" t="s">
        <v>6954</v>
      </c>
      <c r="AF477" t="s">
        <v>6955</v>
      </c>
      <c r="AG477" t="s">
        <v>6956</v>
      </c>
      <c r="AH477" t="s">
        <v>6957</v>
      </c>
      <c r="AI477" t="s">
        <v>6958</v>
      </c>
      <c r="AJ477" t="s">
        <v>6959</v>
      </c>
      <c r="AR477" t="s">
        <v>4284</v>
      </c>
    </row>
    <row r="478" spans="1:44">
      <c r="A478">
        <v>11126826</v>
      </c>
      <c r="B478" t="s">
        <v>572</v>
      </c>
      <c r="C478" t="s">
        <v>1015</v>
      </c>
      <c r="D478" t="s">
        <v>1829</v>
      </c>
      <c r="E478" t="s">
        <v>1830</v>
      </c>
      <c r="F478" t="s">
        <v>1831</v>
      </c>
      <c r="G478" t="s">
        <v>1832</v>
      </c>
      <c r="H478" t="s">
        <v>2340</v>
      </c>
      <c r="I478" t="s">
        <v>4514</v>
      </c>
      <c r="J478" t="s">
        <v>3348</v>
      </c>
      <c r="K478" t="s">
        <v>3349</v>
      </c>
      <c r="M478">
        <v>50</v>
      </c>
      <c r="N478">
        <v>70</v>
      </c>
      <c r="O478" t="s">
        <v>2437</v>
      </c>
      <c r="P478" t="s">
        <v>2437</v>
      </c>
      <c r="R478" t="s">
        <v>2437</v>
      </c>
      <c r="T478" t="s">
        <v>2437</v>
      </c>
      <c r="U478" t="s">
        <v>2437</v>
      </c>
      <c r="V478" t="s">
        <v>2437</v>
      </c>
      <c r="Y478" t="s">
        <v>6948</v>
      </c>
      <c r="Z478" t="s">
        <v>6949</v>
      </c>
      <c r="AA478" t="s">
        <v>6950</v>
      </c>
      <c r="AB478" t="s">
        <v>6951</v>
      </c>
      <c r="AC478" t="s">
        <v>6952</v>
      </c>
      <c r="AD478" t="s">
        <v>6953</v>
      </c>
      <c r="AE478" t="s">
        <v>6954</v>
      </c>
      <c r="AF478" t="s">
        <v>6955</v>
      </c>
      <c r="AG478" t="s">
        <v>6956</v>
      </c>
      <c r="AH478" t="s">
        <v>6957</v>
      </c>
      <c r="AI478" t="s">
        <v>6958</v>
      </c>
      <c r="AJ478" t="s">
        <v>6959</v>
      </c>
      <c r="AR478" t="s">
        <v>4284</v>
      </c>
    </row>
    <row r="479" spans="1:44">
      <c r="A479">
        <v>11126827</v>
      </c>
      <c r="B479" t="s">
        <v>573</v>
      </c>
      <c r="C479" t="s">
        <v>1016</v>
      </c>
      <c r="D479" t="s">
        <v>1829</v>
      </c>
      <c r="E479" t="s">
        <v>1830</v>
      </c>
      <c r="F479" t="s">
        <v>1831</v>
      </c>
      <c r="G479" t="s">
        <v>1832</v>
      </c>
      <c r="H479" t="s">
        <v>2341</v>
      </c>
      <c r="I479" t="s">
        <v>4515</v>
      </c>
      <c r="J479" t="s">
        <v>3350</v>
      </c>
      <c r="K479" t="s">
        <v>3351</v>
      </c>
      <c r="M479">
        <v>50</v>
      </c>
      <c r="N479">
        <v>70</v>
      </c>
      <c r="O479" t="s">
        <v>2437</v>
      </c>
      <c r="P479" t="s">
        <v>2437</v>
      </c>
      <c r="R479" t="s">
        <v>2437</v>
      </c>
      <c r="T479" t="s">
        <v>2437</v>
      </c>
      <c r="U479" t="s">
        <v>2437</v>
      </c>
      <c r="V479" t="s">
        <v>2437</v>
      </c>
      <c r="Y479" t="s">
        <v>6948</v>
      </c>
      <c r="Z479" t="s">
        <v>6949</v>
      </c>
      <c r="AA479" t="s">
        <v>6950</v>
      </c>
      <c r="AB479" t="s">
        <v>6951</v>
      </c>
      <c r="AC479" t="s">
        <v>6952</v>
      </c>
      <c r="AD479" t="s">
        <v>6953</v>
      </c>
      <c r="AE479" t="s">
        <v>6954</v>
      </c>
      <c r="AF479" t="s">
        <v>6955</v>
      </c>
      <c r="AG479" t="s">
        <v>6956</v>
      </c>
      <c r="AH479" t="s">
        <v>6957</v>
      </c>
      <c r="AI479" t="s">
        <v>6958</v>
      </c>
      <c r="AJ479" t="s">
        <v>6959</v>
      </c>
      <c r="AR479" t="s">
        <v>4284</v>
      </c>
    </row>
    <row r="480" spans="1:44">
      <c r="A480">
        <v>11126828</v>
      </c>
      <c r="B480" t="s">
        <v>574</v>
      </c>
      <c r="C480" t="s">
        <v>1017</v>
      </c>
      <c r="D480" t="s">
        <v>1829</v>
      </c>
      <c r="E480" t="s">
        <v>1830</v>
      </c>
      <c r="F480" t="s">
        <v>1831</v>
      </c>
      <c r="G480" t="s">
        <v>1832</v>
      </c>
      <c r="H480" t="s">
        <v>2342</v>
      </c>
      <c r="I480" t="s">
        <v>4516</v>
      </c>
      <c r="J480" t="s">
        <v>3352</v>
      </c>
      <c r="K480" t="s">
        <v>3353</v>
      </c>
      <c r="M480">
        <v>50</v>
      </c>
      <c r="N480">
        <v>70</v>
      </c>
      <c r="O480" t="s">
        <v>2437</v>
      </c>
      <c r="P480" t="s">
        <v>2437</v>
      </c>
      <c r="R480" t="s">
        <v>2437</v>
      </c>
      <c r="T480" t="s">
        <v>2437</v>
      </c>
      <c r="U480" t="s">
        <v>2437</v>
      </c>
      <c r="V480" t="s">
        <v>2437</v>
      </c>
      <c r="Y480" t="s">
        <v>6948</v>
      </c>
      <c r="Z480" t="s">
        <v>6949</v>
      </c>
      <c r="AA480" t="s">
        <v>6950</v>
      </c>
      <c r="AB480" t="s">
        <v>6951</v>
      </c>
      <c r="AC480" t="s">
        <v>6952</v>
      </c>
      <c r="AD480" t="s">
        <v>6953</v>
      </c>
      <c r="AE480" t="s">
        <v>6954</v>
      </c>
      <c r="AF480" t="s">
        <v>6955</v>
      </c>
      <c r="AG480" t="s">
        <v>6956</v>
      </c>
      <c r="AH480" t="s">
        <v>6957</v>
      </c>
      <c r="AI480" t="s">
        <v>6958</v>
      </c>
      <c r="AJ480" t="s">
        <v>6959</v>
      </c>
      <c r="AR480" t="s">
        <v>4284</v>
      </c>
    </row>
    <row r="481" spans="1:44">
      <c r="A481">
        <v>11126829</v>
      </c>
      <c r="B481" t="s">
        <v>575</v>
      </c>
      <c r="C481" t="s">
        <v>1199</v>
      </c>
      <c r="D481" t="s">
        <v>1833</v>
      </c>
      <c r="E481" t="s">
        <v>1834</v>
      </c>
      <c r="F481" t="s">
        <v>1835</v>
      </c>
      <c r="G481" t="s">
        <v>1836</v>
      </c>
      <c r="H481" t="s">
        <v>2343</v>
      </c>
      <c r="I481" t="s">
        <v>4517</v>
      </c>
      <c r="J481" t="s">
        <v>3354</v>
      </c>
      <c r="K481" t="s">
        <v>3355</v>
      </c>
      <c r="M481">
        <v>50</v>
      </c>
      <c r="N481">
        <v>70</v>
      </c>
      <c r="O481" t="s">
        <v>2437</v>
      </c>
      <c r="P481" t="s">
        <v>2437</v>
      </c>
      <c r="R481" t="s">
        <v>2437</v>
      </c>
      <c r="T481" t="s">
        <v>2437</v>
      </c>
      <c r="U481" t="s">
        <v>2437</v>
      </c>
      <c r="V481" t="s">
        <v>2437</v>
      </c>
      <c r="Y481" t="s">
        <v>6948</v>
      </c>
      <c r="Z481" t="s">
        <v>6949</v>
      </c>
      <c r="AA481" t="s">
        <v>6950</v>
      </c>
      <c r="AB481" t="s">
        <v>6951</v>
      </c>
      <c r="AC481" t="s">
        <v>6952</v>
      </c>
      <c r="AD481" t="s">
        <v>6953</v>
      </c>
      <c r="AE481" t="s">
        <v>6954</v>
      </c>
      <c r="AF481" t="s">
        <v>6955</v>
      </c>
      <c r="AG481" t="s">
        <v>6956</v>
      </c>
      <c r="AH481" t="s">
        <v>6957</v>
      </c>
      <c r="AI481" t="s">
        <v>6958</v>
      </c>
      <c r="AJ481" t="s">
        <v>6959</v>
      </c>
      <c r="AR481" t="s">
        <v>4284</v>
      </c>
    </row>
    <row r="482" spans="1:44">
      <c r="A482">
        <v>11126830</v>
      </c>
      <c r="B482" t="s">
        <v>576</v>
      </c>
      <c r="C482" t="s">
        <v>1012</v>
      </c>
      <c r="D482" t="s">
        <v>1833</v>
      </c>
      <c r="E482" t="s">
        <v>1834</v>
      </c>
      <c r="F482" t="s">
        <v>1835</v>
      </c>
      <c r="G482" t="s">
        <v>1836</v>
      </c>
      <c r="H482" t="s">
        <v>2344</v>
      </c>
      <c r="I482" t="s">
        <v>4518</v>
      </c>
      <c r="J482" t="s">
        <v>3356</v>
      </c>
      <c r="K482" t="s">
        <v>3357</v>
      </c>
      <c r="M482">
        <v>50</v>
      </c>
      <c r="N482">
        <v>70</v>
      </c>
      <c r="O482" t="s">
        <v>2437</v>
      </c>
      <c r="P482" t="s">
        <v>2437</v>
      </c>
      <c r="R482" t="s">
        <v>2437</v>
      </c>
      <c r="T482" t="s">
        <v>2437</v>
      </c>
      <c r="U482" t="s">
        <v>2437</v>
      </c>
      <c r="V482" t="s">
        <v>2437</v>
      </c>
      <c r="Y482" t="s">
        <v>6948</v>
      </c>
      <c r="Z482" t="s">
        <v>6949</v>
      </c>
      <c r="AA482" t="s">
        <v>6950</v>
      </c>
      <c r="AB482" t="s">
        <v>6951</v>
      </c>
      <c r="AC482" t="s">
        <v>6952</v>
      </c>
      <c r="AD482" t="s">
        <v>6953</v>
      </c>
      <c r="AE482" t="s">
        <v>6954</v>
      </c>
      <c r="AF482" t="s">
        <v>6955</v>
      </c>
      <c r="AG482" t="s">
        <v>6956</v>
      </c>
      <c r="AH482" t="s">
        <v>6957</v>
      </c>
      <c r="AI482" t="s">
        <v>6958</v>
      </c>
      <c r="AJ482" t="s">
        <v>6959</v>
      </c>
      <c r="AR482" t="s">
        <v>4284</v>
      </c>
    </row>
    <row r="483" spans="1:44">
      <c r="A483">
        <v>11126831</v>
      </c>
      <c r="B483" t="s">
        <v>577</v>
      </c>
      <c r="C483" t="s">
        <v>1013</v>
      </c>
      <c r="D483" t="s">
        <v>1833</v>
      </c>
      <c r="E483" t="s">
        <v>1834</v>
      </c>
      <c r="F483" t="s">
        <v>1835</v>
      </c>
      <c r="G483" t="s">
        <v>1836</v>
      </c>
      <c r="H483" t="s">
        <v>2345</v>
      </c>
      <c r="I483" t="s">
        <v>4519</v>
      </c>
      <c r="J483" t="s">
        <v>3358</v>
      </c>
      <c r="K483" t="s">
        <v>3359</v>
      </c>
      <c r="M483">
        <v>50</v>
      </c>
      <c r="N483">
        <v>70</v>
      </c>
      <c r="O483" t="s">
        <v>2437</v>
      </c>
      <c r="P483" t="s">
        <v>2437</v>
      </c>
      <c r="R483" t="s">
        <v>2437</v>
      </c>
      <c r="T483" t="s">
        <v>2437</v>
      </c>
      <c r="U483" t="s">
        <v>2437</v>
      </c>
      <c r="V483" t="s">
        <v>2437</v>
      </c>
      <c r="Y483" t="s">
        <v>6948</v>
      </c>
      <c r="Z483" t="s">
        <v>6949</v>
      </c>
      <c r="AA483" t="s">
        <v>6950</v>
      </c>
      <c r="AB483" t="s">
        <v>6951</v>
      </c>
      <c r="AC483" t="s">
        <v>6952</v>
      </c>
      <c r="AD483" t="s">
        <v>6953</v>
      </c>
      <c r="AE483" t="s">
        <v>6954</v>
      </c>
      <c r="AF483" t="s">
        <v>6955</v>
      </c>
      <c r="AG483" t="s">
        <v>6956</v>
      </c>
      <c r="AH483" t="s">
        <v>6957</v>
      </c>
      <c r="AI483" t="s">
        <v>6958</v>
      </c>
      <c r="AJ483" t="s">
        <v>6959</v>
      </c>
      <c r="AR483" t="s">
        <v>4284</v>
      </c>
    </row>
    <row r="484" spans="1:44">
      <c r="A484">
        <v>11126832</v>
      </c>
      <c r="B484" t="s">
        <v>578</v>
      </c>
      <c r="C484" t="s">
        <v>1014</v>
      </c>
      <c r="D484" t="s">
        <v>1833</v>
      </c>
      <c r="E484" t="s">
        <v>1834</v>
      </c>
      <c r="F484" t="s">
        <v>1835</v>
      </c>
      <c r="G484" t="s">
        <v>1836</v>
      </c>
      <c r="H484" t="s">
        <v>2346</v>
      </c>
      <c r="I484" t="s">
        <v>4520</v>
      </c>
      <c r="J484" t="s">
        <v>3360</v>
      </c>
      <c r="K484" t="s">
        <v>3361</v>
      </c>
      <c r="M484">
        <v>50</v>
      </c>
      <c r="N484">
        <v>70</v>
      </c>
      <c r="O484" t="s">
        <v>2437</v>
      </c>
      <c r="P484" t="s">
        <v>2437</v>
      </c>
      <c r="R484" t="s">
        <v>2437</v>
      </c>
      <c r="T484" t="s">
        <v>2437</v>
      </c>
      <c r="U484" t="s">
        <v>2437</v>
      </c>
      <c r="V484" t="s">
        <v>2437</v>
      </c>
      <c r="Y484" t="s">
        <v>6948</v>
      </c>
      <c r="Z484" t="s">
        <v>6949</v>
      </c>
      <c r="AA484" t="s">
        <v>6950</v>
      </c>
      <c r="AB484" t="s">
        <v>6951</v>
      </c>
      <c r="AC484" t="s">
        <v>6952</v>
      </c>
      <c r="AD484" t="s">
        <v>6953</v>
      </c>
      <c r="AE484" t="s">
        <v>6954</v>
      </c>
      <c r="AF484" t="s">
        <v>6955</v>
      </c>
      <c r="AG484" t="s">
        <v>6956</v>
      </c>
      <c r="AH484" t="s">
        <v>6957</v>
      </c>
      <c r="AI484" t="s">
        <v>6958</v>
      </c>
      <c r="AJ484" t="s">
        <v>6959</v>
      </c>
      <c r="AR484" t="s">
        <v>4284</v>
      </c>
    </row>
    <row r="485" spans="1:44">
      <c r="A485">
        <v>11126833</v>
      </c>
      <c r="B485" t="s">
        <v>579</v>
      </c>
      <c r="C485" t="s">
        <v>1200</v>
      </c>
      <c r="D485" t="s">
        <v>1837</v>
      </c>
      <c r="E485" t="s">
        <v>1838</v>
      </c>
      <c r="F485" t="s">
        <v>1839</v>
      </c>
      <c r="G485" t="s">
        <v>1840</v>
      </c>
      <c r="H485" t="s">
        <v>2347</v>
      </c>
      <c r="I485" t="s">
        <v>4521</v>
      </c>
      <c r="J485" t="s">
        <v>3362</v>
      </c>
      <c r="K485" t="s">
        <v>3363</v>
      </c>
      <c r="M485">
        <v>50</v>
      </c>
      <c r="N485">
        <v>70</v>
      </c>
      <c r="O485" t="s">
        <v>2437</v>
      </c>
      <c r="P485" t="s">
        <v>2437</v>
      </c>
      <c r="R485" t="s">
        <v>2437</v>
      </c>
      <c r="T485" t="s">
        <v>2437</v>
      </c>
      <c r="U485" t="s">
        <v>2437</v>
      </c>
      <c r="V485" t="s">
        <v>2437</v>
      </c>
      <c r="Y485" t="s">
        <v>6948</v>
      </c>
      <c r="Z485" t="s">
        <v>6949</v>
      </c>
      <c r="AA485" t="s">
        <v>6950</v>
      </c>
      <c r="AB485" t="s">
        <v>6951</v>
      </c>
      <c r="AC485" t="s">
        <v>6952</v>
      </c>
      <c r="AD485" t="s">
        <v>6953</v>
      </c>
      <c r="AE485" t="s">
        <v>6954</v>
      </c>
      <c r="AF485" t="s">
        <v>6955</v>
      </c>
      <c r="AG485" t="s">
        <v>6956</v>
      </c>
      <c r="AH485" t="s">
        <v>6957</v>
      </c>
      <c r="AI485" t="s">
        <v>6958</v>
      </c>
      <c r="AJ485" t="s">
        <v>6959</v>
      </c>
      <c r="AR485" t="s">
        <v>4284</v>
      </c>
    </row>
    <row r="486" spans="1:44">
      <c r="A486">
        <v>11126834</v>
      </c>
      <c r="B486" t="s">
        <v>580</v>
      </c>
      <c r="C486" t="s">
        <v>1201</v>
      </c>
      <c r="D486" t="s">
        <v>1837</v>
      </c>
      <c r="E486" t="s">
        <v>1838</v>
      </c>
      <c r="F486" t="s">
        <v>1839</v>
      </c>
      <c r="G486" t="s">
        <v>1840</v>
      </c>
      <c r="H486" t="s">
        <v>2348</v>
      </c>
      <c r="I486" t="s">
        <v>4522</v>
      </c>
      <c r="J486" t="s">
        <v>3364</v>
      </c>
      <c r="K486" t="s">
        <v>3365</v>
      </c>
      <c r="M486">
        <v>50</v>
      </c>
      <c r="N486">
        <v>70</v>
      </c>
      <c r="O486" t="s">
        <v>2437</v>
      </c>
      <c r="P486" t="s">
        <v>2437</v>
      </c>
      <c r="R486" t="s">
        <v>2437</v>
      </c>
      <c r="T486" t="s">
        <v>2437</v>
      </c>
      <c r="U486" t="s">
        <v>2437</v>
      </c>
      <c r="V486" t="s">
        <v>2437</v>
      </c>
      <c r="Y486" t="s">
        <v>6948</v>
      </c>
      <c r="Z486" t="s">
        <v>6949</v>
      </c>
      <c r="AA486" t="s">
        <v>6950</v>
      </c>
      <c r="AB486" t="s">
        <v>6951</v>
      </c>
      <c r="AC486" t="s">
        <v>6952</v>
      </c>
      <c r="AD486" t="s">
        <v>6953</v>
      </c>
      <c r="AE486" t="s">
        <v>6954</v>
      </c>
      <c r="AF486" t="s">
        <v>6955</v>
      </c>
      <c r="AG486" t="s">
        <v>6956</v>
      </c>
      <c r="AH486" t="s">
        <v>6957</v>
      </c>
      <c r="AI486" t="s">
        <v>6958</v>
      </c>
      <c r="AJ486" t="s">
        <v>6959</v>
      </c>
      <c r="AR486" t="s">
        <v>4284</v>
      </c>
    </row>
    <row r="487" spans="1:44">
      <c r="A487">
        <v>11126835</v>
      </c>
      <c r="B487" t="s">
        <v>581</v>
      </c>
      <c r="C487" t="s">
        <v>1018</v>
      </c>
      <c r="D487" t="s">
        <v>1837</v>
      </c>
      <c r="E487" t="s">
        <v>1838</v>
      </c>
      <c r="F487" t="s">
        <v>1839</v>
      </c>
      <c r="G487" t="s">
        <v>1840</v>
      </c>
      <c r="H487" t="s">
        <v>2349</v>
      </c>
      <c r="I487" t="s">
        <v>4523</v>
      </c>
      <c r="J487" t="s">
        <v>3366</v>
      </c>
      <c r="K487" t="s">
        <v>3367</v>
      </c>
      <c r="M487">
        <v>50</v>
      </c>
      <c r="N487">
        <v>70</v>
      </c>
      <c r="O487" t="s">
        <v>2437</v>
      </c>
      <c r="P487" t="s">
        <v>2437</v>
      </c>
      <c r="R487" t="s">
        <v>2437</v>
      </c>
      <c r="T487" t="s">
        <v>2437</v>
      </c>
      <c r="U487" t="s">
        <v>2437</v>
      </c>
      <c r="V487" t="s">
        <v>2437</v>
      </c>
      <c r="Y487" t="s">
        <v>6948</v>
      </c>
      <c r="Z487" t="s">
        <v>6949</v>
      </c>
      <c r="AA487" t="s">
        <v>6950</v>
      </c>
      <c r="AB487" t="s">
        <v>6951</v>
      </c>
      <c r="AC487" t="s">
        <v>6952</v>
      </c>
      <c r="AD487" t="s">
        <v>6953</v>
      </c>
      <c r="AE487" t="s">
        <v>6954</v>
      </c>
      <c r="AF487" t="s">
        <v>6955</v>
      </c>
      <c r="AG487" t="s">
        <v>6956</v>
      </c>
      <c r="AH487" t="s">
        <v>6957</v>
      </c>
      <c r="AI487" t="s">
        <v>6958</v>
      </c>
      <c r="AJ487" t="s">
        <v>6959</v>
      </c>
      <c r="AR487" t="s">
        <v>4284</v>
      </c>
    </row>
    <row r="488" spans="1:44">
      <c r="A488">
        <v>11126836</v>
      </c>
      <c r="B488" t="s">
        <v>582</v>
      </c>
      <c r="C488" t="s">
        <v>1019</v>
      </c>
      <c r="D488" t="s">
        <v>1837</v>
      </c>
      <c r="E488" t="s">
        <v>1838</v>
      </c>
      <c r="F488" t="s">
        <v>1839</v>
      </c>
      <c r="G488" t="s">
        <v>1840</v>
      </c>
      <c r="H488" t="s">
        <v>2350</v>
      </c>
      <c r="I488" t="s">
        <v>4524</v>
      </c>
      <c r="J488" t="s">
        <v>3368</v>
      </c>
      <c r="K488" t="s">
        <v>3369</v>
      </c>
      <c r="M488">
        <v>50</v>
      </c>
      <c r="N488">
        <v>70</v>
      </c>
      <c r="O488" t="s">
        <v>2437</v>
      </c>
      <c r="P488" t="s">
        <v>2437</v>
      </c>
      <c r="R488" t="s">
        <v>2437</v>
      </c>
      <c r="T488" t="s">
        <v>2437</v>
      </c>
      <c r="U488" t="s">
        <v>2437</v>
      </c>
      <c r="V488" t="s">
        <v>2437</v>
      </c>
      <c r="Y488" t="s">
        <v>6948</v>
      </c>
      <c r="Z488" t="s">
        <v>6949</v>
      </c>
      <c r="AA488" t="s">
        <v>6950</v>
      </c>
      <c r="AB488" t="s">
        <v>6951</v>
      </c>
      <c r="AC488" t="s">
        <v>6952</v>
      </c>
      <c r="AD488" t="s">
        <v>6953</v>
      </c>
      <c r="AE488" t="s">
        <v>6954</v>
      </c>
      <c r="AF488" t="s">
        <v>6955</v>
      </c>
      <c r="AG488" t="s">
        <v>6956</v>
      </c>
      <c r="AH488" t="s">
        <v>6957</v>
      </c>
      <c r="AI488" t="s">
        <v>6958</v>
      </c>
      <c r="AJ488" t="s">
        <v>6959</v>
      </c>
      <c r="AR488" t="s">
        <v>4284</v>
      </c>
    </row>
    <row r="489" spans="1:44">
      <c r="A489">
        <v>11126837</v>
      </c>
      <c r="B489" t="s">
        <v>583</v>
      </c>
      <c r="C489" t="s">
        <v>1139</v>
      </c>
      <c r="D489" t="s">
        <v>1841</v>
      </c>
      <c r="E489" t="s">
        <v>1842</v>
      </c>
      <c r="F489" t="s">
        <v>1775</v>
      </c>
      <c r="G489" t="s">
        <v>1776</v>
      </c>
      <c r="H489" t="s">
        <v>2199</v>
      </c>
      <c r="I489" t="s">
        <v>4355</v>
      </c>
      <c r="J489" t="s">
        <v>3370</v>
      </c>
      <c r="K489" t="s">
        <v>3371</v>
      </c>
      <c r="M489">
        <v>50</v>
      </c>
      <c r="N489">
        <v>70</v>
      </c>
      <c r="O489" t="s">
        <v>2437</v>
      </c>
      <c r="P489" t="s">
        <v>2437</v>
      </c>
      <c r="R489" t="s">
        <v>2437</v>
      </c>
      <c r="T489" t="s">
        <v>2437</v>
      </c>
      <c r="U489" t="s">
        <v>2437</v>
      </c>
      <c r="V489" t="s">
        <v>2437</v>
      </c>
      <c r="Y489" t="s">
        <v>6948</v>
      </c>
      <c r="Z489" t="s">
        <v>6949</v>
      </c>
      <c r="AA489" t="s">
        <v>6950</v>
      </c>
      <c r="AB489" t="s">
        <v>6951</v>
      </c>
      <c r="AC489" t="s">
        <v>6952</v>
      </c>
      <c r="AD489" t="s">
        <v>6953</v>
      </c>
      <c r="AE489" t="s">
        <v>6954</v>
      </c>
      <c r="AF489" t="s">
        <v>6955</v>
      </c>
      <c r="AG489" t="s">
        <v>6956</v>
      </c>
      <c r="AH489" t="s">
        <v>6957</v>
      </c>
      <c r="AI489" t="s">
        <v>6958</v>
      </c>
      <c r="AJ489" t="s">
        <v>6959</v>
      </c>
      <c r="AR489" t="s">
        <v>4284</v>
      </c>
    </row>
    <row r="490" spans="1:44">
      <c r="A490">
        <v>11126838</v>
      </c>
      <c r="B490" t="s">
        <v>584</v>
      </c>
      <c r="C490" t="s">
        <v>1080</v>
      </c>
      <c r="D490" t="s">
        <v>1841</v>
      </c>
      <c r="E490" t="s">
        <v>1842</v>
      </c>
      <c r="F490" t="s">
        <v>1775</v>
      </c>
      <c r="G490" t="s">
        <v>1776</v>
      </c>
      <c r="H490" t="s">
        <v>2200</v>
      </c>
      <c r="I490" t="s">
        <v>4357</v>
      </c>
      <c r="J490" t="s">
        <v>3372</v>
      </c>
      <c r="K490" t="s">
        <v>3373</v>
      </c>
      <c r="M490">
        <v>50</v>
      </c>
      <c r="N490">
        <v>70</v>
      </c>
      <c r="O490" t="s">
        <v>2437</v>
      </c>
      <c r="P490" t="s">
        <v>2437</v>
      </c>
      <c r="R490" t="s">
        <v>2437</v>
      </c>
      <c r="T490" t="s">
        <v>2437</v>
      </c>
      <c r="U490" t="s">
        <v>2437</v>
      </c>
      <c r="V490" t="s">
        <v>2437</v>
      </c>
      <c r="Y490" t="s">
        <v>6948</v>
      </c>
      <c r="Z490" t="s">
        <v>6949</v>
      </c>
      <c r="AA490" t="s">
        <v>6950</v>
      </c>
      <c r="AB490" t="s">
        <v>6951</v>
      </c>
      <c r="AC490" t="s">
        <v>6952</v>
      </c>
      <c r="AD490" t="s">
        <v>6953</v>
      </c>
      <c r="AE490" t="s">
        <v>6954</v>
      </c>
      <c r="AF490" t="s">
        <v>6955</v>
      </c>
      <c r="AG490" t="s">
        <v>6956</v>
      </c>
      <c r="AH490" t="s">
        <v>6957</v>
      </c>
      <c r="AI490" t="s">
        <v>6958</v>
      </c>
      <c r="AJ490" t="s">
        <v>6959</v>
      </c>
      <c r="AR490" t="s">
        <v>4284</v>
      </c>
    </row>
    <row r="491" spans="1:44">
      <c r="A491">
        <v>11126839</v>
      </c>
      <c r="B491" t="s">
        <v>585</v>
      </c>
      <c r="C491" t="s">
        <v>1140</v>
      </c>
      <c r="D491" t="s">
        <v>1843</v>
      </c>
      <c r="E491" t="s">
        <v>1844</v>
      </c>
      <c r="F491" t="s">
        <v>1845</v>
      </c>
      <c r="G491" t="s">
        <v>1846</v>
      </c>
      <c r="H491" t="s">
        <v>2197</v>
      </c>
      <c r="I491" t="s">
        <v>4354</v>
      </c>
      <c r="J491" t="s">
        <v>3374</v>
      </c>
      <c r="K491" t="s">
        <v>3375</v>
      </c>
      <c r="M491">
        <v>50</v>
      </c>
      <c r="N491">
        <v>70</v>
      </c>
      <c r="O491" t="s">
        <v>2437</v>
      </c>
      <c r="P491" t="s">
        <v>2437</v>
      </c>
      <c r="R491" t="s">
        <v>2437</v>
      </c>
      <c r="T491" t="s">
        <v>2437</v>
      </c>
      <c r="U491" t="s">
        <v>2437</v>
      </c>
      <c r="V491" t="s">
        <v>2437</v>
      </c>
      <c r="Y491" t="s">
        <v>6948</v>
      </c>
      <c r="Z491" t="s">
        <v>6949</v>
      </c>
      <c r="AA491" t="s">
        <v>6950</v>
      </c>
      <c r="AB491" t="s">
        <v>6951</v>
      </c>
      <c r="AC491" t="s">
        <v>6952</v>
      </c>
      <c r="AD491" t="s">
        <v>6953</v>
      </c>
      <c r="AE491" t="s">
        <v>6954</v>
      </c>
      <c r="AF491" t="s">
        <v>6955</v>
      </c>
      <c r="AG491" t="s">
        <v>6956</v>
      </c>
      <c r="AH491" t="s">
        <v>6957</v>
      </c>
      <c r="AI491" t="s">
        <v>6958</v>
      </c>
      <c r="AJ491" t="s">
        <v>6959</v>
      </c>
      <c r="AR491" t="s">
        <v>4284</v>
      </c>
    </row>
    <row r="492" spans="1:44">
      <c r="A492">
        <v>11126840</v>
      </c>
      <c r="B492" t="s">
        <v>586</v>
      </c>
      <c r="C492" t="s">
        <v>1011</v>
      </c>
      <c r="D492" t="s">
        <v>1843</v>
      </c>
      <c r="E492" t="s">
        <v>1844</v>
      </c>
      <c r="F492" t="s">
        <v>1845</v>
      </c>
      <c r="G492" t="s">
        <v>1846</v>
      </c>
      <c r="H492" t="s">
        <v>2198</v>
      </c>
      <c r="I492" t="s">
        <v>4356</v>
      </c>
      <c r="J492" t="s">
        <v>3376</v>
      </c>
      <c r="K492" t="s">
        <v>3377</v>
      </c>
      <c r="M492">
        <v>50</v>
      </c>
      <c r="N492">
        <v>70</v>
      </c>
      <c r="O492" t="s">
        <v>2437</v>
      </c>
      <c r="P492" t="s">
        <v>2437</v>
      </c>
      <c r="R492" t="s">
        <v>2437</v>
      </c>
      <c r="T492" t="s">
        <v>2437</v>
      </c>
      <c r="U492" t="s">
        <v>2437</v>
      </c>
      <c r="V492" t="s">
        <v>2437</v>
      </c>
      <c r="Y492" t="s">
        <v>6948</v>
      </c>
      <c r="Z492" t="s">
        <v>6949</v>
      </c>
      <c r="AA492" t="s">
        <v>6950</v>
      </c>
      <c r="AB492" t="s">
        <v>6951</v>
      </c>
      <c r="AC492" t="s">
        <v>6952</v>
      </c>
      <c r="AD492" t="s">
        <v>6953</v>
      </c>
      <c r="AE492" t="s">
        <v>6954</v>
      </c>
      <c r="AF492" t="s">
        <v>6955</v>
      </c>
      <c r="AG492" t="s">
        <v>6956</v>
      </c>
      <c r="AH492" t="s">
        <v>6957</v>
      </c>
      <c r="AI492" t="s">
        <v>6958</v>
      </c>
      <c r="AJ492" t="s">
        <v>6959</v>
      </c>
      <c r="AR492" t="s">
        <v>4284</v>
      </c>
    </row>
    <row r="493" spans="1:44">
      <c r="A493">
        <v>11126841</v>
      </c>
      <c r="B493" t="s">
        <v>587</v>
      </c>
      <c r="C493" t="s">
        <v>1054</v>
      </c>
      <c r="D493" t="s">
        <v>1847</v>
      </c>
      <c r="E493" t="s">
        <v>1848</v>
      </c>
      <c r="F493" t="s">
        <v>1849</v>
      </c>
      <c r="G493" t="s">
        <v>1850</v>
      </c>
      <c r="H493" t="s">
        <v>2232</v>
      </c>
      <c r="I493" t="s">
        <v>4423</v>
      </c>
      <c r="J493" t="s">
        <v>3378</v>
      </c>
      <c r="K493" t="s">
        <v>3379</v>
      </c>
      <c r="M493">
        <v>50</v>
      </c>
      <c r="N493">
        <v>70</v>
      </c>
      <c r="O493" t="s">
        <v>2437</v>
      </c>
      <c r="P493" t="s">
        <v>2437</v>
      </c>
      <c r="R493" t="s">
        <v>2437</v>
      </c>
      <c r="T493" t="s">
        <v>2437</v>
      </c>
      <c r="U493" t="s">
        <v>2437</v>
      </c>
      <c r="V493" t="s">
        <v>2437</v>
      </c>
      <c r="Y493" t="s">
        <v>6948</v>
      </c>
      <c r="Z493" t="s">
        <v>6949</v>
      </c>
      <c r="AA493" t="s">
        <v>6950</v>
      </c>
      <c r="AB493" t="s">
        <v>6951</v>
      </c>
      <c r="AC493" t="s">
        <v>6952</v>
      </c>
      <c r="AD493" t="s">
        <v>6953</v>
      </c>
      <c r="AE493" t="s">
        <v>6954</v>
      </c>
      <c r="AF493" t="s">
        <v>6955</v>
      </c>
      <c r="AG493" t="s">
        <v>6956</v>
      </c>
      <c r="AH493" t="s">
        <v>6957</v>
      </c>
      <c r="AI493" t="s">
        <v>6958</v>
      </c>
      <c r="AJ493" t="s">
        <v>6959</v>
      </c>
      <c r="AR493" t="s">
        <v>4284</v>
      </c>
    </row>
    <row r="494" spans="1:44">
      <c r="A494">
        <v>11126842</v>
      </c>
      <c r="B494" t="s">
        <v>588</v>
      </c>
      <c r="C494" t="s">
        <v>1156</v>
      </c>
      <c r="D494" t="s">
        <v>1851</v>
      </c>
      <c r="E494" t="s">
        <v>1599</v>
      </c>
      <c r="F494" t="s">
        <v>1852</v>
      </c>
      <c r="G494" t="s">
        <v>1853</v>
      </c>
      <c r="H494" t="s">
        <v>2193</v>
      </c>
      <c r="I494" t="s">
        <v>4391</v>
      </c>
      <c r="J494" t="s">
        <v>2696</v>
      </c>
      <c r="K494" t="s">
        <v>2697</v>
      </c>
      <c r="M494">
        <v>50</v>
      </c>
      <c r="N494">
        <v>70</v>
      </c>
      <c r="O494" t="s">
        <v>2437</v>
      </c>
      <c r="P494" t="s">
        <v>2437</v>
      </c>
      <c r="R494" t="s">
        <v>2437</v>
      </c>
      <c r="T494" t="s">
        <v>2437</v>
      </c>
      <c r="U494" t="s">
        <v>2437</v>
      </c>
      <c r="V494" t="s">
        <v>2437</v>
      </c>
      <c r="Y494" t="s">
        <v>6948</v>
      </c>
      <c r="Z494" t="s">
        <v>6949</v>
      </c>
      <c r="AA494" t="s">
        <v>6950</v>
      </c>
      <c r="AB494" t="s">
        <v>6951</v>
      </c>
      <c r="AC494" t="s">
        <v>6952</v>
      </c>
      <c r="AD494" t="s">
        <v>6953</v>
      </c>
      <c r="AE494" t="s">
        <v>6954</v>
      </c>
      <c r="AF494" t="s">
        <v>6955</v>
      </c>
      <c r="AG494" t="s">
        <v>6956</v>
      </c>
      <c r="AH494" t="s">
        <v>6957</v>
      </c>
      <c r="AI494" t="s">
        <v>6958</v>
      </c>
      <c r="AJ494" t="s">
        <v>6959</v>
      </c>
      <c r="AR494" t="s">
        <v>4284</v>
      </c>
    </row>
    <row r="495" spans="1:44">
      <c r="A495">
        <v>11126843</v>
      </c>
      <c r="B495" t="s">
        <v>589</v>
      </c>
      <c r="C495" t="s">
        <v>1157</v>
      </c>
      <c r="D495" t="s">
        <v>1851</v>
      </c>
      <c r="E495" t="s">
        <v>1599</v>
      </c>
      <c r="F495" t="s">
        <v>1852</v>
      </c>
      <c r="G495" t="s">
        <v>1853</v>
      </c>
      <c r="H495" t="s">
        <v>2207</v>
      </c>
      <c r="I495" t="s">
        <v>4401</v>
      </c>
      <c r="J495" t="s">
        <v>3380</v>
      </c>
      <c r="K495" t="s">
        <v>3381</v>
      </c>
      <c r="M495">
        <v>50</v>
      </c>
      <c r="N495">
        <v>70</v>
      </c>
      <c r="O495" t="s">
        <v>2437</v>
      </c>
      <c r="P495" t="s">
        <v>2437</v>
      </c>
      <c r="R495" t="s">
        <v>2437</v>
      </c>
      <c r="T495" t="s">
        <v>2437</v>
      </c>
      <c r="U495" t="s">
        <v>2437</v>
      </c>
      <c r="V495" t="s">
        <v>2437</v>
      </c>
      <c r="Y495" t="s">
        <v>6948</v>
      </c>
      <c r="Z495" t="s">
        <v>6949</v>
      </c>
      <c r="AA495" t="s">
        <v>6950</v>
      </c>
      <c r="AB495" t="s">
        <v>6951</v>
      </c>
      <c r="AC495" t="s">
        <v>6952</v>
      </c>
      <c r="AD495" t="s">
        <v>6953</v>
      </c>
      <c r="AE495" t="s">
        <v>6954</v>
      </c>
      <c r="AF495" t="s">
        <v>6955</v>
      </c>
      <c r="AG495" t="s">
        <v>6956</v>
      </c>
      <c r="AH495" t="s">
        <v>6957</v>
      </c>
      <c r="AI495" t="s">
        <v>6958</v>
      </c>
      <c r="AJ495" t="s">
        <v>6959</v>
      </c>
      <c r="AR495" t="s">
        <v>4284</v>
      </c>
    </row>
    <row r="496" spans="1:44">
      <c r="A496">
        <v>11126844</v>
      </c>
      <c r="B496" t="s">
        <v>590</v>
      </c>
      <c r="C496" t="s">
        <v>1158</v>
      </c>
      <c r="D496" t="s">
        <v>1851</v>
      </c>
      <c r="E496" t="s">
        <v>1599</v>
      </c>
      <c r="F496" t="s">
        <v>1852</v>
      </c>
      <c r="G496" t="s">
        <v>1853</v>
      </c>
      <c r="H496" t="s">
        <v>2208</v>
      </c>
      <c r="I496" t="s">
        <v>4402</v>
      </c>
      <c r="J496" t="s">
        <v>3382</v>
      </c>
      <c r="K496" t="s">
        <v>3383</v>
      </c>
      <c r="M496">
        <v>50</v>
      </c>
      <c r="N496">
        <v>70</v>
      </c>
      <c r="O496" t="s">
        <v>2437</v>
      </c>
      <c r="P496" t="s">
        <v>2437</v>
      </c>
      <c r="R496" t="s">
        <v>2437</v>
      </c>
      <c r="T496" t="s">
        <v>2437</v>
      </c>
      <c r="U496" t="s">
        <v>2437</v>
      </c>
      <c r="V496" t="s">
        <v>2437</v>
      </c>
      <c r="Y496" t="s">
        <v>6948</v>
      </c>
      <c r="Z496" t="s">
        <v>6949</v>
      </c>
      <c r="AA496" t="s">
        <v>6950</v>
      </c>
      <c r="AB496" t="s">
        <v>6951</v>
      </c>
      <c r="AC496" t="s">
        <v>6952</v>
      </c>
      <c r="AD496" t="s">
        <v>6953</v>
      </c>
      <c r="AE496" t="s">
        <v>6954</v>
      </c>
      <c r="AF496" t="s">
        <v>6955</v>
      </c>
      <c r="AG496" t="s">
        <v>6956</v>
      </c>
      <c r="AH496" t="s">
        <v>6957</v>
      </c>
      <c r="AI496" t="s">
        <v>6958</v>
      </c>
      <c r="AJ496" t="s">
        <v>6959</v>
      </c>
      <c r="AR496" t="s">
        <v>4284</v>
      </c>
    </row>
    <row r="497" spans="1:44">
      <c r="A497">
        <v>11126845</v>
      </c>
      <c r="B497" t="s">
        <v>591</v>
      </c>
      <c r="C497" t="s">
        <v>1159</v>
      </c>
      <c r="D497" t="s">
        <v>1851</v>
      </c>
      <c r="E497" t="s">
        <v>1599</v>
      </c>
      <c r="F497" t="s">
        <v>1852</v>
      </c>
      <c r="G497" t="s">
        <v>1853</v>
      </c>
      <c r="H497" t="s">
        <v>2209</v>
      </c>
      <c r="I497" t="s">
        <v>4403</v>
      </c>
      <c r="J497" t="s">
        <v>3384</v>
      </c>
      <c r="K497" t="s">
        <v>3385</v>
      </c>
      <c r="M497">
        <v>50</v>
      </c>
      <c r="N497">
        <v>70</v>
      </c>
      <c r="O497" t="s">
        <v>2437</v>
      </c>
      <c r="P497" t="s">
        <v>2437</v>
      </c>
      <c r="R497" t="s">
        <v>2437</v>
      </c>
      <c r="T497" t="s">
        <v>2437</v>
      </c>
      <c r="U497" t="s">
        <v>2437</v>
      </c>
      <c r="V497" t="s">
        <v>2437</v>
      </c>
      <c r="Y497" t="s">
        <v>6948</v>
      </c>
      <c r="Z497" t="s">
        <v>6949</v>
      </c>
      <c r="AA497" t="s">
        <v>6950</v>
      </c>
      <c r="AB497" t="s">
        <v>6951</v>
      </c>
      <c r="AC497" t="s">
        <v>6952</v>
      </c>
      <c r="AD497" t="s">
        <v>6953</v>
      </c>
      <c r="AE497" t="s">
        <v>6954</v>
      </c>
      <c r="AF497" t="s">
        <v>6955</v>
      </c>
      <c r="AG497" t="s">
        <v>6956</v>
      </c>
      <c r="AH497" t="s">
        <v>6957</v>
      </c>
      <c r="AI497" t="s">
        <v>6958</v>
      </c>
      <c r="AJ497" t="s">
        <v>6959</v>
      </c>
      <c r="AR497" t="s">
        <v>4284</v>
      </c>
    </row>
    <row r="498" spans="1:44">
      <c r="A498">
        <v>11126846</v>
      </c>
      <c r="B498" t="s">
        <v>592</v>
      </c>
      <c r="C498" t="s">
        <v>1160</v>
      </c>
      <c r="D498" t="s">
        <v>1851</v>
      </c>
      <c r="E498" t="s">
        <v>1599</v>
      </c>
      <c r="F498" t="s">
        <v>1852</v>
      </c>
      <c r="G498" t="s">
        <v>1853</v>
      </c>
      <c r="H498" t="s">
        <v>2194</v>
      </c>
      <c r="I498" t="s">
        <v>4392</v>
      </c>
      <c r="J498" t="s">
        <v>2698</v>
      </c>
      <c r="K498" t="s">
        <v>2699</v>
      </c>
      <c r="M498">
        <v>50</v>
      </c>
      <c r="N498">
        <v>70</v>
      </c>
      <c r="O498" t="s">
        <v>2437</v>
      </c>
      <c r="P498" t="s">
        <v>2437</v>
      </c>
      <c r="R498" t="s">
        <v>2437</v>
      </c>
      <c r="T498" t="s">
        <v>2437</v>
      </c>
      <c r="U498" t="s">
        <v>2437</v>
      </c>
      <c r="V498" t="s">
        <v>2437</v>
      </c>
      <c r="Y498" t="s">
        <v>6948</v>
      </c>
      <c r="Z498" t="s">
        <v>6949</v>
      </c>
      <c r="AA498" t="s">
        <v>6950</v>
      </c>
      <c r="AB498" t="s">
        <v>6951</v>
      </c>
      <c r="AC498" t="s">
        <v>6952</v>
      </c>
      <c r="AD498" t="s">
        <v>6953</v>
      </c>
      <c r="AE498" t="s">
        <v>6954</v>
      </c>
      <c r="AF498" t="s">
        <v>6955</v>
      </c>
      <c r="AG498" t="s">
        <v>6956</v>
      </c>
      <c r="AH498" t="s">
        <v>6957</v>
      </c>
      <c r="AI498" t="s">
        <v>6958</v>
      </c>
      <c r="AJ498" t="s">
        <v>6959</v>
      </c>
      <c r="AR498" t="s">
        <v>4284</v>
      </c>
    </row>
    <row r="499" spans="1:44">
      <c r="A499">
        <v>11126847</v>
      </c>
      <c r="B499" t="s">
        <v>593</v>
      </c>
      <c r="C499" t="s">
        <v>1161</v>
      </c>
      <c r="D499" t="s">
        <v>1851</v>
      </c>
      <c r="E499" t="s">
        <v>1599</v>
      </c>
      <c r="F499" t="s">
        <v>1852</v>
      </c>
      <c r="G499" t="s">
        <v>1853</v>
      </c>
      <c r="H499" t="s">
        <v>2210</v>
      </c>
      <c r="I499" t="s">
        <v>4404</v>
      </c>
      <c r="J499" t="s">
        <v>3386</v>
      </c>
      <c r="K499" t="s">
        <v>3387</v>
      </c>
      <c r="M499">
        <v>50</v>
      </c>
      <c r="N499">
        <v>70</v>
      </c>
      <c r="O499" t="s">
        <v>2437</v>
      </c>
      <c r="P499" t="s">
        <v>2437</v>
      </c>
      <c r="R499" t="s">
        <v>2437</v>
      </c>
      <c r="T499" t="s">
        <v>2437</v>
      </c>
      <c r="U499" t="s">
        <v>2437</v>
      </c>
      <c r="V499" t="s">
        <v>2437</v>
      </c>
      <c r="Y499" t="s">
        <v>6948</v>
      </c>
      <c r="Z499" t="s">
        <v>6949</v>
      </c>
      <c r="AA499" t="s">
        <v>6950</v>
      </c>
      <c r="AB499" t="s">
        <v>6951</v>
      </c>
      <c r="AC499" t="s">
        <v>6952</v>
      </c>
      <c r="AD499" t="s">
        <v>6953</v>
      </c>
      <c r="AE499" t="s">
        <v>6954</v>
      </c>
      <c r="AF499" t="s">
        <v>6955</v>
      </c>
      <c r="AG499" t="s">
        <v>6956</v>
      </c>
      <c r="AH499" t="s">
        <v>6957</v>
      </c>
      <c r="AI499" t="s">
        <v>6958</v>
      </c>
      <c r="AJ499" t="s">
        <v>6959</v>
      </c>
      <c r="AR499" t="s">
        <v>4284</v>
      </c>
    </row>
    <row r="500" spans="1:44">
      <c r="A500">
        <v>11126890</v>
      </c>
      <c r="B500" t="s">
        <v>594</v>
      </c>
      <c r="C500" t="s">
        <v>1116</v>
      </c>
      <c r="D500" t="s">
        <v>1854</v>
      </c>
      <c r="E500" t="s">
        <v>1855</v>
      </c>
      <c r="F500" t="s">
        <v>1482</v>
      </c>
      <c r="G500" t="s">
        <v>1483</v>
      </c>
      <c r="H500" t="s">
        <v>2081</v>
      </c>
      <c r="I500" t="s">
        <v>4416</v>
      </c>
      <c r="J500" t="s">
        <v>3388</v>
      </c>
      <c r="K500" t="s">
        <v>3389</v>
      </c>
      <c r="M500">
        <v>50</v>
      </c>
      <c r="N500">
        <v>70</v>
      </c>
      <c r="O500" t="s">
        <v>2437</v>
      </c>
      <c r="P500" t="s">
        <v>2437</v>
      </c>
      <c r="R500" t="s">
        <v>2437</v>
      </c>
      <c r="T500" t="s">
        <v>2437</v>
      </c>
      <c r="U500" t="s">
        <v>2437</v>
      </c>
      <c r="V500" t="s">
        <v>2437</v>
      </c>
      <c r="Y500" t="s">
        <v>6948</v>
      </c>
      <c r="Z500" t="s">
        <v>6949</v>
      </c>
      <c r="AA500" t="s">
        <v>6950</v>
      </c>
      <c r="AB500" t="s">
        <v>6951</v>
      </c>
      <c r="AC500" t="s">
        <v>6952</v>
      </c>
      <c r="AD500" t="s">
        <v>6953</v>
      </c>
      <c r="AE500" t="s">
        <v>6954</v>
      </c>
      <c r="AF500" t="s">
        <v>6955</v>
      </c>
      <c r="AG500" t="s">
        <v>6956</v>
      </c>
      <c r="AH500" t="s">
        <v>6957</v>
      </c>
      <c r="AI500" t="s">
        <v>6958</v>
      </c>
      <c r="AJ500" t="s">
        <v>6959</v>
      </c>
      <c r="AR500" t="s">
        <v>4284</v>
      </c>
    </row>
    <row r="501" spans="1:44">
      <c r="A501">
        <v>11126730</v>
      </c>
      <c r="B501" t="s">
        <v>595</v>
      </c>
      <c r="C501" t="s">
        <v>1202</v>
      </c>
      <c r="D501" t="s">
        <v>1856</v>
      </c>
      <c r="E501" t="s">
        <v>1857</v>
      </c>
      <c r="F501" t="s">
        <v>1578</v>
      </c>
      <c r="G501" t="s">
        <v>1579</v>
      </c>
      <c r="H501" t="s">
        <v>2351</v>
      </c>
      <c r="I501" t="s">
        <v>4525</v>
      </c>
      <c r="J501" t="s">
        <v>3390</v>
      </c>
      <c r="K501" t="s">
        <v>3391</v>
      </c>
      <c r="M501">
        <v>50</v>
      </c>
      <c r="N501">
        <v>70</v>
      </c>
      <c r="O501" t="s">
        <v>2437</v>
      </c>
      <c r="P501" t="s">
        <v>2437</v>
      </c>
      <c r="R501" t="s">
        <v>2437</v>
      </c>
      <c r="T501" t="s">
        <v>2437</v>
      </c>
      <c r="U501" t="s">
        <v>2437</v>
      </c>
      <c r="V501" t="s">
        <v>2437</v>
      </c>
      <c r="Y501" t="s">
        <v>6948</v>
      </c>
      <c r="Z501" t="s">
        <v>6949</v>
      </c>
      <c r="AA501" t="s">
        <v>6950</v>
      </c>
      <c r="AB501" t="s">
        <v>6951</v>
      </c>
      <c r="AC501" t="s">
        <v>6952</v>
      </c>
      <c r="AD501" t="s">
        <v>6953</v>
      </c>
      <c r="AE501" t="s">
        <v>6954</v>
      </c>
      <c r="AF501" t="s">
        <v>6955</v>
      </c>
      <c r="AG501" t="s">
        <v>6956</v>
      </c>
      <c r="AH501" t="s">
        <v>6957</v>
      </c>
      <c r="AI501" t="s">
        <v>6958</v>
      </c>
      <c r="AJ501" t="s">
        <v>6959</v>
      </c>
      <c r="AR501" t="s">
        <v>4284</v>
      </c>
    </row>
    <row r="502" spans="1:44">
      <c r="A502">
        <v>11126758</v>
      </c>
      <c r="B502" t="s">
        <v>596</v>
      </c>
      <c r="C502" t="s">
        <v>1057</v>
      </c>
      <c r="D502" t="s">
        <v>1858</v>
      </c>
      <c r="E502" t="s">
        <v>1619</v>
      </c>
      <c r="F502" t="s">
        <v>1537</v>
      </c>
      <c r="G502" t="s">
        <v>1538</v>
      </c>
      <c r="H502" t="s">
        <v>2126</v>
      </c>
      <c r="I502" t="s">
        <v>4347</v>
      </c>
      <c r="J502" t="s">
        <v>2752</v>
      </c>
      <c r="K502" t="s">
        <v>2753</v>
      </c>
      <c r="M502">
        <v>50</v>
      </c>
      <c r="N502">
        <v>70</v>
      </c>
      <c r="O502" t="s">
        <v>2437</v>
      </c>
      <c r="P502" t="s">
        <v>2437</v>
      </c>
      <c r="R502" t="s">
        <v>2437</v>
      </c>
      <c r="T502" t="s">
        <v>2437</v>
      </c>
      <c r="U502" t="s">
        <v>2437</v>
      </c>
      <c r="V502" t="s">
        <v>2437</v>
      </c>
      <c r="Y502" t="s">
        <v>6948</v>
      </c>
      <c r="Z502" t="s">
        <v>6949</v>
      </c>
      <c r="AA502" t="s">
        <v>6950</v>
      </c>
      <c r="AB502" t="s">
        <v>6951</v>
      </c>
      <c r="AC502" t="s">
        <v>6952</v>
      </c>
      <c r="AD502" t="s">
        <v>6953</v>
      </c>
      <c r="AE502" t="s">
        <v>6954</v>
      </c>
      <c r="AF502" t="s">
        <v>6955</v>
      </c>
      <c r="AG502" t="s">
        <v>6956</v>
      </c>
      <c r="AH502" t="s">
        <v>6957</v>
      </c>
      <c r="AI502" t="s">
        <v>6958</v>
      </c>
      <c r="AJ502" t="s">
        <v>6959</v>
      </c>
      <c r="AR502" t="s">
        <v>4284</v>
      </c>
    </row>
    <row r="503" spans="1:44">
      <c r="A503">
        <v>11126759</v>
      </c>
      <c r="B503" t="s">
        <v>597</v>
      </c>
      <c r="C503" t="s">
        <v>1058</v>
      </c>
      <c r="D503" t="s">
        <v>1858</v>
      </c>
      <c r="E503" t="s">
        <v>1619</v>
      </c>
      <c r="F503" t="s">
        <v>1539</v>
      </c>
      <c r="G503" t="s">
        <v>1540</v>
      </c>
      <c r="H503" t="s">
        <v>2127</v>
      </c>
      <c r="I503" t="s">
        <v>4348</v>
      </c>
      <c r="J503" t="s">
        <v>2754</v>
      </c>
      <c r="K503" t="s">
        <v>2755</v>
      </c>
      <c r="M503">
        <v>50</v>
      </c>
      <c r="N503">
        <v>70</v>
      </c>
      <c r="O503" t="s">
        <v>2437</v>
      </c>
      <c r="P503" t="s">
        <v>2437</v>
      </c>
      <c r="R503" t="s">
        <v>2437</v>
      </c>
      <c r="T503" t="s">
        <v>2437</v>
      </c>
      <c r="U503" t="s">
        <v>2437</v>
      </c>
      <c r="V503" t="s">
        <v>2437</v>
      </c>
      <c r="Y503" t="s">
        <v>6948</v>
      </c>
      <c r="Z503" t="s">
        <v>6949</v>
      </c>
      <c r="AA503" t="s">
        <v>6950</v>
      </c>
      <c r="AB503" t="s">
        <v>6951</v>
      </c>
      <c r="AC503" t="s">
        <v>6952</v>
      </c>
      <c r="AD503" t="s">
        <v>6953</v>
      </c>
      <c r="AE503" t="s">
        <v>6954</v>
      </c>
      <c r="AF503" t="s">
        <v>6955</v>
      </c>
      <c r="AG503" t="s">
        <v>6956</v>
      </c>
      <c r="AH503" t="s">
        <v>6957</v>
      </c>
      <c r="AI503" t="s">
        <v>6958</v>
      </c>
      <c r="AJ503" t="s">
        <v>6959</v>
      </c>
      <c r="AR503" t="s">
        <v>4284</v>
      </c>
    </row>
    <row r="504" spans="1:44">
      <c r="A504">
        <v>11126760</v>
      </c>
      <c r="B504" t="s">
        <v>598</v>
      </c>
      <c r="C504" t="s">
        <v>1059</v>
      </c>
      <c r="D504" t="s">
        <v>1858</v>
      </c>
      <c r="E504" t="s">
        <v>1619</v>
      </c>
      <c r="F504" t="s">
        <v>1541</v>
      </c>
      <c r="G504" t="s">
        <v>1542</v>
      </c>
      <c r="H504" t="s">
        <v>2128</v>
      </c>
      <c r="I504" t="s">
        <v>4349</v>
      </c>
      <c r="J504" t="s">
        <v>2756</v>
      </c>
      <c r="K504" t="s">
        <v>2757</v>
      </c>
      <c r="M504">
        <v>50</v>
      </c>
      <c r="N504">
        <v>70</v>
      </c>
      <c r="O504" t="s">
        <v>2437</v>
      </c>
      <c r="P504" t="s">
        <v>2437</v>
      </c>
      <c r="R504" t="s">
        <v>2437</v>
      </c>
      <c r="T504" t="s">
        <v>2437</v>
      </c>
      <c r="U504" t="s">
        <v>2437</v>
      </c>
      <c r="V504" t="s">
        <v>2437</v>
      </c>
      <c r="Y504" t="s">
        <v>6948</v>
      </c>
      <c r="Z504" t="s">
        <v>6949</v>
      </c>
      <c r="AA504" t="s">
        <v>6950</v>
      </c>
      <c r="AB504" t="s">
        <v>6951</v>
      </c>
      <c r="AC504" t="s">
        <v>6952</v>
      </c>
      <c r="AD504" t="s">
        <v>6953</v>
      </c>
      <c r="AE504" t="s">
        <v>6954</v>
      </c>
      <c r="AF504" t="s">
        <v>6955</v>
      </c>
      <c r="AG504" t="s">
        <v>6956</v>
      </c>
      <c r="AH504" t="s">
        <v>6957</v>
      </c>
      <c r="AI504" t="s">
        <v>6958</v>
      </c>
      <c r="AJ504" t="s">
        <v>6959</v>
      </c>
      <c r="AR504" t="s">
        <v>4284</v>
      </c>
    </row>
    <row r="505" spans="1:44">
      <c r="A505">
        <v>11126761</v>
      </c>
      <c r="B505" t="s">
        <v>599</v>
      </c>
      <c r="C505" t="s">
        <v>1056</v>
      </c>
      <c r="D505" t="s">
        <v>1859</v>
      </c>
      <c r="E505" t="s">
        <v>1621</v>
      </c>
      <c r="F505" t="s">
        <v>1531</v>
      </c>
      <c r="G505" t="s">
        <v>1532</v>
      </c>
      <c r="H505" t="s">
        <v>2124</v>
      </c>
      <c r="I505" t="s">
        <v>4345</v>
      </c>
      <c r="J505" t="s">
        <v>2758</v>
      </c>
      <c r="K505" t="s">
        <v>2759</v>
      </c>
      <c r="M505">
        <v>50</v>
      </c>
      <c r="N505">
        <v>70</v>
      </c>
      <c r="O505" t="s">
        <v>2437</v>
      </c>
      <c r="P505" t="s">
        <v>2437</v>
      </c>
      <c r="R505" t="s">
        <v>2437</v>
      </c>
      <c r="T505" t="s">
        <v>2437</v>
      </c>
      <c r="U505" t="s">
        <v>2437</v>
      </c>
      <c r="V505" t="s">
        <v>2437</v>
      </c>
      <c r="Y505" t="s">
        <v>6948</v>
      </c>
      <c r="Z505" t="s">
        <v>6949</v>
      </c>
      <c r="AA505" t="s">
        <v>6950</v>
      </c>
      <c r="AB505" t="s">
        <v>6951</v>
      </c>
      <c r="AC505" t="s">
        <v>6952</v>
      </c>
      <c r="AD505" t="s">
        <v>6953</v>
      </c>
      <c r="AE505" t="s">
        <v>6954</v>
      </c>
      <c r="AF505" t="s">
        <v>6955</v>
      </c>
      <c r="AG505" t="s">
        <v>6956</v>
      </c>
      <c r="AH505" t="s">
        <v>6957</v>
      </c>
      <c r="AI505" t="s">
        <v>6958</v>
      </c>
      <c r="AJ505" t="s">
        <v>6959</v>
      </c>
      <c r="AR505" t="s">
        <v>4284</v>
      </c>
    </row>
    <row r="506" spans="1:44">
      <c r="A506">
        <v>11126762</v>
      </c>
      <c r="B506" t="s">
        <v>600</v>
      </c>
      <c r="C506" t="s">
        <v>1055</v>
      </c>
      <c r="D506" t="s">
        <v>1860</v>
      </c>
      <c r="E506" t="s">
        <v>1623</v>
      </c>
      <c r="F506" t="s">
        <v>1592</v>
      </c>
      <c r="G506" t="s">
        <v>1593</v>
      </c>
      <c r="H506" t="s">
        <v>2218</v>
      </c>
      <c r="I506" t="s">
        <v>4412</v>
      </c>
      <c r="J506" t="s">
        <v>2760</v>
      </c>
      <c r="K506" t="s">
        <v>2761</v>
      </c>
      <c r="M506">
        <v>50</v>
      </c>
      <c r="N506">
        <v>70</v>
      </c>
      <c r="O506" t="s">
        <v>2437</v>
      </c>
      <c r="P506" t="s">
        <v>2437</v>
      </c>
      <c r="R506" t="s">
        <v>2437</v>
      </c>
      <c r="T506" t="s">
        <v>2437</v>
      </c>
      <c r="U506" t="s">
        <v>2437</v>
      </c>
      <c r="V506" t="s">
        <v>2437</v>
      </c>
      <c r="Y506" t="s">
        <v>6948</v>
      </c>
      <c r="Z506" t="s">
        <v>6949</v>
      </c>
      <c r="AA506" t="s">
        <v>6950</v>
      </c>
      <c r="AB506" t="s">
        <v>6951</v>
      </c>
      <c r="AC506" t="s">
        <v>6952</v>
      </c>
      <c r="AD506" t="s">
        <v>6953</v>
      </c>
      <c r="AE506" t="s">
        <v>6954</v>
      </c>
      <c r="AF506" t="s">
        <v>6955</v>
      </c>
      <c r="AG506" t="s">
        <v>6956</v>
      </c>
      <c r="AH506" t="s">
        <v>6957</v>
      </c>
      <c r="AI506" t="s">
        <v>6958</v>
      </c>
      <c r="AJ506" t="s">
        <v>6959</v>
      </c>
      <c r="AR506" t="s">
        <v>4284</v>
      </c>
    </row>
    <row r="507" spans="1:44">
      <c r="A507">
        <v>11126763</v>
      </c>
      <c r="B507" t="s">
        <v>601</v>
      </c>
      <c r="C507" t="s">
        <v>1178</v>
      </c>
      <c r="D507" t="s">
        <v>1860</v>
      </c>
      <c r="E507" t="s">
        <v>1623</v>
      </c>
      <c r="F507" t="s">
        <v>1592</v>
      </c>
      <c r="G507" t="s">
        <v>1593</v>
      </c>
      <c r="H507" t="s">
        <v>2219</v>
      </c>
      <c r="I507" t="s">
        <v>4413</v>
      </c>
      <c r="J507" t="s">
        <v>2762</v>
      </c>
      <c r="K507" t="s">
        <v>2763</v>
      </c>
      <c r="M507">
        <v>50</v>
      </c>
      <c r="N507">
        <v>70</v>
      </c>
      <c r="O507" t="s">
        <v>2437</v>
      </c>
      <c r="P507" t="s">
        <v>2437</v>
      </c>
      <c r="R507" t="s">
        <v>2437</v>
      </c>
      <c r="T507" t="s">
        <v>2437</v>
      </c>
      <c r="U507" t="s">
        <v>2437</v>
      </c>
      <c r="V507" t="s">
        <v>2437</v>
      </c>
      <c r="Y507" t="s">
        <v>6948</v>
      </c>
      <c r="Z507" t="s">
        <v>6949</v>
      </c>
      <c r="AA507" t="s">
        <v>6950</v>
      </c>
      <c r="AB507" t="s">
        <v>6951</v>
      </c>
      <c r="AC507" t="s">
        <v>6952</v>
      </c>
      <c r="AD507" t="s">
        <v>6953</v>
      </c>
      <c r="AE507" t="s">
        <v>6954</v>
      </c>
      <c r="AF507" t="s">
        <v>6955</v>
      </c>
      <c r="AG507" t="s">
        <v>6956</v>
      </c>
      <c r="AH507" t="s">
        <v>6957</v>
      </c>
      <c r="AI507" t="s">
        <v>6958</v>
      </c>
      <c r="AJ507" t="s">
        <v>6959</v>
      </c>
      <c r="AR507" t="s">
        <v>4284</v>
      </c>
    </row>
    <row r="508" spans="1:44">
      <c r="A508">
        <v>11126764</v>
      </c>
      <c r="B508" t="s">
        <v>602</v>
      </c>
      <c r="C508" t="s">
        <v>1033</v>
      </c>
      <c r="D508" t="s">
        <v>1860</v>
      </c>
      <c r="E508" t="s">
        <v>1623</v>
      </c>
      <c r="F508" t="s">
        <v>1592</v>
      </c>
      <c r="G508" t="s">
        <v>1593</v>
      </c>
      <c r="H508" t="s">
        <v>2125</v>
      </c>
      <c r="I508" t="s">
        <v>4346</v>
      </c>
      <c r="J508" t="s">
        <v>2764</v>
      </c>
      <c r="K508" t="s">
        <v>2765</v>
      </c>
      <c r="M508">
        <v>50</v>
      </c>
      <c r="N508">
        <v>70</v>
      </c>
      <c r="O508" t="s">
        <v>2437</v>
      </c>
      <c r="P508" t="s">
        <v>2437</v>
      </c>
      <c r="R508" t="s">
        <v>2437</v>
      </c>
      <c r="T508" t="s">
        <v>2437</v>
      </c>
      <c r="U508" t="s">
        <v>2437</v>
      </c>
      <c r="V508" t="s">
        <v>2437</v>
      </c>
      <c r="Y508" t="s">
        <v>6948</v>
      </c>
      <c r="Z508" t="s">
        <v>6949</v>
      </c>
      <c r="AA508" t="s">
        <v>6950</v>
      </c>
      <c r="AB508" t="s">
        <v>6951</v>
      </c>
      <c r="AC508" t="s">
        <v>6952</v>
      </c>
      <c r="AD508" t="s">
        <v>6953</v>
      </c>
      <c r="AE508" t="s">
        <v>6954</v>
      </c>
      <c r="AF508" t="s">
        <v>6955</v>
      </c>
      <c r="AG508" t="s">
        <v>6956</v>
      </c>
      <c r="AH508" t="s">
        <v>6957</v>
      </c>
      <c r="AI508" t="s">
        <v>6958</v>
      </c>
      <c r="AJ508" t="s">
        <v>6959</v>
      </c>
      <c r="AR508" t="s">
        <v>4284</v>
      </c>
    </row>
    <row r="509" spans="1:44">
      <c r="A509">
        <v>11126765</v>
      </c>
      <c r="B509" t="s">
        <v>603</v>
      </c>
      <c r="C509" t="s">
        <v>1034</v>
      </c>
      <c r="D509" t="s">
        <v>1860</v>
      </c>
      <c r="E509" t="s">
        <v>1623</v>
      </c>
      <c r="F509" t="s">
        <v>1592</v>
      </c>
      <c r="G509" t="s">
        <v>1593</v>
      </c>
      <c r="H509" t="s">
        <v>2170</v>
      </c>
      <c r="I509" t="s">
        <v>4381</v>
      </c>
      <c r="J509" t="s">
        <v>3392</v>
      </c>
      <c r="K509" t="s">
        <v>3393</v>
      </c>
      <c r="M509">
        <v>50</v>
      </c>
      <c r="N509">
        <v>70</v>
      </c>
      <c r="O509" t="s">
        <v>2437</v>
      </c>
      <c r="P509" t="s">
        <v>2437</v>
      </c>
      <c r="R509" t="s">
        <v>2437</v>
      </c>
      <c r="T509" t="s">
        <v>2437</v>
      </c>
      <c r="U509" t="s">
        <v>2437</v>
      </c>
      <c r="V509" t="s">
        <v>2437</v>
      </c>
      <c r="Y509" t="s">
        <v>6948</v>
      </c>
      <c r="Z509" t="s">
        <v>6949</v>
      </c>
      <c r="AA509" t="s">
        <v>6950</v>
      </c>
      <c r="AB509" t="s">
        <v>6951</v>
      </c>
      <c r="AC509" t="s">
        <v>6952</v>
      </c>
      <c r="AD509" t="s">
        <v>6953</v>
      </c>
      <c r="AE509" t="s">
        <v>6954</v>
      </c>
      <c r="AF509" t="s">
        <v>6955</v>
      </c>
      <c r="AG509" t="s">
        <v>6956</v>
      </c>
      <c r="AH509" t="s">
        <v>6957</v>
      </c>
      <c r="AI509" t="s">
        <v>6958</v>
      </c>
      <c r="AJ509" t="s">
        <v>6959</v>
      </c>
      <c r="AR509" t="s">
        <v>4284</v>
      </c>
    </row>
    <row r="510" spans="1:44">
      <c r="A510">
        <v>11126766</v>
      </c>
      <c r="B510" t="s">
        <v>604</v>
      </c>
      <c r="C510" t="s">
        <v>1035</v>
      </c>
      <c r="D510" t="s">
        <v>1859</v>
      </c>
      <c r="E510" t="s">
        <v>1621</v>
      </c>
      <c r="F510" t="s">
        <v>1531</v>
      </c>
      <c r="G510" t="s">
        <v>1532</v>
      </c>
      <c r="H510" t="s">
        <v>2137</v>
      </c>
      <c r="I510" t="s">
        <v>4359</v>
      </c>
      <c r="J510" t="s">
        <v>2766</v>
      </c>
      <c r="K510" t="s">
        <v>2767</v>
      </c>
      <c r="M510">
        <v>50</v>
      </c>
      <c r="N510">
        <v>70</v>
      </c>
      <c r="O510" t="s">
        <v>2437</v>
      </c>
      <c r="P510" t="s">
        <v>2437</v>
      </c>
      <c r="R510" t="s">
        <v>2437</v>
      </c>
      <c r="T510" t="s">
        <v>2437</v>
      </c>
      <c r="U510" t="s">
        <v>2437</v>
      </c>
      <c r="V510" t="s">
        <v>2437</v>
      </c>
      <c r="Y510" t="s">
        <v>6948</v>
      </c>
      <c r="Z510" t="s">
        <v>6949</v>
      </c>
      <c r="AA510" t="s">
        <v>6950</v>
      </c>
      <c r="AB510" t="s">
        <v>6951</v>
      </c>
      <c r="AC510" t="s">
        <v>6952</v>
      </c>
      <c r="AD510" t="s">
        <v>6953</v>
      </c>
      <c r="AE510" t="s">
        <v>6954</v>
      </c>
      <c r="AF510" t="s">
        <v>6955</v>
      </c>
      <c r="AG510" t="s">
        <v>6956</v>
      </c>
      <c r="AH510" t="s">
        <v>6957</v>
      </c>
      <c r="AI510" t="s">
        <v>6958</v>
      </c>
      <c r="AJ510" t="s">
        <v>6959</v>
      </c>
      <c r="AR510" t="s">
        <v>4284</v>
      </c>
    </row>
    <row r="511" spans="1:44">
      <c r="A511">
        <v>11126767</v>
      </c>
      <c r="B511" t="s">
        <v>605</v>
      </c>
      <c r="C511" t="s">
        <v>1112</v>
      </c>
      <c r="D511" t="s">
        <v>1859</v>
      </c>
      <c r="E511" t="s">
        <v>1621</v>
      </c>
      <c r="F511" t="s">
        <v>1531</v>
      </c>
      <c r="G511" t="s">
        <v>1532</v>
      </c>
      <c r="H511" t="s">
        <v>2123</v>
      </c>
      <c r="I511" t="s">
        <v>4344</v>
      </c>
      <c r="J511" t="s">
        <v>2768</v>
      </c>
      <c r="K511" t="s">
        <v>2769</v>
      </c>
      <c r="M511">
        <v>50</v>
      </c>
      <c r="N511">
        <v>70</v>
      </c>
      <c r="O511" t="s">
        <v>2437</v>
      </c>
      <c r="P511" t="s">
        <v>2437</v>
      </c>
      <c r="R511" t="s">
        <v>2437</v>
      </c>
      <c r="T511" t="s">
        <v>2437</v>
      </c>
      <c r="U511" t="s">
        <v>2437</v>
      </c>
      <c r="V511" t="s">
        <v>2437</v>
      </c>
      <c r="Y511" t="s">
        <v>6948</v>
      </c>
      <c r="Z511" t="s">
        <v>6949</v>
      </c>
      <c r="AA511" t="s">
        <v>6950</v>
      </c>
      <c r="AB511" t="s">
        <v>6951</v>
      </c>
      <c r="AC511" t="s">
        <v>6952</v>
      </c>
      <c r="AD511" t="s">
        <v>6953</v>
      </c>
      <c r="AE511" t="s">
        <v>6954</v>
      </c>
      <c r="AF511" t="s">
        <v>6955</v>
      </c>
      <c r="AG511" t="s">
        <v>6956</v>
      </c>
      <c r="AH511" t="s">
        <v>6957</v>
      </c>
      <c r="AI511" t="s">
        <v>6958</v>
      </c>
      <c r="AJ511" t="s">
        <v>6959</v>
      </c>
      <c r="AR511" t="s">
        <v>4284</v>
      </c>
    </row>
    <row r="512" spans="1:44">
      <c r="A512">
        <v>11126768</v>
      </c>
      <c r="B512" t="s">
        <v>606</v>
      </c>
      <c r="C512" t="s">
        <v>1036</v>
      </c>
      <c r="D512" t="s">
        <v>1859</v>
      </c>
      <c r="E512" t="s">
        <v>1621</v>
      </c>
      <c r="F512" t="s">
        <v>1531</v>
      </c>
      <c r="G512" t="s">
        <v>1532</v>
      </c>
      <c r="H512" t="s">
        <v>2132</v>
      </c>
      <c r="I512" t="s">
        <v>4353</v>
      </c>
      <c r="J512" t="s">
        <v>3394</v>
      </c>
      <c r="K512" t="s">
        <v>2771</v>
      </c>
      <c r="M512">
        <v>50</v>
      </c>
      <c r="N512">
        <v>70</v>
      </c>
      <c r="O512" t="s">
        <v>2437</v>
      </c>
      <c r="P512" t="s">
        <v>2437</v>
      </c>
      <c r="R512" t="s">
        <v>2437</v>
      </c>
      <c r="T512" t="s">
        <v>2437</v>
      </c>
      <c r="U512" t="s">
        <v>2437</v>
      </c>
      <c r="V512" t="s">
        <v>2437</v>
      </c>
      <c r="Y512" t="s">
        <v>6948</v>
      </c>
      <c r="Z512" t="s">
        <v>6949</v>
      </c>
      <c r="AA512" t="s">
        <v>6950</v>
      </c>
      <c r="AB512" t="s">
        <v>6951</v>
      </c>
      <c r="AC512" t="s">
        <v>6952</v>
      </c>
      <c r="AD512" t="s">
        <v>6953</v>
      </c>
      <c r="AE512" t="s">
        <v>6954</v>
      </c>
      <c r="AF512" t="s">
        <v>6955</v>
      </c>
      <c r="AG512" t="s">
        <v>6956</v>
      </c>
      <c r="AH512" t="s">
        <v>6957</v>
      </c>
      <c r="AI512" t="s">
        <v>6958</v>
      </c>
      <c r="AJ512" t="s">
        <v>6959</v>
      </c>
      <c r="AR512" t="s">
        <v>4284</v>
      </c>
    </row>
    <row r="513" spans="1:44">
      <c r="A513">
        <v>11126769</v>
      </c>
      <c r="B513" t="s">
        <v>607</v>
      </c>
      <c r="C513" t="s">
        <v>1026</v>
      </c>
      <c r="D513" t="s">
        <v>1861</v>
      </c>
      <c r="E513" t="s">
        <v>1625</v>
      </c>
      <c r="F513" t="s">
        <v>1537</v>
      </c>
      <c r="G513" t="s">
        <v>1538</v>
      </c>
      <c r="H513" t="s">
        <v>2220</v>
      </c>
      <c r="I513" t="s">
        <v>4414</v>
      </c>
      <c r="J513" t="s">
        <v>2772</v>
      </c>
      <c r="K513" t="s">
        <v>2773</v>
      </c>
      <c r="M513">
        <v>50</v>
      </c>
      <c r="N513">
        <v>70</v>
      </c>
      <c r="O513" t="s">
        <v>2437</v>
      </c>
      <c r="P513" t="s">
        <v>2437</v>
      </c>
      <c r="R513" t="s">
        <v>2437</v>
      </c>
      <c r="T513" t="s">
        <v>2437</v>
      </c>
      <c r="U513" t="s">
        <v>2437</v>
      </c>
      <c r="V513" t="s">
        <v>2437</v>
      </c>
      <c r="Y513" t="s">
        <v>6948</v>
      </c>
      <c r="Z513" t="s">
        <v>6949</v>
      </c>
      <c r="AA513" t="s">
        <v>6950</v>
      </c>
      <c r="AB513" t="s">
        <v>6951</v>
      </c>
      <c r="AC513" t="s">
        <v>6952</v>
      </c>
      <c r="AD513" t="s">
        <v>6953</v>
      </c>
      <c r="AE513" t="s">
        <v>6954</v>
      </c>
      <c r="AF513" t="s">
        <v>6955</v>
      </c>
      <c r="AG513" t="s">
        <v>6956</v>
      </c>
      <c r="AH513" t="s">
        <v>6957</v>
      </c>
      <c r="AI513" t="s">
        <v>6958</v>
      </c>
      <c r="AJ513" t="s">
        <v>6959</v>
      </c>
      <c r="AR513" t="s">
        <v>4284</v>
      </c>
    </row>
    <row r="514" spans="1:44">
      <c r="A514">
        <v>11126770</v>
      </c>
      <c r="B514" t="s">
        <v>608</v>
      </c>
      <c r="C514" t="s">
        <v>1179</v>
      </c>
      <c r="D514" t="s">
        <v>1861</v>
      </c>
      <c r="E514" t="s">
        <v>1625</v>
      </c>
      <c r="F514" t="s">
        <v>1537</v>
      </c>
      <c r="G514" t="s">
        <v>1538</v>
      </c>
      <c r="H514" t="s">
        <v>2129</v>
      </c>
      <c r="I514" t="s">
        <v>4350</v>
      </c>
      <c r="J514" t="s">
        <v>2774</v>
      </c>
      <c r="K514" t="s">
        <v>2775</v>
      </c>
      <c r="M514">
        <v>50</v>
      </c>
      <c r="N514">
        <v>70</v>
      </c>
      <c r="O514" t="s">
        <v>2437</v>
      </c>
      <c r="P514" t="s">
        <v>2437</v>
      </c>
      <c r="R514" t="s">
        <v>2437</v>
      </c>
      <c r="T514" t="s">
        <v>2437</v>
      </c>
      <c r="U514" t="s">
        <v>2437</v>
      </c>
      <c r="V514" t="s">
        <v>2437</v>
      </c>
      <c r="Y514" t="s">
        <v>6948</v>
      </c>
      <c r="Z514" t="s">
        <v>6949</v>
      </c>
      <c r="AA514" t="s">
        <v>6950</v>
      </c>
      <c r="AB514" t="s">
        <v>6951</v>
      </c>
      <c r="AC514" t="s">
        <v>6952</v>
      </c>
      <c r="AD514" t="s">
        <v>6953</v>
      </c>
      <c r="AE514" t="s">
        <v>6954</v>
      </c>
      <c r="AF514" t="s">
        <v>6955</v>
      </c>
      <c r="AG514" t="s">
        <v>6956</v>
      </c>
      <c r="AH514" t="s">
        <v>6957</v>
      </c>
      <c r="AI514" t="s">
        <v>6958</v>
      </c>
      <c r="AJ514" t="s">
        <v>6959</v>
      </c>
      <c r="AR514" t="s">
        <v>4284</v>
      </c>
    </row>
    <row r="515" spans="1:44">
      <c r="A515">
        <v>11126771</v>
      </c>
      <c r="B515" t="s">
        <v>609</v>
      </c>
      <c r="C515" t="s">
        <v>1027</v>
      </c>
      <c r="D515" t="s">
        <v>1862</v>
      </c>
      <c r="E515" t="s">
        <v>1863</v>
      </c>
      <c r="F515" t="s">
        <v>1537</v>
      </c>
      <c r="G515" t="s">
        <v>1538</v>
      </c>
      <c r="H515" t="s">
        <v>2352</v>
      </c>
      <c r="I515" t="s">
        <v>4526</v>
      </c>
      <c r="J515" t="s">
        <v>3395</v>
      </c>
      <c r="K515" t="s">
        <v>3396</v>
      </c>
      <c r="M515">
        <v>50</v>
      </c>
      <c r="N515">
        <v>70</v>
      </c>
      <c r="O515" t="s">
        <v>2437</v>
      </c>
      <c r="P515" t="s">
        <v>2437</v>
      </c>
      <c r="R515" t="s">
        <v>2437</v>
      </c>
      <c r="T515" t="s">
        <v>2437</v>
      </c>
      <c r="U515" t="s">
        <v>2437</v>
      </c>
      <c r="V515" t="s">
        <v>2437</v>
      </c>
      <c r="Y515" t="s">
        <v>6948</v>
      </c>
      <c r="Z515" t="s">
        <v>6949</v>
      </c>
      <c r="AA515" t="s">
        <v>6950</v>
      </c>
      <c r="AB515" t="s">
        <v>6951</v>
      </c>
      <c r="AC515" t="s">
        <v>6952</v>
      </c>
      <c r="AD515" t="s">
        <v>6953</v>
      </c>
      <c r="AE515" t="s">
        <v>6954</v>
      </c>
      <c r="AF515" t="s">
        <v>6955</v>
      </c>
      <c r="AG515" t="s">
        <v>6956</v>
      </c>
      <c r="AH515" t="s">
        <v>6957</v>
      </c>
      <c r="AI515" t="s">
        <v>6958</v>
      </c>
      <c r="AJ515" t="s">
        <v>6959</v>
      </c>
      <c r="AR515" t="s">
        <v>4284</v>
      </c>
    </row>
    <row r="516" spans="1:44">
      <c r="A516">
        <v>11126772</v>
      </c>
      <c r="B516" t="s">
        <v>610</v>
      </c>
      <c r="C516" t="s">
        <v>1028</v>
      </c>
      <c r="D516" t="s">
        <v>1862</v>
      </c>
      <c r="E516" t="s">
        <v>1863</v>
      </c>
      <c r="F516" t="s">
        <v>1539</v>
      </c>
      <c r="G516" t="s">
        <v>1540</v>
      </c>
      <c r="H516" t="s">
        <v>2353</v>
      </c>
      <c r="I516" t="s">
        <v>4527</v>
      </c>
      <c r="J516" t="s">
        <v>3397</v>
      </c>
      <c r="K516" t="s">
        <v>3398</v>
      </c>
      <c r="M516">
        <v>50</v>
      </c>
      <c r="N516">
        <v>70</v>
      </c>
      <c r="O516" t="s">
        <v>2437</v>
      </c>
      <c r="P516" t="s">
        <v>2437</v>
      </c>
      <c r="R516" t="s">
        <v>2437</v>
      </c>
      <c r="T516" t="s">
        <v>2437</v>
      </c>
      <c r="U516" t="s">
        <v>2437</v>
      </c>
      <c r="V516" t="s">
        <v>2437</v>
      </c>
      <c r="Y516" t="s">
        <v>6948</v>
      </c>
      <c r="Z516" t="s">
        <v>6949</v>
      </c>
      <c r="AA516" t="s">
        <v>6950</v>
      </c>
      <c r="AB516" t="s">
        <v>6951</v>
      </c>
      <c r="AC516" t="s">
        <v>6952</v>
      </c>
      <c r="AD516" t="s">
        <v>6953</v>
      </c>
      <c r="AE516" t="s">
        <v>6954</v>
      </c>
      <c r="AF516" t="s">
        <v>6955</v>
      </c>
      <c r="AG516" t="s">
        <v>6956</v>
      </c>
      <c r="AH516" t="s">
        <v>6957</v>
      </c>
      <c r="AI516" t="s">
        <v>6958</v>
      </c>
      <c r="AJ516" t="s">
        <v>6959</v>
      </c>
      <c r="AR516" t="s">
        <v>4284</v>
      </c>
    </row>
    <row r="517" spans="1:44">
      <c r="A517">
        <v>11126773</v>
      </c>
      <c r="B517" t="s">
        <v>611</v>
      </c>
      <c r="C517" t="s">
        <v>1180</v>
      </c>
      <c r="D517" t="s">
        <v>1861</v>
      </c>
      <c r="E517" t="s">
        <v>1625</v>
      </c>
      <c r="F517" t="s">
        <v>1539</v>
      </c>
      <c r="G517" t="s">
        <v>1540</v>
      </c>
      <c r="H517" t="s">
        <v>2130</v>
      </c>
      <c r="I517" t="s">
        <v>4351</v>
      </c>
      <c r="J517" t="s">
        <v>2776</v>
      </c>
      <c r="K517" t="s">
        <v>2777</v>
      </c>
      <c r="M517">
        <v>50</v>
      </c>
      <c r="N517">
        <v>70</v>
      </c>
      <c r="O517" t="s">
        <v>2437</v>
      </c>
      <c r="P517" t="s">
        <v>2437</v>
      </c>
      <c r="R517" t="s">
        <v>2437</v>
      </c>
      <c r="T517" t="s">
        <v>2437</v>
      </c>
      <c r="U517" t="s">
        <v>2437</v>
      </c>
      <c r="V517" t="s">
        <v>2437</v>
      </c>
      <c r="Y517" t="s">
        <v>6948</v>
      </c>
      <c r="Z517" t="s">
        <v>6949</v>
      </c>
      <c r="AA517" t="s">
        <v>6950</v>
      </c>
      <c r="AB517" t="s">
        <v>6951</v>
      </c>
      <c r="AC517" t="s">
        <v>6952</v>
      </c>
      <c r="AD517" t="s">
        <v>6953</v>
      </c>
      <c r="AE517" t="s">
        <v>6954</v>
      </c>
      <c r="AF517" t="s">
        <v>6955</v>
      </c>
      <c r="AG517" t="s">
        <v>6956</v>
      </c>
      <c r="AH517" t="s">
        <v>6957</v>
      </c>
      <c r="AI517" t="s">
        <v>6958</v>
      </c>
      <c r="AJ517" t="s">
        <v>6959</v>
      </c>
      <c r="AR517" t="s">
        <v>4284</v>
      </c>
    </row>
    <row r="518" spans="1:44">
      <c r="A518">
        <v>11126774</v>
      </c>
      <c r="B518" t="s">
        <v>612</v>
      </c>
      <c r="C518" t="s">
        <v>1029</v>
      </c>
      <c r="D518" t="s">
        <v>1862</v>
      </c>
      <c r="E518" t="s">
        <v>1863</v>
      </c>
      <c r="F518" t="s">
        <v>1539</v>
      </c>
      <c r="G518" t="s">
        <v>1540</v>
      </c>
      <c r="H518" t="s">
        <v>2354</v>
      </c>
      <c r="I518" t="s">
        <v>4528</v>
      </c>
      <c r="J518" t="s">
        <v>3399</v>
      </c>
      <c r="K518" t="s">
        <v>3400</v>
      </c>
      <c r="M518">
        <v>50</v>
      </c>
      <c r="N518">
        <v>70</v>
      </c>
      <c r="O518" t="s">
        <v>2437</v>
      </c>
      <c r="P518" t="s">
        <v>2437</v>
      </c>
      <c r="R518" t="s">
        <v>2437</v>
      </c>
      <c r="T518" t="s">
        <v>2437</v>
      </c>
      <c r="U518" t="s">
        <v>2437</v>
      </c>
      <c r="V518" t="s">
        <v>2437</v>
      </c>
      <c r="Y518" t="s">
        <v>6948</v>
      </c>
      <c r="Z518" t="s">
        <v>6949</v>
      </c>
      <c r="AA518" t="s">
        <v>6950</v>
      </c>
      <c r="AB518" t="s">
        <v>6951</v>
      </c>
      <c r="AC518" t="s">
        <v>6952</v>
      </c>
      <c r="AD518" t="s">
        <v>6953</v>
      </c>
      <c r="AE518" t="s">
        <v>6954</v>
      </c>
      <c r="AF518" t="s">
        <v>6955</v>
      </c>
      <c r="AG518" t="s">
        <v>6956</v>
      </c>
      <c r="AH518" t="s">
        <v>6957</v>
      </c>
      <c r="AI518" t="s">
        <v>6958</v>
      </c>
      <c r="AJ518" t="s">
        <v>6959</v>
      </c>
      <c r="AR518" t="s">
        <v>4284</v>
      </c>
    </row>
    <row r="519" spans="1:44">
      <c r="A519">
        <v>11126775</v>
      </c>
      <c r="B519" t="s">
        <v>613</v>
      </c>
      <c r="C519" t="s">
        <v>1067</v>
      </c>
      <c r="D519" t="s">
        <v>1862</v>
      </c>
      <c r="E519" t="s">
        <v>1863</v>
      </c>
      <c r="F519" t="s">
        <v>1541</v>
      </c>
      <c r="G519" t="s">
        <v>1542</v>
      </c>
      <c r="H519" t="s">
        <v>2355</v>
      </c>
      <c r="I519" t="s">
        <v>4529</v>
      </c>
      <c r="J519" t="s">
        <v>3401</v>
      </c>
      <c r="K519" t="s">
        <v>3402</v>
      </c>
      <c r="M519">
        <v>50</v>
      </c>
      <c r="N519">
        <v>70</v>
      </c>
      <c r="O519" t="s">
        <v>2437</v>
      </c>
      <c r="P519" t="s">
        <v>2437</v>
      </c>
      <c r="R519" t="s">
        <v>2437</v>
      </c>
      <c r="T519" t="s">
        <v>2437</v>
      </c>
      <c r="U519" t="s">
        <v>2437</v>
      </c>
      <c r="V519" t="s">
        <v>2437</v>
      </c>
      <c r="Y519" t="s">
        <v>6948</v>
      </c>
      <c r="Z519" t="s">
        <v>6949</v>
      </c>
      <c r="AA519" t="s">
        <v>6950</v>
      </c>
      <c r="AB519" t="s">
        <v>6951</v>
      </c>
      <c r="AC519" t="s">
        <v>6952</v>
      </c>
      <c r="AD519" t="s">
        <v>6953</v>
      </c>
      <c r="AE519" t="s">
        <v>6954</v>
      </c>
      <c r="AF519" t="s">
        <v>6955</v>
      </c>
      <c r="AG519" t="s">
        <v>6956</v>
      </c>
      <c r="AH519" t="s">
        <v>6957</v>
      </c>
      <c r="AI519" t="s">
        <v>6958</v>
      </c>
      <c r="AJ519" t="s">
        <v>6959</v>
      </c>
      <c r="AR519" t="s">
        <v>4284</v>
      </c>
    </row>
    <row r="520" spans="1:44">
      <c r="A520">
        <v>11126776</v>
      </c>
      <c r="B520" t="s">
        <v>614</v>
      </c>
      <c r="C520" t="s">
        <v>1300</v>
      </c>
      <c r="D520" t="s">
        <v>1862</v>
      </c>
      <c r="E520" t="s">
        <v>1863</v>
      </c>
      <c r="F520" t="s">
        <v>1541</v>
      </c>
      <c r="G520" t="s">
        <v>1542</v>
      </c>
      <c r="H520" t="s">
        <v>2131</v>
      </c>
      <c r="I520" t="s">
        <v>4352</v>
      </c>
      <c r="J520" t="s">
        <v>3403</v>
      </c>
      <c r="K520" t="s">
        <v>3404</v>
      </c>
      <c r="M520">
        <v>50</v>
      </c>
      <c r="N520">
        <v>70</v>
      </c>
      <c r="O520" t="s">
        <v>2437</v>
      </c>
      <c r="P520" t="s">
        <v>2437</v>
      </c>
      <c r="R520" t="s">
        <v>2437</v>
      </c>
      <c r="T520" t="s">
        <v>2437</v>
      </c>
      <c r="U520" t="s">
        <v>2437</v>
      </c>
      <c r="V520" t="s">
        <v>2437</v>
      </c>
      <c r="Y520" t="s">
        <v>6948</v>
      </c>
      <c r="Z520" t="s">
        <v>6949</v>
      </c>
      <c r="AA520" t="s">
        <v>6950</v>
      </c>
      <c r="AB520" t="s">
        <v>6951</v>
      </c>
      <c r="AC520" t="s">
        <v>6952</v>
      </c>
      <c r="AD520" t="s">
        <v>6953</v>
      </c>
      <c r="AE520" t="s">
        <v>6954</v>
      </c>
      <c r="AF520" t="s">
        <v>6955</v>
      </c>
      <c r="AG520" t="s">
        <v>6956</v>
      </c>
      <c r="AH520" t="s">
        <v>6957</v>
      </c>
      <c r="AI520" t="s">
        <v>6958</v>
      </c>
      <c r="AJ520" t="s">
        <v>6959</v>
      </c>
      <c r="AR520" t="s">
        <v>4284</v>
      </c>
    </row>
    <row r="521" spans="1:44">
      <c r="A521">
        <v>11126777</v>
      </c>
      <c r="B521" t="s">
        <v>615</v>
      </c>
      <c r="C521" t="s">
        <v>1066</v>
      </c>
      <c r="D521" t="s">
        <v>1864</v>
      </c>
      <c r="E521" t="s">
        <v>1865</v>
      </c>
      <c r="F521" t="s">
        <v>1666</v>
      </c>
      <c r="G521" t="s">
        <v>1667</v>
      </c>
      <c r="H521" t="s">
        <v>2247</v>
      </c>
      <c r="I521" t="s">
        <v>4438</v>
      </c>
      <c r="J521" t="s">
        <v>3405</v>
      </c>
      <c r="K521" t="s">
        <v>3406</v>
      </c>
      <c r="M521">
        <v>50</v>
      </c>
      <c r="N521">
        <v>70</v>
      </c>
      <c r="O521" t="s">
        <v>2437</v>
      </c>
      <c r="P521" t="s">
        <v>2437</v>
      </c>
      <c r="R521" t="s">
        <v>2437</v>
      </c>
      <c r="T521" t="s">
        <v>2437</v>
      </c>
      <c r="U521" t="s">
        <v>2437</v>
      </c>
      <c r="V521" t="s">
        <v>2437</v>
      </c>
      <c r="Y521" t="s">
        <v>6948</v>
      </c>
      <c r="Z521" t="s">
        <v>6949</v>
      </c>
      <c r="AA521" t="s">
        <v>6950</v>
      </c>
      <c r="AB521" t="s">
        <v>6951</v>
      </c>
      <c r="AC521" t="s">
        <v>6952</v>
      </c>
      <c r="AD521" t="s">
        <v>6953</v>
      </c>
      <c r="AE521" t="s">
        <v>6954</v>
      </c>
      <c r="AF521" t="s">
        <v>6955</v>
      </c>
      <c r="AG521" t="s">
        <v>6956</v>
      </c>
      <c r="AH521" t="s">
        <v>6957</v>
      </c>
      <c r="AI521" t="s">
        <v>6958</v>
      </c>
      <c r="AJ521" t="s">
        <v>6959</v>
      </c>
      <c r="AR521" t="s">
        <v>4284</v>
      </c>
    </row>
    <row r="522" spans="1:44">
      <c r="A522">
        <v>11126778</v>
      </c>
      <c r="B522" t="s">
        <v>616</v>
      </c>
      <c r="C522" t="s">
        <v>1087</v>
      </c>
      <c r="D522" t="s">
        <v>1864</v>
      </c>
      <c r="E522" t="s">
        <v>1865</v>
      </c>
      <c r="F522" t="s">
        <v>1666</v>
      </c>
      <c r="G522" t="s">
        <v>1667</v>
      </c>
      <c r="H522" t="s">
        <v>2243</v>
      </c>
      <c r="I522" t="s">
        <v>4434</v>
      </c>
      <c r="J522" t="s">
        <v>3407</v>
      </c>
      <c r="K522" t="s">
        <v>3408</v>
      </c>
      <c r="M522">
        <v>50</v>
      </c>
      <c r="N522">
        <v>70</v>
      </c>
      <c r="O522" t="s">
        <v>2437</v>
      </c>
      <c r="P522" t="s">
        <v>2437</v>
      </c>
      <c r="R522" t="s">
        <v>2437</v>
      </c>
      <c r="T522" t="s">
        <v>2437</v>
      </c>
      <c r="U522" t="s">
        <v>2437</v>
      </c>
      <c r="V522" t="s">
        <v>2437</v>
      </c>
      <c r="Y522" t="s">
        <v>6948</v>
      </c>
      <c r="Z522" t="s">
        <v>6949</v>
      </c>
      <c r="AA522" t="s">
        <v>6950</v>
      </c>
      <c r="AB522" t="s">
        <v>6951</v>
      </c>
      <c r="AC522" t="s">
        <v>6952</v>
      </c>
      <c r="AD522" t="s">
        <v>6953</v>
      </c>
      <c r="AE522" t="s">
        <v>6954</v>
      </c>
      <c r="AF522" t="s">
        <v>6955</v>
      </c>
      <c r="AG522" t="s">
        <v>6956</v>
      </c>
      <c r="AH522" t="s">
        <v>6957</v>
      </c>
      <c r="AI522" t="s">
        <v>6958</v>
      </c>
      <c r="AJ522" t="s">
        <v>6959</v>
      </c>
      <c r="AR522" t="s">
        <v>4284</v>
      </c>
    </row>
    <row r="523" spans="1:44">
      <c r="A523">
        <v>11126779</v>
      </c>
      <c r="B523" t="s">
        <v>617</v>
      </c>
      <c r="C523" t="s">
        <v>1024</v>
      </c>
      <c r="D523" t="s">
        <v>1864</v>
      </c>
      <c r="E523" t="s">
        <v>1865</v>
      </c>
      <c r="F523" t="s">
        <v>1666</v>
      </c>
      <c r="G523" t="s">
        <v>1667</v>
      </c>
      <c r="H523" t="s">
        <v>2248</v>
      </c>
      <c r="I523" t="s">
        <v>4439</v>
      </c>
      <c r="J523" t="s">
        <v>3409</v>
      </c>
      <c r="K523" t="s">
        <v>3410</v>
      </c>
      <c r="M523">
        <v>50</v>
      </c>
      <c r="N523">
        <v>70</v>
      </c>
      <c r="O523" t="s">
        <v>2437</v>
      </c>
      <c r="P523" t="s">
        <v>2437</v>
      </c>
      <c r="R523" t="s">
        <v>2437</v>
      </c>
      <c r="T523" t="s">
        <v>2437</v>
      </c>
      <c r="U523" t="s">
        <v>2437</v>
      </c>
      <c r="V523" t="s">
        <v>2437</v>
      </c>
      <c r="Y523" t="s">
        <v>6948</v>
      </c>
      <c r="Z523" t="s">
        <v>6949</v>
      </c>
      <c r="AA523" t="s">
        <v>6950</v>
      </c>
      <c r="AB523" t="s">
        <v>6951</v>
      </c>
      <c r="AC523" t="s">
        <v>6952</v>
      </c>
      <c r="AD523" t="s">
        <v>6953</v>
      </c>
      <c r="AE523" t="s">
        <v>6954</v>
      </c>
      <c r="AF523" t="s">
        <v>6955</v>
      </c>
      <c r="AG523" t="s">
        <v>6956</v>
      </c>
      <c r="AH523" t="s">
        <v>6957</v>
      </c>
      <c r="AI523" t="s">
        <v>6958</v>
      </c>
      <c r="AJ523" t="s">
        <v>6959</v>
      </c>
      <c r="AR523" t="s">
        <v>4284</v>
      </c>
    </row>
    <row r="524" spans="1:44">
      <c r="A524">
        <v>11126780</v>
      </c>
      <c r="B524" t="s">
        <v>618</v>
      </c>
      <c r="C524" t="s">
        <v>1025</v>
      </c>
      <c r="D524" t="s">
        <v>1864</v>
      </c>
      <c r="E524" t="s">
        <v>1865</v>
      </c>
      <c r="F524" t="s">
        <v>1666</v>
      </c>
      <c r="G524" t="s">
        <v>1667</v>
      </c>
      <c r="H524" t="s">
        <v>2249</v>
      </c>
      <c r="I524" t="s">
        <v>4440</v>
      </c>
      <c r="J524" t="s">
        <v>3411</v>
      </c>
      <c r="K524" t="s">
        <v>3412</v>
      </c>
      <c r="M524">
        <v>50</v>
      </c>
      <c r="N524">
        <v>70</v>
      </c>
      <c r="O524" t="s">
        <v>2437</v>
      </c>
      <c r="P524" t="s">
        <v>2437</v>
      </c>
      <c r="R524" t="s">
        <v>2437</v>
      </c>
      <c r="T524" t="s">
        <v>2437</v>
      </c>
      <c r="U524" t="s">
        <v>2437</v>
      </c>
      <c r="V524" t="s">
        <v>2437</v>
      </c>
      <c r="Y524" t="s">
        <v>6948</v>
      </c>
      <c r="Z524" t="s">
        <v>6949</v>
      </c>
      <c r="AA524" t="s">
        <v>6950</v>
      </c>
      <c r="AB524" t="s">
        <v>6951</v>
      </c>
      <c r="AC524" t="s">
        <v>6952</v>
      </c>
      <c r="AD524" t="s">
        <v>6953</v>
      </c>
      <c r="AE524" t="s">
        <v>6954</v>
      </c>
      <c r="AF524" t="s">
        <v>6955</v>
      </c>
      <c r="AG524" t="s">
        <v>6956</v>
      </c>
      <c r="AH524" t="s">
        <v>6957</v>
      </c>
      <c r="AI524" t="s">
        <v>6958</v>
      </c>
      <c r="AJ524" t="s">
        <v>6959</v>
      </c>
      <c r="AR524" t="s">
        <v>4284</v>
      </c>
    </row>
    <row r="525" spans="1:44">
      <c r="A525">
        <v>11126781</v>
      </c>
      <c r="B525" t="s">
        <v>619</v>
      </c>
      <c r="C525" t="s">
        <v>1213</v>
      </c>
      <c r="D525" t="s">
        <v>1866</v>
      </c>
      <c r="E525" t="s">
        <v>1867</v>
      </c>
      <c r="F525" t="s">
        <v>1666</v>
      </c>
      <c r="G525" t="s">
        <v>1667</v>
      </c>
      <c r="H525" t="s">
        <v>2247</v>
      </c>
      <c r="I525" t="s">
        <v>4438</v>
      </c>
      <c r="J525" t="s">
        <v>3413</v>
      </c>
      <c r="K525" t="s">
        <v>3414</v>
      </c>
      <c r="M525">
        <v>50</v>
      </c>
      <c r="N525">
        <v>70</v>
      </c>
      <c r="O525" t="s">
        <v>2437</v>
      </c>
      <c r="P525" t="s">
        <v>2437</v>
      </c>
      <c r="R525" t="s">
        <v>2437</v>
      </c>
      <c r="T525" t="s">
        <v>2437</v>
      </c>
      <c r="U525" t="s">
        <v>2437</v>
      </c>
      <c r="V525" t="s">
        <v>2437</v>
      </c>
      <c r="Y525" t="s">
        <v>6948</v>
      </c>
      <c r="Z525" t="s">
        <v>6949</v>
      </c>
      <c r="AA525" t="s">
        <v>6950</v>
      </c>
      <c r="AB525" t="s">
        <v>6951</v>
      </c>
      <c r="AC525" t="s">
        <v>6952</v>
      </c>
      <c r="AD525" t="s">
        <v>6953</v>
      </c>
      <c r="AE525" t="s">
        <v>6954</v>
      </c>
      <c r="AF525" t="s">
        <v>6955</v>
      </c>
      <c r="AG525" t="s">
        <v>6956</v>
      </c>
      <c r="AH525" t="s">
        <v>6957</v>
      </c>
      <c r="AI525" t="s">
        <v>6958</v>
      </c>
      <c r="AJ525" t="s">
        <v>6959</v>
      </c>
      <c r="AR525" t="s">
        <v>4284</v>
      </c>
    </row>
    <row r="526" spans="1:44">
      <c r="A526">
        <v>11126782</v>
      </c>
      <c r="B526" t="s">
        <v>620</v>
      </c>
      <c r="C526" t="s">
        <v>1214</v>
      </c>
      <c r="D526" t="s">
        <v>1866</v>
      </c>
      <c r="E526" t="s">
        <v>1867</v>
      </c>
      <c r="F526" t="s">
        <v>1666</v>
      </c>
      <c r="G526" t="s">
        <v>1667</v>
      </c>
      <c r="H526" t="s">
        <v>2248</v>
      </c>
      <c r="I526" t="s">
        <v>4439</v>
      </c>
      <c r="J526" t="s">
        <v>3415</v>
      </c>
      <c r="K526" t="s">
        <v>3416</v>
      </c>
      <c r="M526">
        <v>50</v>
      </c>
      <c r="N526">
        <v>70</v>
      </c>
      <c r="O526" t="s">
        <v>2437</v>
      </c>
      <c r="P526" t="s">
        <v>2437</v>
      </c>
      <c r="R526" t="s">
        <v>2437</v>
      </c>
      <c r="T526" t="s">
        <v>2437</v>
      </c>
      <c r="U526" t="s">
        <v>2437</v>
      </c>
      <c r="V526" t="s">
        <v>2437</v>
      </c>
      <c r="Y526" t="s">
        <v>6948</v>
      </c>
      <c r="Z526" t="s">
        <v>6949</v>
      </c>
      <c r="AA526" t="s">
        <v>6950</v>
      </c>
      <c r="AB526" t="s">
        <v>6951</v>
      </c>
      <c r="AC526" t="s">
        <v>6952</v>
      </c>
      <c r="AD526" t="s">
        <v>6953</v>
      </c>
      <c r="AE526" t="s">
        <v>6954</v>
      </c>
      <c r="AF526" t="s">
        <v>6955</v>
      </c>
      <c r="AG526" t="s">
        <v>6956</v>
      </c>
      <c r="AH526" t="s">
        <v>6957</v>
      </c>
      <c r="AI526" t="s">
        <v>6958</v>
      </c>
      <c r="AJ526" t="s">
        <v>6959</v>
      </c>
      <c r="AR526" t="s">
        <v>4284</v>
      </c>
    </row>
    <row r="527" spans="1:44">
      <c r="A527">
        <v>11126783</v>
      </c>
      <c r="B527" t="s">
        <v>621</v>
      </c>
      <c r="C527" t="s">
        <v>1208</v>
      </c>
      <c r="D527" t="s">
        <v>1866</v>
      </c>
      <c r="E527" t="s">
        <v>1867</v>
      </c>
      <c r="F527" t="s">
        <v>1666</v>
      </c>
      <c r="G527" t="s">
        <v>1667</v>
      </c>
      <c r="H527" t="s">
        <v>2243</v>
      </c>
      <c r="I527" t="s">
        <v>4434</v>
      </c>
      <c r="J527" t="s">
        <v>3417</v>
      </c>
      <c r="K527" t="s">
        <v>3418</v>
      </c>
      <c r="M527">
        <v>50</v>
      </c>
      <c r="N527">
        <v>70</v>
      </c>
      <c r="O527" t="s">
        <v>2437</v>
      </c>
      <c r="P527" t="s">
        <v>2437</v>
      </c>
      <c r="R527" t="s">
        <v>2437</v>
      </c>
      <c r="T527" t="s">
        <v>2437</v>
      </c>
      <c r="U527" t="s">
        <v>2437</v>
      </c>
      <c r="V527" t="s">
        <v>2437</v>
      </c>
      <c r="Y527" t="s">
        <v>6948</v>
      </c>
      <c r="Z527" t="s">
        <v>6949</v>
      </c>
      <c r="AA527" t="s">
        <v>6950</v>
      </c>
      <c r="AB527" t="s">
        <v>6951</v>
      </c>
      <c r="AC527" t="s">
        <v>6952</v>
      </c>
      <c r="AD527" t="s">
        <v>6953</v>
      </c>
      <c r="AE527" t="s">
        <v>6954</v>
      </c>
      <c r="AF527" t="s">
        <v>6955</v>
      </c>
      <c r="AG527" t="s">
        <v>6956</v>
      </c>
      <c r="AH527" t="s">
        <v>6957</v>
      </c>
      <c r="AI527" t="s">
        <v>6958</v>
      </c>
      <c r="AJ527" t="s">
        <v>6959</v>
      </c>
      <c r="AR527" t="s">
        <v>4284</v>
      </c>
    </row>
    <row r="528" spans="1:44">
      <c r="A528">
        <v>11126784</v>
      </c>
      <c r="B528" t="s">
        <v>622</v>
      </c>
      <c r="C528" t="s">
        <v>1215</v>
      </c>
      <c r="D528" t="s">
        <v>1866</v>
      </c>
      <c r="E528" t="s">
        <v>1867</v>
      </c>
      <c r="F528" t="s">
        <v>1666</v>
      </c>
      <c r="G528" t="s">
        <v>1667</v>
      </c>
      <c r="H528" t="s">
        <v>2249</v>
      </c>
      <c r="I528" t="s">
        <v>4440</v>
      </c>
      <c r="J528" t="s">
        <v>3419</v>
      </c>
      <c r="K528" t="s">
        <v>3420</v>
      </c>
      <c r="M528">
        <v>50</v>
      </c>
      <c r="N528">
        <v>70</v>
      </c>
      <c r="O528" t="s">
        <v>2437</v>
      </c>
      <c r="P528" t="s">
        <v>2437</v>
      </c>
      <c r="R528" t="s">
        <v>2437</v>
      </c>
      <c r="T528" t="s">
        <v>2437</v>
      </c>
      <c r="U528" t="s">
        <v>2437</v>
      </c>
      <c r="V528" t="s">
        <v>2437</v>
      </c>
      <c r="Y528" t="s">
        <v>6948</v>
      </c>
      <c r="Z528" t="s">
        <v>6949</v>
      </c>
      <c r="AA528" t="s">
        <v>6950</v>
      </c>
      <c r="AB528" t="s">
        <v>6951</v>
      </c>
      <c r="AC528" t="s">
        <v>6952</v>
      </c>
      <c r="AD528" t="s">
        <v>6953</v>
      </c>
      <c r="AE528" t="s">
        <v>6954</v>
      </c>
      <c r="AF528" t="s">
        <v>6955</v>
      </c>
      <c r="AG528" t="s">
        <v>6956</v>
      </c>
      <c r="AH528" t="s">
        <v>6957</v>
      </c>
      <c r="AI528" t="s">
        <v>6958</v>
      </c>
      <c r="AJ528" t="s">
        <v>6959</v>
      </c>
      <c r="AR528" t="s">
        <v>4284</v>
      </c>
    </row>
    <row r="529" spans="1:44">
      <c r="A529">
        <v>11126785</v>
      </c>
      <c r="B529" t="s">
        <v>623</v>
      </c>
      <c r="C529" t="s">
        <v>1060</v>
      </c>
      <c r="D529" t="s">
        <v>1868</v>
      </c>
      <c r="E529" t="s">
        <v>1869</v>
      </c>
      <c r="F529" t="s">
        <v>1870</v>
      </c>
      <c r="G529" t="s">
        <v>1871</v>
      </c>
      <c r="H529" t="s">
        <v>2244</v>
      </c>
      <c r="I529" t="s">
        <v>4435</v>
      </c>
      <c r="J529" t="s">
        <v>3421</v>
      </c>
      <c r="K529" t="s">
        <v>3422</v>
      </c>
      <c r="M529">
        <v>50</v>
      </c>
      <c r="N529">
        <v>70</v>
      </c>
      <c r="O529" t="s">
        <v>2437</v>
      </c>
      <c r="P529" t="s">
        <v>2437</v>
      </c>
      <c r="R529" t="s">
        <v>2437</v>
      </c>
      <c r="T529" t="s">
        <v>2437</v>
      </c>
      <c r="U529" t="s">
        <v>2437</v>
      </c>
      <c r="V529" t="s">
        <v>2437</v>
      </c>
      <c r="Y529" t="s">
        <v>6948</v>
      </c>
      <c r="Z529" t="s">
        <v>6949</v>
      </c>
      <c r="AA529" t="s">
        <v>6950</v>
      </c>
      <c r="AB529" t="s">
        <v>6951</v>
      </c>
      <c r="AC529" t="s">
        <v>6952</v>
      </c>
      <c r="AD529" t="s">
        <v>6953</v>
      </c>
      <c r="AE529" t="s">
        <v>6954</v>
      </c>
      <c r="AF529" t="s">
        <v>6955</v>
      </c>
      <c r="AG529" t="s">
        <v>6956</v>
      </c>
      <c r="AH529" t="s">
        <v>6957</v>
      </c>
      <c r="AI529" t="s">
        <v>6958</v>
      </c>
      <c r="AJ529" t="s">
        <v>6959</v>
      </c>
      <c r="AR529" t="s">
        <v>4284</v>
      </c>
    </row>
    <row r="530" spans="1:44">
      <c r="A530">
        <v>11126786</v>
      </c>
      <c r="B530" t="s">
        <v>624</v>
      </c>
      <c r="C530" t="s">
        <v>1023</v>
      </c>
      <c r="D530" t="s">
        <v>1868</v>
      </c>
      <c r="E530" t="s">
        <v>1869</v>
      </c>
      <c r="F530" t="s">
        <v>1870</v>
      </c>
      <c r="G530" t="s">
        <v>1871</v>
      </c>
      <c r="H530" t="s">
        <v>2245</v>
      </c>
      <c r="I530" t="s">
        <v>4436</v>
      </c>
      <c r="J530" t="s">
        <v>3423</v>
      </c>
      <c r="K530" t="s">
        <v>3424</v>
      </c>
      <c r="M530">
        <v>50</v>
      </c>
      <c r="N530">
        <v>70</v>
      </c>
      <c r="O530" t="s">
        <v>2437</v>
      </c>
      <c r="P530" t="s">
        <v>2437</v>
      </c>
      <c r="R530" t="s">
        <v>2437</v>
      </c>
      <c r="T530" t="s">
        <v>2437</v>
      </c>
      <c r="U530" t="s">
        <v>2437</v>
      </c>
      <c r="V530" t="s">
        <v>2437</v>
      </c>
      <c r="Y530" t="s">
        <v>6948</v>
      </c>
      <c r="Z530" t="s">
        <v>6949</v>
      </c>
      <c r="AA530" t="s">
        <v>6950</v>
      </c>
      <c r="AB530" t="s">
        <v>6951</v>
      </c>
      <c r="AC530" t="s">
        <v>6952</v>
      </c>
      <c r="AD530" t="s">
        <v>6953</v>
      </c>
      <c r="AE530" t="s">
        <v>6954</v>
      </c>
      <c r="AF530" t="s">
        <v>6955</v>
      </c>
      <c r="AG530" t="s">
        <v>6956</v>
      </c>
      <c r="AH530" t="s">
        <v>6957</v>
      </c>
      <c r="AI530" t="s">
        <v>6958</v>
      </c>
      <c r="AJ530" t="s">
        <v>6959</v>
      </c>
      <c r="AR530" t="s">
        <v>4284</v>
      </c>
    </row>
    <row r="531" spans="1:44">
      <c r="A531">
        <v>11126787</v>
      </c>
      <c r="B531" t="s">
        <v>625</v>
      </c>
      <c r="C531" t="s">
        <v>1209</v>
      </c>
      <c r="D531" t="s">
        <v>1868</v>
      </c>
      <c r="E531" t="s">
        <v>1869</v>
      </c>
      <c r="F531" t="s">
        <v>1870</v>
      </c>
      <c r="G531" t="s">
        <v>1871</v>
      </c>
      <c r="H531" t="s">
        <v>2246</v>
      </c>
      <c r="I531" t="s">
        <v>4437</v>
      </c>
      <c r="J531" t="s">
        <v>3425</v>
      </c>
      <c r="K531" t="s">
        <v>3426</v>
      </c>
      <c r="M531">
        <v>50</v>
      </c>
      <c r="N531">
        <v>70</v>
      </c>
      <c r="O531" t="s">
        <v>2437</v>
      </c>
      <c r="P531" t="s">
        <v>2437</v>
      </c>
      <c r="R531" t="s">
        <v>2437</v>
      </c>
      <c r="T531" t="s">
        <v>2437</v>
      </c>
      <c r="U531" t="s">
        <v>2437</v>
      </c>
      <c r="V531" t="s">
        <v>2437</v>
      </c>
      <c r="Y531" t="s">
        <v>6948</v>
      </c>
      <c r="Z531" t="s">
        <v>6949</v>
      </c>
      <c r="AA531" t="s">
        <v>6950</v>
      </c>
      <c r="AB531" t="s">
        <v>6951</v>
      </c>
      <c r="AC531" t="s">
        <v>6952</v>
      </c>
      <c r="AD531" t="s">
        <v>6953</v>
      </c>
      <c r="AE531" t="s">
        <v>6954</v>
      </c>
      <c r="AF531" t="s">
        <v>6955</v>
      </c>
      <c r="AG531" t="s">
        <v>6956</v>
      </c>
      <c r="AH531" t="s">
        <v>6957</v>
      </c>
      <c r="AI531" t="s">
        <v>6958</v>
      </c>
      <c r="AJ531" t="s">
        <v>6959</v>
      </c>
      <c r="AR531" t="s">
        <v>4284</v>
      </c>
    </row>
    <row r="532" spans="1:44">
      <c r="A532">
        <v>11126788</v>
      </c>
      <c r="B532" t="s">
        <v>626</v>
      </c>
      <c r="C532" t="s">
        <v>1210</v>
      </c>
      <c r="D532" t="s">
        <v>1872</v>
      </c>
      <c r="E532" t="s">
        <v>1873</v>
      </c>
      <c r="F532" t="s">
        <v>1870</v>
      </c>
      <c r="G532" t="s">
        <v>1871</v>
      </c>
      <c r="H532" t="s">
        <v>2244</v>
      </c>
      <c r="I532" t="s">
        <v>4435</v>
      </c>
      <c r="J532" t="s">
        <v>3427</v>
      </c>
      <c r="K532" t="s">
        <v>3428</v>
      </c>
      <c r="M532">
        <v>50</v>
      </c>
      <c r="N532">
        <v>70</v>
      </c>
      <c r="O532" t="s">
        <v>2437</v>
      </c>
      <c r="P532" t="s">
        <v>2437</v>
      </c>
      <c r="R532" t="s">
        <v>2437</v>
      </c>
      <c r="T532" t="s">
        <v>2437</v>
      </c>
      <c r="U532" t="s">
        <v>2437</v>
      </c>
      <c r="V532" t="s">
        <v>2437</v>
      </c>
      <c r="Y532" t="s">
        <v>6948</v>
      </c>
      <c r="Z532" t="s">
        <v>6949</v>
      </c>
      <c r="AA532" t="s">
        <v>6950</v>
      </c>
      <c r="AB532" t="s">
        <v>6951</v>
      </c>
      <c r="AC532" t="s">
        <v>6952</v>
      </c>
      <c r="AD532" t="s">
        <v>6953</v>
      </c>
      <c r="AE532" t="s">
        <v>6954</v>
      </c>
      <c r="AF532" t="s">
        <v>6955</v>
      </c>
      <c r="AG532" t="s">
        <v>6956</v>
      </c>
      <c r="AH532" t="s">
        <v>6957</v>
      </c>
      <c r="AI532" t="s">
        <v>6958</v>
      </c>
      <c r="AJ532" t="s">
        <v>6959</v>
      </c>
      <c r="AR532" t="s">
        <v>4284</v>
      </c>
    </row>
    <row r="533" spans="1:44">
      <c r="A533">
        <v>11126789</v>
      </c>
      <c r="B533" t="s">
        <v>627</v>
      </c>
      <c r="C533" t="s">
        <v>1211</v>
      </c>
      <c r="D533" t="s">
        <v>1872</v>
      </c>
      <c r="E533" t="s">
        <v>1873</v>
      </c>
      <c r="F533" t="s">
        <v>1870</v>
      </c>
      <c r="G533" t="s">
        <v>1871</v>
      </c>
      <c r="H533" t="s">
        <v>2245</v>
      </c>
      <c r="I533" t="s">
        <v>4436</v>
      </c>
      <c r="J533" t="s">
        <v>3429</v>
      </c>
      <c r="K533" t="s">
        <v>3430</v>
      </c>
      <c r="M533">
        <v>50</v>
      </c>
      <c r="N533">
        <v>70</v>
      </c>
      <c r="O533" t="s">
        <v>2437</v>
      </c>
      <c r="P533" t="s">
        <v>2437</v>
      </c>
      <c r="R533" t="s">
        <v>2437</v>
      </c>
      <c r="T533" t="s">
        <v>2437</v>
      </c>
      <c r="U533" t="s">
        <v>2437</v>
      </c>
      <c r="V533" t="s">
        <v>2437</v>
      </c>
      <c r="Y533" t="s">
        <v>6948</v>
      </c>
      <c r="Z533" t="s">
        <v>6949</v>
      </c>
      <c r="AA533" t="s">
        <v>6950</v>
      </c>
      <c r="AB533" t="s">
        <v>6951</v>
      </c>
      <c r="AC533" t="s">
        <v>6952</v>
      </c>
      <c r="AD533" t="s">
        <v>6953</v>
      </c>
      <c r="AE533" t="s">
        <v>6954</v>
      </c>
      <c r="AF533" t="s">
        <v>6955</v>
      </c>
      <c r="AG533" t="s">
        <v>6956</v>
      </c>
      <c r="AH533" t="s">
        <v>6957</v>
      </c>
      <c r="AI533" t="s">
        <v>6958</v>
      </c>
      <c r="AJ533" t="s">
        <v>6959</v>
      </c>
      <c r="AR533" t="s">
        <v>4284</v>
      </c>
    </row>
    <row r="534" spans="1:44">
      <c r="A534">
        <v>11126790</v>
      </c>
      <c r="B534" t="s">
        <v>628</v>
      </c>
      <c r="C534" t="s">
        <v>1212</v>
      </c>
      <c r="D534" t="s">
        <v>1872</v>
      </c>
      <c r="E534" t="s">
        <v>1873</v>
      </c>
      <c r="F534" t="s">
        <v>1870</v>
      </c>
      <c r="G534" t="s">
        <v>1871</v>
      </c>
      <c r="H534" t="s">
        <v>2246</v>
      </c>
      <c r="I534" t="s">
        <v>4437</v>
      </c>
      <c r="J534" t="s">
        <v>3431</v>
      </c>
      <c r="K534" t="s">
        <v>3432</v>
      </c>
      <c r="M534">
        <v>50</v>
      </c>
      <c r="N534">
        <v>70</v>
      </c>
      <c r="O534" t="s">
        <v>2437</v>
      </c>
      <c r="P534" t="s">
        <v>2437</v>
      </c>
      <c r="R534" t="s">
        <v>2437</v>
      </c>
      <c r="T534" t="s">
        <v>2437</v>
      </c>
      <c r="U534" t="s">
        <v>2437</v>
      </c>
      <c r="V534" t="s">
        <v>2437</v>
      </c>
      <c r="Y534" t="s">
        <v>6948</v>
      </c>
      <c r="Z534" t="s">
        <v>6949</v>
      </c>
      <c r="AA534" t="s">
        <v>6950</v>
      </c>
      <c r="AB534" t="s">
        <v>6951</v>
      </c>
      <c r="AC534" t="s">
        <v>6952</v>
      </c>
      <c r="AD534" t="s">
        <v>6953</v>
      </c>
      <c r="AE534" t="s">
        <v>6954</v>
      </c>
      <c r="AF534" t="s">
        <v>6955</v>
      </c>
      <c r="AG534" t="s">
        <v>6956</v>
      </c>
      <c r="AH534" t="s">
        <v>6957</v>
      </c>
      <c r="AI534" t="s">
        <v>6958</v>
      </c>
      <c r="AJ534" t="s">
        <v>6959</v>
      </c>
      <c r="AR534" t="s">
        <v>4284</v>
      </c>
    </row>
    <row r="535" spans="1:44">
      <c r="A535">
        <v>11126791</v>
      </c>
      <c r="B535" t="s">
        <v>629</v>
      </c>
      <c r="C535" t="s">
        <v>1203</v>
      </c>
      <c r="D535" t="s">
        <v>1874</v>
      </c>
      <c r="E535" t="s">
        <v>1875</v>
      </c>
      <c r="F535" t="s">
        <v>1876</v>
      </c>
      <c r="G535" t="s">
        <v>1877</v>
      </c>
      <c r="H535" t="s">
        <v>2201</v>
      </c>
      <c r="I535" t="s">
        <v>4395</v>
      </c>
      <c r="J535" t="s">
        <v>3433</v>
      </c>
      <c r="K535" t="s">
        <v>3434</v>
      </c>
      <c r="M535">
        <v>50</v>
      </c>
      <c r="N535">
        <v>70</v>
      </c>
      <c r="O535" t="s">
        <v>2437</v>
      </c>
      <c r="P535" t="s">
        <v>2437</v>
      </c>
      <c r="R535" t="s">
        <v>2437</v>
      </c>
      <c r="T535" t="s">
        <v>2437</v>
      </c>
      <c r="U535" t="s">
        <v>2437</v>
      </c>
      <c r="V535" t="s">
        <v>2437</v>
      </c>
      <c r="Y535" t="s">
        <v>6948</v>
      </c>
      <c r="Z535" t="s">
        <v>6949</v>
      </c>
      <c r="AA535" t="s">
        <v>6950</v>
      </c>
      <c r="AB535" t="s">
        <v>6951</v>
      </c>
      <c r="AC535" t="s">
        <v>6952</v>
      </c>
      <c r="AD535" t="s">
        <v>6953</v>
      </c>
      <c r="AE535" t="s">
        <v>6954</v>
      </c>
      <c r="AF535" t="s">
        <v>6955</v>
      </c>
      <c r="AG535" t="s">
        <v>6956</v>
      </c>
      <c r="AH535" t="s">
        <v>6957</v>
      </c>
      <c r="AI535" t="s">
        <v>6958</v>
      </c>
      <c r="AJ535" t="s">
        <v>6959</v>
      </c>
      <c r="AR535" t="s">
        <v>4284</v>
      </c>
    </row>
    <row r="536" spans="1:44">
      <c r="A536">
        <v>11126792</v>
      </c>
      <c r="B536" t="s">
        <v>630</v>
      </c>
      <c r="C536" t="s">
        <v>1020</v>
      </c>
      <c r="D536" t="s">
        <v>1874</v>
      </c>
      <c r="E536" t="s">
        <v>1875</v>
      </c>
      <c r="F536" t="s">
        <v>1876</v>
      </c>
      <c r="G536" t="s">
        <v>1877</v>
      </c>
      <c r="H536" t="s">
        <v>2202</v>
      </c>
      <c r="I536" t="s">
        <v>4396</v>
      </c>
      <c r="J536" t="s">
        <v>3435</v>
      </c>
      <c r="K536" t="s">
        <v>3436</v>
      </c>
      <c r="M536">
        <v>50</v>
      </c>
      <c r="N536">
        <v>70</v>
      </c>
      <c r="O536" t="s">
        <v>2437</v>
      </c>
      <c r="P536" t="s">
        <v>2437</v>
      </c>
      <c r="R536" t="s">
        <v>2437</v>
      </c>
      <c r="T536" t="s">
        <v>2437</v>
      </c>
      <c r="U536" t="s">
        <v>2437</v>
      </c>
      <c r="V536" t="s">
        <v>2437</v>
      </c>
      <c r="Y536" t="s">
        <v>6948</v>
      </c>
      <c r="Z536" t="s">
        <v>6949</v>
      </c>
      <c r="AA536" t="s">
        <v>6950</v>
      </c>
      <c r="AB536" t="s">
        <v>6951</v>
      </c>
      <c r="AC536" t="s">
        <v>6952</v>
      </c>
      <c r="AD536" t="s">
        <v>6953</v>
      </c>
      <c r="AE536" t="s">
        <v>6954</v>
      </c>
      <c r="AF536" t="s">
        <v>6955</v>
      </c>
      <c r="AG536" t="s">
        <v>6956</v>
      </c>
      <c r="AH536" t="s">
        <v>6957</v>
      </c>
      <c r="AI536" t="s">
        <v>6958</v>
      </c>
      <c r="AJ536" t="s">
        <v>6959</v>
      </c>
      <c r="AR536" t="s">
        <v>4284</v>
      </c>
    </row>
    <row r="537" spans="1:44">
      <c r="A537">
        <v>11126793</v>
      </c>
      <c r="B537" t="s">
        <v>631</v>
      </c>
      <c r="C537" t="s">
        <v>1084</v>
      </c>
      <c r="D537" t="s">
        <v>1874</v>
      </c>
      <c r="E537" t="s">
        <v>1875</v>
      </c>
      <c r="F537" t="s">
        <v>1876</v>
      </c>
      <c r="G537" t="s">
        <v>1877</v>
      </c>
      <c r="H537" t="s">
        <v>2203</v>
      </c>
      <c r="I537" t="s">
        <v>4397</v>
      </c>
      <c r="J537" t="s">
        <v>3437</v>
      </c>
      <c r="K537" t="s">
        <v>3438</v>
      </c>
      <c r="M537">
        <v>50</v>
      </c>
      <c r="N537">
        <v>70</v>
      </c>
      <c r="O537" t="s">
        <v>2437</v>
      </c>
      <c r="P537" t="s">
        <v>2437</v>
      </c>
      <c r="R537" t="s">
        <v>2437</v>
      </c>
      <c r="T537" t="s">
        <v>2437</v>
      </c>
      <c r="U537" t="s">
        <v>2437</v>
      </c>
      <c r="V537" t="s">
        <v>2437</v>
      </c>
      <c r="Y537" t="s">
        <v>6948</v>
      </c>
      <c r="Z537" t="s">
        <v>6949</v>
      </c>
      <c r="AA537" t="s">
        <v>6950</v>
      </c>
      <c r="AB537" t="s">
        <v>6951</v>
      </c>
      <c r="AC537" t="s">
        <v>6952</v>
      </c>
      <c r="AD537" t="s">
        <v>6953</v>
      </c>
      <c r="AE537" t="s">
        <v>6954</v>
      </c>
      <c r="AF537" t="s">
        <v>6955</v>
      </c>
      <c r="AG537" t="s">
        <v>6956</v>
      </c>
      <c r="AH537" t="s">
        <v>6957</v>
      </c>
      <c r="AI537" t="s">
        <v>6958</v>
      </c>
      <c r="AJ537" t="s">
        <v>6959</v>
      </c>
      <c r="AR537" t="s">
        <v>4284</v>
      </c>
    </row>
    <row r="538" spans="1:44">
      <c r="A538">
        <v>11126794</v>
      </c>
      <c r="B538" t="s">
        <v>632</v>
      </c>
      <c r="C538" t="s">
        <v>1085</v>
      </c>
      <c r="D538" t="s">
        <v>1878</v>
      </c>
      <c r="E538" t="s">
        <v>1631</v>
      </c>
      <c r="F538" t="s">
        <v>1879</v>
      </c>
      <c r="G538" t="s">
        <v>1880</v>
      </c>
      <c r="H538" t="s">
        <v>2221</v>
      </c>
      <c r="I538" t="s">
        <v>4415</v>
      </c>
      <c r="J538" t="s">
        <v>2802</v>
      </c>
      <c r="K538" t="s">
        <v>2803</v>
      </c>
      <c r="M538">
        <v>50</v>
      </c>
      <c r="N538">
        <v>70</v>
      </c>
      <c r="O538" t="s">
        <v>2437</v>
      </c>
      <c r="P538" t="s">
        <v>2437</v>
      </c>
      <c r="R538" t="s">
        <v>2437</v>
      </c>
      <c r="T538" t="s">
        <v>2437</v>
      </c>
      <c r="U538" t="s">
        <v>2437</v>
      </c>
      <c r="V538" t="s">
        <v>2437</v>
      </c>
      <c r="Y538" t="s">
        <v>6948</v>
      </c>
      <c r="Z538" t="s">
        <v>6949</v>
      </c>
      <c r="AA538" t="s">
        <v>6950</v>
      </c>
      <c r="AB538" t="s">
        <v>6951</v>
      </c>
      <c r="AC538" t="s">
        <v>6952</v>
      </c>
      <c r="AD538" t="s">
        <v>6953</v>
      </c>
      <c r="AE538" t="s">
        <v>6954</v>
      </c>
      <c r="AF538" t="s">
        <v>6955</v>
      </c>
      <c r="AG538" t="s">
        <v>6956</v>
      </c>
      <c r="AH538" t="s">
        <v>6957</v>
      </c>
      <c r="AI538" t="s">
        <v>6958</v>
      </c>
      <c r="AJ538" t="s">
        <v>6959</v>
      </c>
      <c r="AR538" t="s">
        <v>4284</v>
      </c>
    </row>
    <row r="539" spans="1:44">
      <c r="A539">
        <v>11126795</v>
      </c>
      <c r="B539" t="s">
        <v>633</v>
      </c>
      <c r="C539" t="s">
        <v>1086</v>
      </c>
      <c r="D539" t="s">
        <v>1878</v>
      </c>
      <c r="E539" t="s">
        <v>1631</v>
      </c>
      <c r="F539" t="s">
        <v>1879</v>
      </c>
      <c r="G539" t="s">
        <v>1880</v>
      </c>
      <c r="H539" t="s">
        <v>2222</v>
      </c>
      <c r="I539" t="s">
        <v>4318</v>
      </c>
      <c r="J539" t="s">
        <v>2804</v>
      </c>
      <c r="K539" t="s">
        <v>2805</v>
      </c>
      <c r="M539">
        <v>50</v>
      </c>
      <c r="N539">
        <v>70</v>
      </c>
      <c r="O539" t="s">
        <v>2437</v>
      </c>
      <c r="P539" t="s">
        <v>2437</v>
      </c>
      <c r="R539" t="s">
        <v>2437</v>
      </c>
      <c r="T539" t="s">
        <v>2437</v>
      </c>
      <c r="U539" t="s">
        <v>2437</v>
      </c>
      <c r="V539" t="s">
        <v>2437</v>
      </c>
      <c r="Y539" t="s">
        <v>6948</v>
      </c>
      <c r="Z539" t="s">
        <v>6949</v>
      </c>
      <c r="AA539" t="s">
        <v>6950</v>
      </c>
      <c r="AB539" t="s">
        <v>6951</v>
      </c>
      <c r="AC539" t="s">
        <v>6952</v>
      </c>
      <c r="AD539" t="s">
        <v>6953</v>
      </c>
      <c r="AE539" t="s">
        <v>6954</v>
      </c>
      <c r="AF539" t="s">
        <v>6955</v>
      </c>
      <c r="AG539" t="s">
        <v>6956</v>
      </c>
      <c r="AH539" t="s">
        <v>6957</v>
      </c>
      <c r="AI539" t="s">
        <v>6958</v>
      </c>
      <c r="AJ539" t="s">
        <v>6959</v>
      </c>
      <c r="AR539" t="s">
        <v>4284</v>
      </c>
    </row>
    <row r="540" spans="1:44">
      <c r="A540">
        <v>11126796</v>
      </c>
      <c r="B540" t="s">
        <v>634</v>
      </c>
      <c r="C540" t="s">
        <v>1137</v>
      </c>
      <c r="D540" t="s">
        <v>1881</v>
      </c>
      <c r="E540" t="s">
        <v>1882</v>
      </c>
      <c r="F540" t="s">
        <v>1883</v>
      </c>
      <c r="G540" t="s">
        <v>1884</v>
      </c>
      <c r="H540" t="s">
        <v>2204</v>
      </c>
      <c r="I540" t="s">
        <v>4398</v>
      </c>
      <c r="J540" t="s">
        <v>3439</v>
      </c>
      <c r="K540" t="s">
        <v>3440</v>
      </c>
      <c r="M540">
        <v>50</v>
      </c>
      <c r="N540">
        <v>70</v>
      </c>
      <c r="O540" t="s">
        <v>2437</v>
      </c>
      <c r="P540" t="s">
        <v>2437</v>
      </c>
      <c r="R540" t="s">
        <v>2437</v>
      </c>
      <c r="T540" t="s">
        <v>2437</v>
      </c>
      <c r="U540" t="s">
        <v>2437</v>
      </c>
      <c r="V540" t="s">
        <v>2437</v>
      </c>
      <c r="Y540" t="s">
        <v>6948</v>
      </c>
      <c r="Z540" t="s">
        <v>6949</v>
      </c>
      <c r="AA540" t="s">
        <v>6950</v>
      </c>
      <c r="AB540" t="s">
        <v>6951</v>
      </c>
      <c r="AC540" t="s">
        <v>6952</v>
      </c>
      <c r="AD540" t="s">
        <v>6953</v>
      </c>
      <c r="AE540" t="s">
        <v>6954</v>
      </c>
      <c r="AF540" t="s">
        <v>6955</v>
      </c>
      <c r="AG540" t="s">
        <v>6956</v>
      </c>
      <c r="AH540" t="s">
        <v>6957</v>
      </c>
      <c r="AI540" t="s">
        <v>6958</v>
      </c>
      <c r="AJ540" t="s">
        <v>6959</v>
      </c>
      <c r="AR540" t="s">
        <v>4284</v>
      </c>
    </row>
    <row r="541" spans="1:44">
      <c r="A541">
        <v>11126797</v>
      </c>
      <c r="B541" t="s">
        <v>635</v>
      </c>
      <c r="C541" t="s">
        <v>1021</v>
      </c>
      <c r="D541" t="s">
        <v>1881</v>
      </c>
      <c r="E541" t="s">
        <v>1882</v>
      </c>
      <c r="F541" t="s">
        <v>1883</v>
      </c>
      <c r="G541" t="s">
        <v>1884</v>
      </c>
      <c r="H541" t="s">
        <v>2206</v>
      </c>
      <c r="I541" t="s">
        <v>4400</v>
      </c>
      <c r="J541" t="s">
        <v>3441</v>
      </c>
      <c r="K541" t="s">
        <v>3442</v>
      </c>
      <c r="M541">
        <v>50</v>
      </c>
      <c r="N541">
        <v>70</v>
      </c>
      <c r="O541" t="s">
        <v>2437</v>
      </c>
      <c r="P541" t="s">
        <v>2437</v>
      </c>
      <c r="R541" t="s">
        <v>2437</v>
      </c>
      <c r="T541" t="s">
        <v>2437</v>
      </c>
      <c r="U541" t="s">
        <v>2437</v>
      </c>
      <c r="V541" t="s">
        <v>2437</v>
      </c>
      <c r="Y541" t="s">
        <v>6948</v>
      </c>
      <c r="Z541" t="s">
        <v>6949</v>
      </c>
      <c r="AA541" t="s">
        <v>6950</v>
      </c>
      <c r="AB541" t="s">
        <v>6951</v>
      </c>
      <c r="AC541" t="s">
        <v>6952</v>
      </c>
      <c r="AD541" t="s">
        <v>6953</v>
      </c>
      <c r="AE541" t="s">
        <v>6954</v>
      </c>
      <c r="AF541" t="s">
        <v>6955</v>
      </c>
      <c r="AG541" t="s">
        <v>6956</v>
      </c>
      <c r="AH541" t="s">
        <v>6957</v>
      </c>
      <c r="AI541" t="s">
        <v>6958</v>
      </c>
      <c r="AJ541" t="s">
        <v>6959</v>
      </c>
      <c r="AR541" t="s">
        <v>4284</v>
      </c>
    </row>
    <row r="542" spans="1:44">
      <c r="A542">
        <v>11126798</v>
      </c>
      <c r="B542" t="s">
        <v>636</v>
      </c>
      <c r="C542" t="s">
        <v>1138</v>
      </c>
      <c r="D542" t="s">
        <v>1881</v>
      </c>
      <c r="E542" t="s">
        <v>1882</v>
      </c>
      <c r="F542" t="s">
        <v>1883</v>
      </c>
      <c r="G542" t="s">
        <v>1884</v>
      </c>
      <c r="H542" t="s">
        <v>2205</v>
      </c>
      <c r="I542" t="s">
        <v>4399</v>
      </c>
      <c r="J542" t="s">
        <v>3443</v>
      </c>
      <c r="K542" t="s">
        <v>3444</v>
      </c>
      <c r="M542">
        <v>50</v>
      </c>
      <c r="N542">
        <v>70</v>
      </c>
      <c r="O542" t="s">
        <v>2437</v>
      </c>
      <c r="P542" t="s">
        <v>2437</v>
      </c>
      <c r="R542" t="s">
        <v>2437</v>
      </c>
      <c r="T542" t="s">
        <v>2437</v>
      </c>
      <c r="U542" t="s">
        <v>2437</v>
      </c>
      <c r="V542" t="s">
        <v>2437</v>
      </c>
      <c r="Y542" t="s">
        <v>6948</v>
      </c>
      <c r="Z542" t="s">
        <v>6949</v>
      </c>
      <c r="AA542" t="s">
        <v>6950</v>
      </c>
      <c r="AB542" t="s">
        <v>6951</v>
      </c>
      <c r="AC542" t="s">
        <v>6952</v>
      </c>
      <c r="AD542" t="s">
        <v>6953</v>
      </c>
      <c r="AE542" t="s">
        <v>6954</v>
      </c>
      <c r="AF542" t="s">
        <v>6955</v>
      </c>
      <c r="AG542" t="s">
        <v>6956</v>
      </c>
      <c r="AH542" t="s">
        <v>6957</v>
      </c>
      <c r="AI542" t="s">
        <v>6958</v>
      </c>
      <c r="AJ542" t="s">
        <v>6959</v>
      </c>
      <c r="AR542" t="s">
        <v>4284</v>
      </c>
    </row>
    <row r="543" spans="1:44">
      <c r="A543">
        <v>11126799</v>
      </c>
      <c r="B543" t="s">
        <v>637</v>
      </c>
      <c r="C543" t="s">
        <v>1022</v>
      </c>
      <c r="D543" t="s">
        <v>1881</v>
      </c>
      <c r="E543" t="s">
        <v>1882</v>
      </c>
      <c r="F543" t="s">
        <v>1883</v>
      </c>
      <c r="G543" t="s">
        <v>1884</v>
      </c>
      <c r="H543" t="s">
        <v>2252</v>
      </c>
      <c r="I543" t="s">
        <v>4443</v>
      </c>
      <c r="J543" t="s">
        <v>3445</v>
      </c>
      <c r="K543" t="s">
        <v>3446</v>
      </c>
      <c r="M543">
        <v>50</v>
      </c>
      <c r="N543">
        <v>70</v>
      </c>
      <c r="O543" t="s">
        <v>2437</v>
      </c>
      <c r="P543" t="s">
        <v>2437</v>
      </c>
      <c r="R543" t="s">
        <v>2437</v>
      </c>
      <c r="T543" t="s">
        <v>2437</v>
      </c>
      <c r="U543" t="s">
        <v>2437</v>
      </c>
      <c r="V543" t="s">
        <v>2437</v>
      </c>
      <c r="Y543" t="s">
        <v>6948</v>
      </c>
      <c r="Z543" t="s">
        <v>6949</v>
      </c>
      <c r="AA543" t="s">
        <v>6950</v>
      </c>
      <c r="AB543" t="s">
        <v>6951</v>
      </c>
      <c r="AC543" t="s">
        <v>6952</v>
      </c>
      <c r="AD543" t="s">
        <v>6953</v>
      </c>
      <c r="AE543" t="s">
        <v>6954</v>
      </c>
      <c r="AF543" t="s">
        <v>6955</v>
      </c>
      <c r="AG543" t="s">
        <v>6956</v>
      </c>
      <c r="AH543" t="s">
        <v>6957</v>
      </c>
      <c r="AI543" t="s">
        <v>6958</v>
      </c>
      <c r="AJ543" t="s">
        <v>6959</v>
      </c>
      <c r="AR543" t="s">
        <v>4284</v>
      </c>
    </row>
    <row r="544" spans="1:44">
      <c r="A544">
        <v>11126800</v>
      </c>
      <c r="B544" t="s">
        <v>638</v>
      </c>
      <c r="C544" t="s">
        <v>1088</v>
      </c>
      <c r="D544" t="s">
        <v>1885</v>
      </c>
      <c r="E544" t="s">
        <v>1886</v>
      </c>
      <c r="F544" t="s">
        <v>1887</v>
      </c>
      <c r="G544" t="s">
        <v>1888</v>
      </c>
      <c r="H544" t="s">
        <v>2356</v>
      </c>
      <c r="I544" t="s">
        <v>4530</v>
      </c>
      <c r="J544" t="s">
        <v>3447</v>
      </c>
      <c r="K544" t="s">
        <v>3448</v>
      </c>
      <c r="M544">
        <v>50</v>
      </c>
      <c r="N544">
        <v>70</v>
      </c>
      <c r="O544" t="s">
        <v>2437</v>
      </c>
      <c r="P544" t="s">
        <v>2437</v>
      </c>
      <c r="R544" t="s">
        <v>2437</v>
      </c>
      <c r="T544" t="s">
        <v>2437</v>
      </c>
      <c r="U544" t="s">
        <v>2437</v>
      </c>
      <c r="V544" t="s">
        <v>2437</v>
      </c>
      <c r="Y544" t="s">
        <v>6948</v>
      </c>
      <c r="Z544" t="s">
        <v>6949</v>
      </c>
      <c r="AA544" t="s">
        <v>6950</v>
      </c>
      <c r="AB544" t="s">
        <v>6951</v>
      </c>
      <c r="AC544" t="s">
        <v>6952</v>
      </c>
      <c r="AD544" t="s">
        <v>6953</v>
      </c>
      <c r="AE544" t="s">
        <v>6954</v>
      </c>
      <c r="AF544" t="s">
        <v>6955</v>
      </c>
      <c r="AG544" t="s">
        <v>6956</v>
      </c>
      <c r="AH544" t="s">
        <v>6957</v>
      </c>
      <c r="AI544" t="s">
        <v>6958</v>
      </c>
      <c r="AJ544" t="s">
        <v>6959</v>
      </c>
      <c r="AR544" t="s">
        <v>4284</v>
      </c>
    </row>
    <row r="545" spans="1:44">
      <c r="A545">
        <v>11126801</v>
      </c>
      <c r="B545" t="s">
        <v>639</v>
      </c>
      <c r="C545" t="s">
        <v>1037</v>
      </c>
      <c r="D545" t="s">
        <v>1889</v>
      </c>
      <c r="E545" t="s">
        <v>1890</v>
      </c>
      <c r="F545" t="s">
        <v>1887</v>
      </c>
      <c r="G545" t="s">
        <v>1888</v>
      </c>
      <c r="H545" t="s">
        <v>2357</v>
      </c>
      <c r="I545" t="s">
        <v>4531</v>
      </c>
      <c r="J545" t="s">
        <v>3449</v>
      </c>
      <c r="K545" t="s">
        <v>3450</v>
      </c>
      <c r="M545">
        <v>50</v>
      </c>
      <c r="N545">
        <v>70</v>
      </c>
      <c r="O545" t="s">
        <v>2437</v>
      </c>
      <c r="P545" t="s">
        <v>2437</v>
      </c>
      <c r="R545" t="s">
        <v>2437</v>
      </c>
      <c r="T545" t="s">
        <v>2437</v>
      </c>
      <c r="U545" t="s">
        <v>2437</v>
      </c>
      <c r="V545" t="s">
        <v>2437</v>
      </c>
      <c r="Y545" t="s">
        <v>6948</v>
      </c>
      <c r="Z545" t="s">
        <v>6949</v>
      </c>
      <c r="AA545" t="s">
        <v>6950</v>
      </c>
      <c r="AB545" t="s">
        <v>6951</v>
      </c>
      <c r="AC545" t="s">
        <v>6952</v>
      </c>
      <c r="AD545" t="s">
        <v>6953</v>
      </c>
      <c r="AE545" t="s">
        <v>6954</v>
      </c>
      <c r="AF545" t="s">
        <v>6955</v>
      </c>
      <c r="AG545" t="s">
        <v>6956</v>
      </c>
      <c r="AH545" t="s">
        <v>6957</v>
      </c>
      <c r="AI545" t="s">
        <v>6958</v>
      </c>
      <c r="AJ545" t="s">
        <v>6959</v>
      </c>
      <c r="AR545" t="s">
        <v>4284</v>
      </c>
    </row>
    <row r="546" spans="1:44">
      <c r="A546">
        <v>11126802</v>
      </c>
      <c r="B546" t="s">
        <v>640</v>
      </c>
      <c r="C546" t="s">
        <v>1089</v>
      </c>
      <c r="D546" t="s">
        <v>1889</v>
      </c>
      <c r="E546" t="s">
        <v>1890</v>
      </c>
      <c r="F546" t="s">
        <v>1887</v>
      </c>
      <c r="G546" t="s">
        <v>1888</v>
      </c>
      <c r="H546" t="s">
        <v>2358</v>
      </c>
      <c r="I546" t="s">
        <v>4532</v>
      </c>
      <c r="J546" t="s">
        <v>3451</v>
      </c>
      <c r="K546" t="s">
        <v>3452</v>
      </c>
      <c r="M546">
        <v>50</v>
      </c>
      <c r="N546">
        <v>70</v>
      </c>
      <c r="O546" t="s">
        <v>2437</v>
      </c>
      <c r="P546" t="s">
        <v>2437</v>
      </c>
      <c r="R546" t="s">
        <v>2437</v>
      </c>
      <c r="T546" t="s">
        <v>2437</v>
      </c>
      <c r="U546" t="s">
        <v>2437</v>
      </c>
      <c r="V546" t="s">
        <v>2437</v>
      </c>
      <c r="Y546" t="s">
        <v>6948</v>
      </c>
      <c r="Z546" t="s">
        <v>6949</v>
      </c>
      <c r="AA546" t="s">
        <v>6950</v>
      </c>
      <c r="AB546" t="s">
        <v>6951</v>
      </c>
      <c r="AC546" t="s">
        <v>6952</v>
      </c>
      <c r="AD546" t="s">
        <v>6953</v>
      </c>
      <c r="AE546" t="s">
        <v>6954</v>
      </c>
      <c r="AF546" t="s">
        <v>6955</v>
      </c>
      <c r="AG546" t="s">
        <v>6956</v>
      </c>
      <c r="AH546" t="s">
        <v>6957</v>
      </c>
      <c r="AI546" t="s">
        <v>6958</v>
      </c>
      <c r="AJ546" t="s">
        <v>6959</v>
      </c>
      <c r="AR546" t="s">
        <v>4284</v>
      </c>
    </row>
    <row r="547" spans="1:44">
      <c r="A547">
        <v>11126803</v>
      </c>
      <c r="B547" t="s">
        <v>641</v>
      </c>
      <c r="C547" t="s">
        <v>1194</v>
      </c>
      <c r="D547" t="s">
        <v>1889</v>
      </c>
      <c r="E547" t="s">
        <v>1890</v>
      </c>
      <c r="F547" t="s">
        <v>1887</v>
      </c>
      <c r="G547" t="s">
        <v>1888</v>
      </c>
      <c r="H547" t="s">
        <v>2359</v>
      </c>
      <c r="I547" t="s">
        <v>4533</v>
      </c>
      <c r="J547" t="s">
        <v>3453</v>
      </c>
      <c r="K547" t="s">
        <v>3454</v>
      </c>
      <c r="M547">
        <v>50</v>
      </c>
      <c r="N547">
        <v>70</v>
      </c>
      <c r="O547" t="s">
        <v>2437</v>
      </c>
      <c r="P547" t="s">
        <v>2437</v>
      </c>
      <c r="R547" t="s">
        <v>2437</v>
      </c>
      <c r="T547" t="s">
        <v>2437</v>
      </c>
      <c r="U547" t="s">
        <v>2437</v>
      </c>
      <c r="V547" t="s">
        <v>2437</v>
      </c>
      <c r="Y547" t="s">
        <v>6948</v>
      </c>
      <c r="Z547" t="s">
        <v>6949</v>
      </c>
      <c r="AA547" t="s">
        <v>6950</v>
      </c>
      <c r="AB547" t="s">
        <v>6951</v>
      </c>
      <c r="AC547" t="s">
        <v>6952</v>
      </c>
      <c r="AD547" t="s">
        <v>6953</v>
      </c>
      <c r="AE547" t="s">
        <v>6954</v>
      </c>
      <c r="AF547" t="s">
        <v>6955</v>
      </c>
      <c r="AG547" t="s">
        <v>6956</v>
      </c>
      <c r="AH547" t="s">
        <v>6957</v>
      </c>
      <c r="AI547" t="s">
        <v>6958</v>
      </c>
      <c r="AJ547" t="s">
        <v>6959</v>
      </c>
      <c r="AR547" t="s">
        <v>4284</v>
      </c>
    </row>
    <row r="548" spans="1:44">
      <c r="A548">
        <v>11126804</v>
      </c>
      <c r="B548" t="s">
        <v>642</v>
      </c>
      <c r="C548" t="s">
        <v>1301</v>
      </c>
      <c r="D548" t="s">
        <v>1891</v>
      </c>
      <c r="E548" t="s">
        <v>1892</v>
      </c>
      <c r="F548" t="s">
        <v>1887</v>
      </c>
      <c r="G548" t="s">
        <v>1888</v>
      </c>
      <c r="H548" t="s">
        <v>2356</v>
      </c>
      <c r="I548" t="s">
        <v>4530</v>
      </c>
      <c r="J548" t="s">
        <v>3455</v>
      </c>
      <c r="K548" t="s">
        <v>3456</v>
      </c>
      <c r="M548">
        <v>50</v>
      </c>
      <c r="N548">
        <v>70</v>
      </c>
      <c r="O548" t="s">
        <v>2437</v>
      </c>
      <c r="P548" t="s">
        <v>2437</v>
      </c>
      <c r="R548" t="s">
        <v>2437</v>
      </c>
      <c r="T548" t="s">
        <v>2437</v>
      </c>
      <c r="U548" t="s">
        <v>2437</v>
      </c>
      <c r="V548" t="s">
        <v>2437</v>
      </c>
      <c r="Y548" t="s">
        <v>6948</v>
      </c>
      <c r="Z548" t="s">
        <v>6949</v>
      </c>
      <c r="AA548" t="s">
        <v>6950</v>
      </c>
      <c r="AB548" t="s">
        <v>6951</v>
      </c>
      <c r="AC548" t="s">
        <v>6952</v>
      </c>
      <c r="AD548" t="s">
        <v>6953</v>
      </c>
      <c r="AE548" t="s">
        <v>6954</v>
      </c>
      <c r="AF548" t="s">
        <v>6955</v>
      </c>
      <c r="AG548" t="s">
        <v>6956</v>
      </c>
      <c r="AH548" t="s">
        <v>6957</v>
      </c>
      <c r="AI548" t="s">
        <v>6958</v>
      </c>
      <c r="AJ548" t="s">
        <v>6959</v>
      </c>
      <c r="AR548" t="s">
        <v>4284</v>
      </c>
    </row>
    <row r="549" spans="1:44">
      <c r="A549">
        <v>11126805</v>
      </c>
      <c r="B549" t="s">
        <v>643</v>
      </c>
      <c r="C549" t="s">
        <v>1302</v>
      </c>
      <c r="D549" t="s">
        <v>1891</v>
      </c>
      <c r="E549" t="s">
        <v>1892</v>
      </c>
      <c r="F549" t="s">
        <v>1887</v>
      </c>
      <c r="G549" t="s">
        <v>1888</v>
      </c>
      <c r="H549" t="s">
        <v>2358</v>
      </c>
      <c r="I549" t="s">
        <v>4532</v>
      </c>
      <c r="J549" t="s">
        <v>3457</v>
      </c>
      <c r="K549" t="s">
        <v>3458</v>
      </c>
      <c r="M549">
        <v>50</v>
      </c>
      <c r="N549">
        <v>70</v>
      </c>
      <c r="O549" t="s">
        <v>2437</v>
      </c>
      <c r="P549" t="s">
        <v>2437</v>
      </c>
      <c r="R549" t="s">
        <v>2437</v>
      </c>
      <c r="T549" t="s">
        <v>2437</v>
      </c>
      <c r="U549" t="s">
        <v>2437</v>
      </c>
      <c r="V549" t="s">
        <v>2437</v>
      </c>
      <c r="Y549" t="s">
        <v>6948</v>
      </c>
      <c r="Z549" t="s">
        <v>6949</v>
      </c>
      <c r="AA549" t="s">
        <v>6950</v>
      </c>
      <c r="AB549" t="s">
        <v>6951</v>
      </c>
      <c r="AC549" t="s">
        <v>6952</v>
      </c>
      <c r="AD549" t="s">
        <v>6953</v>
      </c>
      <c r="AE549" t="s">
        <v>6954</v>
      </c>
      <c r="AF549" t="s">
        <v>6955</v>
      </c>
      <c r="AG549" t="s">
        <v>6956</v>
      </c>
      <c r="AH549" t="s">
        <v>6957</v>
      </c>
      <c r="AI549" t="s">
        <v>6958</v>
      </c>
      <c r="AJ549" t="s">
        <v>6959</v>
      </c>
      <c r="AR549" t="s">
        <v>4284</v>
      </c>
    </row>
    <row r="550" spans="1:44">
      <c r="A550">
        <v>11126806</v>
      </c>
      <c r="B550" t="s">
        <v>644</v>
      </c>
      <c r="C550" t="s">
        <v>1090</v>
      </c>
      <c r="D550" t="s">
        <v>1885</v>
      </c>
      <c r="E550" t="s">
        <v>1886</v>
      </c>
      <c r="F550" t="s">
        <v>1720</v>
      </c>
      <c r="G550" t="s">
        <v>1721</v>
      </c>
      <c r="H550" t="s">
        <v>2360</v>
      </c>
      <c r="I550" t="s">
        <v>4534</v>
      </c>
      <c r="J550" t="s">
        <v>3459</v>
      </c>
      <c r="K550" t="s">
        <v>3460</v>
      </c>
      <c r="M550">
        <v>50</v>
      </c>
      <c r="N550">
        <v>70</v>
      </c>
      <c r="O550" t="s">
        <v>2437</v>
      </c>
      <c r="P550" t="s">
        <v>2437</v>
      </c>
      <c r="R550" t="s">
        <v>2437</v>
      </c>
      <c r="T550" t="s">
        <v>2437</v>
      </c>
      <c r="U550" t="s">
        <v>2437</v>
      </c>
      <c r="V550" t="s">
        <v>2437</v>
      </c>
      <c r="Y550" t="s">
        <v>6948</v>
      </c>
      <c r="Z550" t="s">
        <v>6949</v>
      </c>
      <c r="AA550" t="s">
        <v>6950</v>
      </c>
      <c r="AB550" t="s">
        <v>6951</v>
      </c>
      <c r="AC550" t="s">
        <v>6952</v>
      </c>
      <c r="AD550" t="s">
        <v>6953</v>
      </c>
      <c r="AE550" t="s">
        <v>6954</v>
      </c>
      <c r="AF550" t="s">
        <v>6955</v>
      </c>
      <c r="AG550" t="s">
        <v>6956</v>
      </c>
      <c r="AH550" t="s">
        <v>6957</v>
      </c>
      <c r="AI550" t="s">
        <v>6958</v>
      </c>
      <c r="AJ550" t="s">
        <v>6959</v>
      </c>
      <c r="AR550" t="s">
        <v>4284</v>
      </c>
    </row>
    <row r="551" spans="1:44">
      <c r="A551">
        <v>11126807</v>
      </c>
      <c r="B551" t="s">
        <v>645</v>
      </c>
      <c r="C551" t="s">
        <v>1303</v>
      </c>
      <c r="D551" t="s">
        <v>1891</v>
      </c>
      <c r="E551" t="s">
        <v>1892</v>
      </c>
      <c r="F551" t="s">
        <v>1720</v>
      </c>
      <c r="G551" t="s">
        <v>1721</v>
      </c>
      <c r="H551" t="s">
        <v>2360</v>
      </c>
      <c r="I551" t="s">
        <v>4534</v>
      </c>
      <c r="J551" t="s">
        <v>3461</v>
      </c>
      <c r="K551" t="s">
        <v>3462</v>
      </c>
      <c r="M551">
        <v>50</v>
      </c>
      <c r="N551">
        <v>70</v>
      </c>
      <c r="O551" t="s">
        <v>2437</v>
      </c>
      <c r="P551" t="s">
        <v>2437</v>
      </c>
      <c r="R551" t="s">
        <v>2437</v>
      </c>
      <c r="T551" t="s">
        <v>2437</v>
      </c>
      <c r="U551" t="s">
        <v>2437</v>
      </c>
      <c r="V551" t="s">
        <v>2437</v>
      </c>
      <c r="Y551" t="s">
        <v>6948</v>
      </c>
      <c r="Z551" t="s">
        <v>6949</v>
      </c>
      <c r="AA551" t="s">
        <v>6950</v>
      </c>
      <c r="AB551" t="s">
        <v>6951</v>
      </c>
      <c r="AC551" t="s">
        <v>6952</v>
      </c>
      <c r="AD551" t="s">
        <v>6953</v>
      </c>
      <c r="AE551" t="s">
        <v>6954</v>
      </c>
      <c r="AF551" t="s">
        <v>6955</v>
      </c>
      <c r="AG551" t="s">
        <v>6956</v>
      </c>
      <c r="AH551" t="s">
        <v>6957</v>
      </c>
      <c r="AI551" t="s">
        <v>6958</v>
      </c>
      <c r="AJ551" t="s">
        <v>6959</v>
      </c>
      <c r="AR551" t="s">
        <v>4284</v>
      </c>
    </row>
    <row r="552" spans="1:44">
      <c r="A552">
        <v>11126808</v>
      </c>
      <c r="B552" t="s">
        <v>646</v>
      </c>
      <c r="C552" t="s">
        <v>1304</v>
      </c>
      <c r="D552" t="s">
        <v>1891</v>
      </c>
      <c r="E552" t="s">
        <v>1892</v>
      </c>
      <c r="F552" t="s">
        <v>1720</v>
      </c>
      <c r="G552" t="s">
        <v>1721</v>
      </c>
      <c r="H552" t="s">
        <v>2361</v>
      </c>
      <c r="I552" t="s">
        <v>4535</v>
      </c>
      <c r="J552" t="s">
        <v>3463</v>
      </c>
      <c r="K552" t="s">
        <v>3464</v>
      </c>
      <c r="M552">
        <v>50</v>
      </c>
      <c r="N552">
        <v>70</v>
      </c>
      <c r="O552" t="s">
        <v>2437</v>
      </c>
      <c r="P552" t="s">
        <v>2437</v>
      </c>
      <c r="R552" t="s">
        <v>2437</v>
      </c>
      <c r="T552" t="s">
        <v>2437</v>
      </c>
      <c r="U552" t="s">
        <v>2437</v>
      </c>
      <c r="V552" t="s">
        <v>2437</v>
      </c>
      <c r="Y552" t="s">
        <v>6948</v>
      </c>
      <c r="Z552" t="s">
        <v>6949</v>
      </c>
      <c r="AA552" t="s">
        <v>6950</v>
      </c>
      <c r="AB552" t="s">
        <v>6951</v>
      </c>
      <c r="AC552" t="s">
        <v>6952</v>
      </c>
      <c r="AD552" t="s">
        <v>6953</v>
      </c>
      <c r="AE552" t="s">
        <v>6954</v>
      </c>
      <c r="AF552" t="s">
        <v>6955</v>
      </c>
      <c r="AG552" t="s">
        <v>6956</v>
      </c>
      <c r="AH552" t="s">
        <v>6957</v>
      </c>
      <c r="AI552" t="s">
        <v>6958</v>
      </c>
      <c r="AJ552" t="s">
        <v>6959</v>
      </c>
      <c r="AR552" t="s">
        <v>4284</v>
      </c>
    </row>
    <row r="553" spans="1:44">
      <c r="A553">
        <v>11126809</v>
      </c>
      <c r="B553" t="s">
        <v>647</v>
      </c>
      <c r="C553" t="s">
        <v>1181</v>
      </c>
      <c r="D553" t="s">
        <v>1893</v>
      </c>
      <c r="E553" t="s">
        <v>1627</v>
      </c>
      <c r="F553" t="s">
        <v>1537</v>
      </c>
      <c r="G553" t="s">
        <v>1538</v>
      </c>
      <c r="H553" t="s">
        <v>2126</v>
      </c>
      <c r="I553" t="s">
        <v>4347</v>
      </c>
      <c r="J553" t="s">
        <v>2778</v>
      </c>
      <c r="K553" t="s">
        <v>2779</v>
      </c>
      <c r="M553">
        <v>50</v>
      </c>
      <c r="N553">
        <v>70</v>
      </c>
      <c r="O553" t="s">
        <v>2437</v>
      </c>
      <c r="P553" t="s">
        <v>2437</v>
      </c>
      <c r="R553" t="s">
        <v>2437</v>
      </c>
      <c r="T553" t="s">
        <v>2437</v>
      </c>
      <c r="U553" t="s">
        <v>2437</v>
      </c>
      <c r="V553" t="s">
        <v>2437</v>
      </c>
      <c r="Y553" t="s">
        <v>6948</v>
      </c>
      <c r="Z553" t="s">
        <v>6949</v>
      </c>
      <c r="AA553" t="s">
        <v>6950</v>
      </c>
      <c r="AB553" t="s">
        <v>6951</v>
      </c>
      <c r="AC553" t="s">
        <v>6952</v>
      </c>
      <c r="AD553" t="s">
        <v>6953</v>
      </c>
      <c r="AE553" t="s">
        <v>6954</v>
      </c>
      <c r="AF553" t="s">
        <v>6955</v>
      </c>
      <c r="AG553" t="s">
        <v>6956</v>
      </c>
      <c r="AH553" t="s">
        <v>6957</v>
      </c>
      <c r="AI553" t="s">
        <v>6958</v>
      </c>
      <c r="AJ553" t="s">
        <v>6959</v>
      </c>
      <c r="AR553" t="s">
        <v>4284</v>
      </c>
    </row>
    <row r="554" spans="1:44">
      <c r="A554">
        <v>11126810</v>
      </c>
      <c r="B554" t="s">
        <v>648</v>
      </c>
      <c r="C554" t="s">
        <v>1182</v>
      </c>
      <c r="D554" t="s">
        <v>1893</v>
      </c>
      <c r="E554" t="s">
        <v>1627</v>
      </c>
      <c r="F554" t="s">
        <v>1537</v>
      </c>
      <c r="G554" t="s">
        <v>1538</v>
      </c>
      <c r="H554" t="s">
        <v>2129</v>
      </c>
      <c r="I554" t="s">
        <v>4350</v>
      </c>
      <c r="J554" t="s">
        <v>2780</v>
      </c>
      <c r="K554" t="s">
        <v>2781</v>
      </c>
      <c r="M554">
        <v>50</v>
      </c>
      <c r="N554">
        <v>70</v>
      </c>
      <c r="O554" t="s">
        <v>2437</v>
      </c>
      <c r="P554" t="s">
        <v>2437</v>
      </c>
      <c r="R554" t="s">
        <v>2437</v>
      </c>
      <c r="T554" t="s">
        <v>2437</v>
      </c>
      <c r="U554" t="s">
        <v>2437</v>
      </c>
      <c r="V554" t="s">
        <v>2437</v>
      </c>
      <c r="Y554" t="s">
        <v>6948</v>
      </c>
      <c r="Z554" t="s">
        <v>6949</v>
      </c>
      <c r="AA554" t="s">
        <v>6950</v>
      </c>
      <c r="AB554" t="s">
        <v>6951</v>
      </c>
      <c r="AC554" t="s">
        <v>6952</v>
      </c>
      <c r="AD554" t="s">
        <v>6953</v>
      </c>
      <c r="AE554" t="s">
        <v>6954</v>
      </c>
      <c r="AF554" t="s">
        <v>6955</v>
      </c>
      <c r="AG554" t="s">
        <v>6956</v>
      </c>
      <c r="AH554" t="s">
        <v>6957</v>
      </c>
      <c r="AI554" t="s">
        <v>6958</v>
      </c>
      <c r="AJ554" t="s">
        <v>6959</v>
      </c>
      <c r="AR554" t="s">
        <v>4284</v>
      </c>
    </row>
    <row r="555" spans="1:44">
      <c r="A555">
        <v>11126811</v>
      </c>
      <c r="B555" t="s">
        <v>649</v>
      </c>
      <c r="C555" t="s">
        <v>1183</v>
      </c>
      <c r="D555" t="s">
        <v>1893</v>
      </c>
      <c r="E555" t="s">
        <v>1627</v>
      </c>
      <c r="F555" t="s">
        <v>1539</v>
      </c>
      <c r="G555" t="s">
        <v>1540</v>
      </c>
      <c r="H555" t="s">
        <v>2127</v>
      </c>
      <c r="I555" t="s">
        <v>4348</v>
      </c>
      <c r="J555" t="s">
        <v>2782</v>
      </c>
      <c r="K555" t="s">
        <v>2783</v>
      </c>
      <c r="M555">
        <v>50</v>
      </c>
      <c r="N555">
        <v>70</v>
      </c>
      <c r="O555" t="s">
        <v>2437</v>
      </c>
      <c r="P555" t="s">
        <v>2437</v>
      </c>
      <c r="R555" t="s">
        <v>2437</v>
      </c>
      <c r="T555" t="s">
        <v>2437</v>
      </c>
      <c r="U555" t="s">
        <v>2437</v>
      </c>
      <c r="V555" t="s">
        <v>2437</v>
      </c>
      <c r="Y555" t="s">
        <v>6948</v>
      </c>
      <c r="Z555" t="s">
        <v>6949</v>
      </c>
      <c r="AA555" t="s">
        <v>6950</v>
      </c>
      <c r="AB555" t="s">
        <v>6951</v>
      </c>
      <c r="AC555" t="s">
        <v>6952</v>
      </c>
      <c r="AD555" t="s">
        <v>6953</v>
      </c>
      <c r="AE555" t="s">
        <v>6954</v>
      </c>
      <c r="AF555" t="s">
        <v>6955</v>
      </c>
      <c r="AG555" t="s">
        <v>6956</v>
      </c>
      <c r="AH555" t="s">
        <v>6957</v>
      </c>
      <c r="AI555" t="s">
        <v>6958</v>
      </c>
      <c r="AJ555" t="s">
        <v>6959</v>
      </c>
      <c r="AR555" t="s">
        <v>4284</v>
      </c>
    </row>
    <row r="556" spans="1:44">
      <c r="A556">
        <v>11126812</v>
      </c>
      <c r="B556" t="s">
        <v>650</v>
      </c>
      <c r="C556" t="s">
        <v>1184</v>
      </c>
      <c r="D556" t="s">
        <v>1893</v>
      </c>
      <c r="E556" t="s">
        <v>1627</v>
      </c>
      <c r="F556" t="s">
        <v>1539</v>
      </c>
      <c r="G556" t="s">
        <v>1540</v>
      </c>
      <c r="H556" t="s">
        <v>2130</v>
      </c>
      <c r="I556" t="s">
        <v>4351</v>
      </c>
      <c r="J556" t="s">
        <v>2784</v>
      </c>
      <c r="K556" t="s">
        <v>2785</v>
      </c>
      <c r="M556">
        <v>50</v>
      </c>
      <c r="N556">
        <v>70</v>
      </c>
      <c r="O556" t="s">
        <v>2437</v>
      </c>
      <c r="P556" t="s">
        <v>2437</v>
      </c>
      <c r="R556" t="s">
        <v>2437</v>
      </c>
      <c r="T556" t="s">
        <v>2437</v>
      </c>
      <c r="U556" t="s">
        <v>2437</v>
      </c>
      <c r="V556" t="s">
        <v>2437</v>
      </c>
      <c r="Y556" t="s">
        <v>6948</v>
      </c>
      <c r="Z556" t="s">
        <v>6949</v>
      </c>
      <c r="AA556" t="s">
        <v>6950</v>
      </c>
      <c r="AB556" t="s">
        <v>6951</v>
      </c>
      <c r="AC556" t="s">
        <v>6952</v>
      </c>
      <c r="AD556" t="s">
        <v>6953</v>
      </c>
      <c r="AE556" t="s">
        <v>6954</v>
      </c>
      <c r="AF556" t="s">
        <v>6955</v>
      </c>
      <c r="AG556" t="s">
        <v>6956</v>
      </c>
      <c r="AH556" t="s">
        <v>6957</v>
      </c>
      <c r="AI556" t="s">
        <v>6958</v>
      </c>
      <c r="AJ556" t="s">
        <v>6959</v>
      </c>
      <c r="AR556" t="s">
        <v>4284</v>
      </c>
    </row>
    <row r="557" spans="1:44">
      <c r="A557">
        <v>11126813</v>
      </c>
      <c r="B557" t="s">
        <v>651</v>
      </c>
      <c r="C557" t="s">
        <v>1185</v>
      </c>
      <c r="D557" t="s">
        <v>1893</v>
      </c>
      <c r="E557" t="s">
        <v>1627</v>
      </c>
      <c r="F557" t="s">
        <v>1541</v>
      </c>
      <c r="G557" t="s">
        <v>1542</v>
      </c>
      <c r="H557" t="s">
        <v>2128</v>
      </c>
      <c r="I557" t="s">
        <v>4349</v>
      </c>
      <c r="J557" t="s">
        <v>2786</v>
      </c>
      <c r="K557" t="s">
        <v>2787</v>
      </c>
      <c r="M557">
        <v>50</v>
      </c>
      <c r="N557">
        <v>70</v>
      </c>
      <c r="O557" t="s">
        <v>2437</v>
      </c>
      <c r="P557" t="s">
        <v>2437</v>
      </c>
      <c r="R557" t="s">
        <v>2437</v>
      </c>
      <c r="T557" t="s">
        <v>2437</v>
      </c>
      <c r="U557" t="s">
        <v>2437</v>
      </c>
      <c r="V557" t="s">
        <v>2437</v>
      </c>
      <c r="Y557" t="s">
        <v>6948</v>
      </c>
      <c r="Z557" t="s">
        <v>6949</v>
      </c>
      <c r="AA557" t="s">
        <v>6950</v>
      </c>
      <c r="AB557" t="s">
        <v>6951</v>
      </c>
      <c r="AC557" t="s">
        <v>6952</v>
      </c>
      <c r="AD557" t="s">
        <v>6953</v>
      </c>
      <c r="AE557" t="s">
        <v>6954</v>
      </c>
      <c r="AF557" t="s">
        <v>6955</v>
      </c>
      <c r="AG557" t="s">
        <v>6956</v>
      </c>
      <c r="AH557" t="s">
        <v>6957</v>
      </c>
      <c r="AI557" t="s">
        <v>6958</v>
      </c>
      <c r="AJ557" t="s">
        <v>6959</v>
      </c>
      <c r="AR557" t="s">
        <v>4284</v>
      </c>
    </row>
    <row r="558" spans="1:44">
      <c r="A558">
        <v>11126814</v>
      </c>
      <c r="B558" t="s">
        <v>652</v>
      </c>
      <c r="C558" t="s">
        <v>1186</v>
      </c>
      <c r="D558" t="s">
        <v>1893</v>
      </c>
      <c r="E558" t="s">
        <v>1627</v>
      </c>
      <c r="F558" t="s">
        <v>1541</v>
      </c>
      <c r="G558" t="s">
        <v>1542</v>
      </c>
      <c r="H558" t="s">
        <v>2131</v>
      </c>
      <c r="I558" t="s">
        <v>4352</v>
      </c>
      <c r="J558" t="s">
        <v>2788</v>
      </c>
      <c r="K558" t="s">
        <v>2789</v>
      </c>
      <c r="M558">
        <v>50</v>
      </c>
      <c r="N558">
        <v>70</v>
      </c>
      <c r="O558" t="s">
        <v>2437</v>
      </c>
      <c r="P558" t="s">
        <v>2437</v>
      </c>
      <c r="R558" t="s">
        <v>2437</v>
      </c>
      <c r="T558" t="s">
        <v>2437</v>
      </c>
      <c r="U558" t="s">
        <v>2437</v>
      </c>
      <c r="V558" t="s">
        <v>2437</v>
      </c>
      <c r="Y558" t="s">
        <v>6948</v>
      </c>
      <c r="Z558" t="s">
        <v>6949</v>
      </c>
      <c r="AA558" t="s">
        <v>6950</v>
      </c>
      <c r="AB558" t="s">
        <v>6951</v>
      </c>
      <c r="AC558" t="s">
        <v>6952</v>
      </c>
      <c r="AD558" t="s">
        <v>6953</v>
      </c>
      <c r="AE558" t="s">
        <v>6954</v>
      </c>
      <c r="AF558" t="s">
        <v>6955</v>
      </c>
      <c r="AG558" t="s">
        <v>6956</v>
      </c>
      <c r="AH558" t="s">
        <v>6957</v>
      </c>
      <c r="AI558" t="s">
        <v>6958</v>
      </c>
      <c r="AJ558" t="s">
        <v>6959</v>
      </c>
      <c r="AR558" t="s">
        <v>4284</v>
      </c>
    </row>
    <row r="559" spans="1:44">
      <c r="A559">
        <v>11126815</v>
      </c>
      <c r="B559" t="s">
        <v>653</v>
      </c>
      <c r="C559" t="s">
        <v>1216</v>
      </c>
      <c r="D559" t="s">
        <v>1822</v>
      </c>
      <c r="E559" t="s">
        <v>1823</v>
      </c>
      <c r="F559" t="s">
        <v>1824</v>
      </c>
      <c r="G559" t="s">
        <v>1825</v>
      </c>
      <c r="H559" t="s">
        <v>2250</v>
      </c>
      <c r="I559" t="s">
        <v>4441</v>
      </c>
      <c r="J559" t="s">
        <v>3465</v>
      </c>
      <c r="K559" t="s">
        <v>3466</v>
      </c>
      <c r="M559">
        <v>50</v>
      </c>
      <c r="N559">
        <v>70</v>
      </c>
      <c r="O559" t="s">
        <v>2437</v>
      </c>
      <c r="P559" t="s">
        <v>2437</v>
      </c>
      <c r="R559" t="s">
        <v>2437</v>
      </c>
      <c r="T559" t="s">
        <v>2437</v>
      </c>
      <c r="U559" t="s">
        <v>2437</v>
      </c>
      <c r="V559" t="s">
        <v>2437</v>
      </c>
      <c r="Y559" t="s">
        <v>6948</v>
      </c>
      <c r="Z559" t="s">
        <v>6949</v>
      </c>
      <c r="AA559" t="s">
        <v>6950</v>
      </c>
      <c r="AB559" t="s">
        <v>6951</v>
      </c>
      <c r="AC559" t="s">
        <v>6952</v>
      </c>
      <c r="AD559" t="s">
        <v>6953</v>
      </c>
      <c r="AE559" t="s">
        <v>6954</v>
      </c>
      <c r="AF559" t="s">
        <v>6955</v>
      </c>
      <c r="AG559" t="s">
        <v>6956</v>
      </c>
      <c r="AH559" t="s">
        <v>6957</v>
      </c>
      <c r="AI559" t="s">
        <v>6958</v>
      </c>
      <c r="AJ559" t="s">
        <v>6959</v>
      </c>
      <c r="AR559" t="s">
        <v>4284</v>
      </c>
    </row>
    <row r="560" spans="1:44">
      <c r="A560">
        <v>11126816</v>
      </c>
      <c r="B560" t="s">
        <v>654</v>
      </c>
      <c r="C560" t="s">
        <v>1031</v>
      </c>
      <c r="D560" t="s">
        <v>1822</v>
      </c>
      <c r="E560" t="s">
        <v>1823</v>
      </c>
      <c r="F560" t="s">
        <v>1824</v>
      </c>
      <c r="G560" t="s">
        <v>1825</v>
      </c>
      <c r="H560" t="s">
        <v>2362</v>
      </c>
      <c r="I560" t="s">
        <v>4536</v>
      </c>
      <c r="J560" t="s">
        <v>3467</v>
      </c>
      <c r="K560" t="s">
        <v>3468</v>
      </c>
      <c r="M560">
        <v>50</v>
      </c>
      <c r="N560">
        <v>70</v>
      </c>
      <c r="O560" t="s">
        <v>2437</v>
      </c>
      <c r="P560" t="s">
        <v>2437</v>
      </c>
      <c r="R560" t="s">
        <v>2437</v>
      </c>
      <c r="T560" t="s">
        <v>2437</v>
      </c>
      <c r="U560" t="s">
        <v>2437</v>
      </c>
      <c r="V560" t="s">
        <v>2437</v>
      </c>
      <c r="Y560" t="s">
        <v>6948</v>
      </c>
      <c r="Z560" t="s">
        <v>6949</v>
      </c>
      <c r="AA560" t="s">
        <v>6950</v>
      </c>
      <c r="AB560" t="s">
        <v>6951</v>
      </c>
      <c r="AC560" t="s">
        <v>6952</v>
      </c>
      <c r="AD560" t="s">
        <v>6953</v>
      </c>
      <c r="AE560" t="s">
        <v>6954</v>
      </c>
      <c r="AF560" t="s">
        <v>6955</v>
      </c>
      <c r="AG560" t="s">
        <v>6956</v>
      </c>
      <c r="AH560" t="s">
        <v>6957</v>
      </c>
      <c r="AI560" t="s">
        <v>6958</v>
      </c>
      <c r="AJ560" t="s">
        <v>6959</v>
      </c>
      <c r="AR560" t="s">
        <v>4284</v>
      </c>
    </row>
    <row r="561" spans="1:44">
      <c r="A561">
        <v>11126817</v>
      </c>
      <c r="B561" t="s">
        <v>655</v>
      </c>
      <c r="C561" t="s">
        <v>1030</v>
      </c>
      <c r="D561" t="s">
        <v>1822</v>
      </c>
      <c r="E561" t="s">
        <v>1823</v>
      </c>
      <c r="F561" t="s">
        <v>1824</v>
      </c>
      <c r="G561" t="s">
        <v>1825</v>
      </c>
      <c r="H561" t="s">
        <v>2251</v>
      </c>
      <c r="I561" t="s">
        <v>4442</v>
      </c>
      <c r="J561" t="s">
        <v>3469</v>
      </c>
      <c r="K561" t="s">
        <v>3470</v>
      </c>
      <c r="M561">
        <v>50</v>
      </c>
      <c r="N561">
        <v>70</v>
      </c>
      <c r="O561" t="s">
        <v>2437</v>
      </c>
      <c r="P561" t="s">
        <v>2437</v>
      </c>
      <c r="R561" t="s">
        <v>2437</v>
      </c>
      <c r="T561" t="s">
        <v>2437</v>
      </c>
      <c r="U561" t="s">
        <v>2437</v>
      </c>
      <c r="V561" t="s">
        <v>2437</v>
      </c>
      <c r="Y561" t="s">
        <v>6948</v>
      </c>
      <c r="Z561" t="s">
        <v>6949</v>
      </c>
      <c r="AA561" t="s">
        <v>6950</v>
      </c>
      <c r="AB561" t="s">
        <v>6951</v>
      </c>
      <c r="AC561" t="s">
        <v>6952</v>
      </c>
      <c r="AD561" t="s">
        <v>6953</v>
      </c>
      <c r="AE561" t="s">
        <v>6954</v>
      </c>
      <c r="AF561" t="s">
        <v>6955</v>
      </c>
      <c r="AG561" t="s">
        <v>6956</v>
      </c>
      <c r="AH561" t="s">
        <v>6957</v>
      </c>
      <c r="AI561" t="s">
        <v>6958</v>
      </c>
      <c r="AJ561" t="s">
        <v>6959</v>
      </c>
      <c r="AR561" t="s">
        <v>4284</v>
      </c>
    </row>
    <row r="562" spans="1:44">
      <c r="A562" t="s">
        <v>95</v>
      </c>
      <c r="B562" t="s">
        <v>656</v>
      </c>
      <c r="C562" t="s">
        <v>1305</v>
      </c>
      <c r="D562" t="s">
        <v>1894</v>
      </c>
      <c r="E562" t="s">
        <v>1895</v>
      </c>
      <c r="F562" t="s">
        <v>1724</v>
      </c>
      <c r="G562" t="s">
        <v>1725</v>
      </c>
      <c r="H562" t="s">
        <v>2363</v>
      </c>
      <c r="I562" t="s">
        <v>4537</v>
      </c>
      <c r="J562" t="s">
        <v>3471</v>
      </c>
      <c r="K562" t="s">
        <v>3472</v>
      </c>
      <c r="M562">
        <v>60</v>
      </c>
      <c r="N562">
        <v>70</v>
      </c>
      <c r="O562" t="s">
        <v>2437</v>
      </c>
      <c r="P562" t="s">
        <v>2437</v>
      </c>
      <c r="R562" t="e">
        <v>#N/A</v>
      </c>
      <c r="T562" t="s">
        <v>2437</v>
      </c>
      <c r="U562" t="s">
        <v>2437</v>
      </c>
      <c r="V562" t="s">
        <v>2437</v>
      </c>
      <c r="Y562" t="s">
        <v>6948</v>
      </c>
      <c r="Z562" t="s">
        <v>6949</v>
      </c>
      <c r="AA562" t="s">
        <v>6950</v>
      </c>
      <c r="AB562" t="s">
        <v>6951</v>
      </c>
      <c r="AC562" t="s">
        <v>6952</v>
      </c>
      <c r="AD562" t="s">
        <v>6953</v>
      </c>
      <c r="AE562" t="s">
        <v>6961</v>
      </c>
      <c r="AF562" t="s">
        <v>6962</v>
      </c>
      <c r="AG562" t="s">
        <v>6963</v>
      </c>
      <c r="AH562" t="s">
        <v>6964</v>
      </c>
      <c r="AI562" t="s">
        <v>6965</v>
      </c>
      <c r="AJ562" t="s">
        <v>6966</v>
      </c>
      <c r="AR562" t="s">
        <v>4284</v>
      </c>
    </row>
    <row r="563" spans="1:44">
      <c r="A563" t="s">
        <v>96</v>
      </c>
      <c r="B563" t="s">
        <v>657</v>
      </c>
      <c r="C563" t="s">
        <v>1306</v>
      </c>
      <c r="D563" t="s">
        <v>1722</v>
      </c>
      <c r="E563" t="s">
        <v>1723</v>
      </c>
      <c r="F563" t="s">
        <v>1724</v>
      </c>
      <c r="G563" t="s">
        <v>1725</v>
      </c>
      <c r="H563" t="s">
        <v>2364</v>
      </c>
      <c r="I563" t="s">
        <v>4538</v>
      </c>
      <c r="J563" t="s">
        <v>3473</v>
      </c>
      <c r="K563" t="s">
        <v>3474</v>
      </c>
      <c r="M563">
        <v>60</v>
      </c>
      <c r="N563">
        <v>70</v>
      </c>
      <c r="O563" t="s">
        <v>2437</v>
      </c>
      <c r="P563" t="s">
        <v>2437</v>
      </c>
      <c r="R563" t="s">
        <v>2437</v>
      </c>
      <c r="T563" t="s">
        <v>2437</v>
      </c>
      <c r="U563" t="s">
        <v>2437</v>
      </c>
      <c r="V563" t="s">
        <v>2437</v>
      </c>
      <c r="Y563" t="s">
        <v>6948</v>
      </c>
      <c r="Z563" t="s">
        <v>6949</v>
      </c>
      <c r="AA563" t="s">
        <v>6950</v>
      </c>
      <c r="AB563" t="s">
        <v>6951</v>
      </c>
      <c r="AC563" t="s">
        <v>6952</v>
      </c>
      <c r="AD563" t="s">
        <v>6953</v>
      </c>
      <c r="AE563" t="s">
        <v>6961</v>
      </c>
      <c r="AF563" t="s">
        <v>6962</v>
      </c>
      <c r="AG563" t="s">
        <v>6963</v>
      </c>
      <c r="AH563" t="s">
        <v>6964</v>
      </c>
      <c r="AI563" t="s">
        <v>6965</v>
      </c>
      <c r="AJ563" t="s">
        <v>6966</v>
      </c>
      <c r="AR563" t="s">
        <v>4284</v>
      </c>
    </row>
    <row r="564" spans="1:44">
      <c r="A564">
        <v>11120133</v>
      </c>
      <c r="B564" t="s">
        <v>658</v>
      </c>
      <c r="C564" t="s">
        <v>1307</v>
      </c>
      <c r="D564" t="s">
        <v>1896</v>
      </c>
      <c r="E564" t="s">
        <v>1897</v>
      </c>
      <c r="F564" t="s">
        <v>1515</v>
      </c>
      <c r="G564" t="s">
        <v>36</v>
      </c>
      <c r="H564" t="s">
        <v>2234</v>
      </c>
      <c r="I564" t="s">
        <v>4425</v>
      </c>
      <c r="J564" t="s">
        <v>3475</v>
      </c>
      <c r="K564" t="s">
        <v>3476</v>
      </c>
      <c r="M564">
        <v>60</v>
      </c>
      <c r="N564">
        <v>70</v>
      </c>
      <c r="O564" t="s">
        <v>2437</v>
      </c>
      <c r="P564" t="s">
        <v>2437</v>
      </c>
      <c r="R564" t="s">
        <v>2437</v>
      </c>
      <c r="T564" t="s">
        <v>2437</v>
      </c>
      <c r="U564" t="s">
        <v>2437</v>
      </c>
      <c r="V564" t="s">
        <v>2437</v>
      </c>
      <c r="Y564" t="s">
        <v>6948</v>
      </c>
      <c r="Z564" t="s">
        <v>6949</v>
      </c>
      <c r="AA564" t="s">
        <v>6950</v>
      </c>
      <c r="AB564" t="s">
        <v>6951</v>
      </c>
      <c r="AC564" t="s">
        <v>6952</v>
      </c>
      <c r="AD564" t="s">
        <v>6953</v>
      </c>
      <c r="AE564" t="s">
        <v>6961</v>
      </c>
      <c r="AF564" t="s">
        <v>6962</v>
      </c>
      <c r="AG564" t="s">
        <v>6963</v>
      </c>
      <c r="AH564" t="s">
        <v>6964</v>
      </c>
      <c r="AI564" t="s">
        <v>6965</v>
      </c>
      <c r="AJ564" t="s">
        <v>6966</v>
      </c>
      <c r="AR564" t="s">
        <v>4284</v>
      </c>
    </row>
    <row r="565" spans="1:44">
      <c r="A565">
        <v>11124971</v>
      </c>
      <c r="B565" t="s">
        <v>659</v>
      </c>
      <c r="C565" t="s">
        <v>1308</v>
      </c>
      <c r="D565" t="s">
        <v>1898</v>
      </c>
      <c r="E565" t="s">
        <v>1899</v>
      </c>
      <c r="F565" t="s">
        <v>1772</v>
      </c>
      <c r="G565" t="s">
        <v>1773</v>
      </c>
      <c r="H565" t="s">
        <v>2217</v>
      </c>
      <c r="I565" t="s">
        <v>4358</v>
      </c>
      <c r="J565" t="s">
        <v>3477</v>
      </c>
      <c r="K565" t="s">
        <v>3478</v>
      </c>
      <c r="M565">
        <v>50</v>
      </c>
      <c r="N565">
        <v>70</v>
      </c>
      <c r="O565" t="s">
        <v>2437</v>
      </c>
      <c r="P565" t="s">
        <v>2437</v>
      </c>
      <c r="R565" t="s">
        <v>2437</v>
      </c>
      <c r="T565" t="s">
        <v>2437</v>
      </c>
      <c r="U565" t="s">
        <v>2437</v>
      </c>
      <c r="V565" t="s">
        <v>2437</v>
      </c>
      <c r="Y565" t="s">
        <v>6948</v>
      </c>
      <c r="Z565" t="s">
        <v>6949</v>
      </c>
      <c r="AA565" t="s">
        <v>6950</v>
      </c>
      <c r="AB565" t="s">
        <v>6951</v>
      </c>
      <c r="AC565" t="s">
        <v>6952</v>
      </c>
      <c r="AD565" t="s">
        <v>6953</v>
      </c>
      <c r="AE565" t="s">
        <v>6954</v>
      </c>
      <c r="AF565" t="s">
        <v>6955</v>
      </c>
      <c r="AG565" t="s">
        <v>6956</v>
      </c>
      <c r="AH565" t="s">
        <v>6957</v>
      </c>
      <c r="AI565" t="s">
        <v>6958</v>
      </c>
      <c r="AJ565" t="s">
        <v>6959</v>
      </c>
      <c r="AR565" t="s">
        <v>4284</v>
      </c>
    </row>
    <row r="566" spans="1:44">
      <c r="A566">
        <v>11124972</v>
      </c>
      <c r="B566" t="s">
        <v>660</v>
      </c>
      <c r="C566" t="s">
        <v>1309</v>
      </c>
      <c r="D566" t="s">
        <v>1898</v>
      </c>
      <c r="E566" t="s">
        <v>1899</v>
      </c>
      <c r="F566" t="s">
        <v>1772</v>
      </c>
      <c r="G566" t="s">
        <v>1773</v>
      </c>
      <c r="H566" t="s">
        <v>2323</v>
      </c>
      <c r="I566" t="s">
        <v>4360</v>
      </c>
      <c r="J566" t="s">
        <v>3479</v>
      </c>
      <c r="K566" t="s">
        <v>3480</v>
      </c>
      <c r="M566">
        <v>50</v>
      </c>
      <c r="N566">
        <v>70</v>
      </c>
      <c r="O566" t="s">
        <v>2437</v>
      </c>
      <c r="P566" t="s">
        <v>2437</v>
      </c>
      <c r="R566" t="s">
        <v>2437</v>
      </c>
      <c r="T566" t="s">
        <v>2437</v>
      </c>
      <c r="U566" t="s">
        <v>2437</v>
      </c>
      <c r="V566" t="s">
        <v>2437</v>
      </c>
      <c r="Y566" t="s">
        <v>6948</v>
      </c>
      <c r="Z566" t="s">
        <v>6949</v>
      </c>
      <c r="AA566" t="s">
        <v>6950</v>
      </c>
      <c r="AB566" t="s">
        <v>6951</v>
      </c>
      <c r="AC566" t="s">
        <v>6952</v>
      </c>
      <c r="AD566" t="s">
        <v>6953</v>
      </c>
      <c r="AE566" t="s">
        <v>6954</v>
      </c>
      <c r="AF566" t="s">
        <v>6955</v>
      </c>
      <c r="AG566" t="s">
        <v>6956</v>
      </c>
      <c r="AH566" t="s">
        <v>6957</v>
      </c>
      <c r="AI566" t="s">
        <v>6958</v>
      </c>
      <c r="AJ566" t="s">
        <v>6959</v>
      </c>
      <c r="AR566" t="s">
        <v>4284</v>
      </c>
    </row>
    <row r="567" spans="1:44">
      <c r="A567">
        <v>11124973</v>
      </c>
      <c r="B567" t="s">
        <v>661</v>
      </c>
      <c r="C567" t="s">
        <v>1092</v>
      </c>
      <c r="D567" t="s">
        <v>1900</v>
      </c>
      <c r="E567" t="s">
        <v>1901</v>
      </c>
      <c r="F567" t="s">
        <v>1548</v>
      </c>
      <c r="G567" t="s">
        <v>1549</v>
      </c>
      <c r="H567" t="s">
        <v>2147</v>
      </c>
      <c r="I567" t="s">
        <v>4539</v>
      </c>
      <c r="J567" t="s">
        <v>3481</v>
      </c>
      <c r="K567" t="s">
        <v>3482</v>
      </c>
      <c r="M567">
        <v>50</v>
      </c>
      <c r="N567">
        <v>70</v>
      </c>
      <c r="O567" t="s">
        <v>2437</v>
      </c>
      <c r="P567" t="s">
        <v>2437</v>
      </c>
      <c r="R567" t="s">
        <v>2437</v>
      </c>
      <c r="T567" t="s">
        <v>89</v>
      </c>
      <c r="U567" t="s">
        <v>89</v>
      </c>
      <c r="V567" t="s">
        <v>89</v>
      </c>
      <c r="Y567" t="s">
        <v>6948</v>
      </c>
      <c r="Z567" t="s">
        <v>6949</v>
      </c>
      <c r="AA567" t="s">
        <v>6950</v>
      </c>
      <c r="AB567" t="s">
        <v>6951</v>
      </c>
      <c r="AC567" t="s">
        <v>6952</v>
      </c>
      <c r="AD567" t="s">
        <v>6953</v>
      </c>
      <c r="AE567" t="s">
        <v>6954</v>
      </c>
      <c r="AF567" t="s">
        <v>6955</v>
      </c>
      <c r="AG567" t="s">
        <v>6956</v>
      </c>
      <c r="AH567" t="s">
        <v>6957</v>
      </c>
      <c r="AI567" t="s">
        <v>6958</v>
      </c>
      <c r="AJ567" t="s">
        <v>6959</v>
      </c>
      <c r="AR567" t="s">
        <v>4284</v>
      </c>
    </row>
    <row r="568" spans="1:44">
      <c r="A568">
        <v>11124974</v>
      </c>
      <c r="B568" t="s">
        <v>662</v>
      </c>
      <c r="C568" t="s">
        <v>994</v>
      </c>
      <c r="D568" t="s">
        <v>1902</v>
      </c>
      <c r="E568" t="s">
        <v>1570</v>
      </c>
      <c r="F568" t="s">
        <v>1548</v>
      </c>
      <c r="G568" t="s">
        <v>1549</v>
      </c>
      <c r="H568" t="s">
        <v>2365</v>
      </c>
      <c r="I568" t="s">
        <v>4471</v>
      </c>
      <c r="J568" t="s">
        <v>2646</v>
      </c>
      <c r="K568" t="s">
        <v>2647</v>
      </c>
      <c r="M568">
        <v>50</v>
      </c>
      <c r="N568">
        <v>70</v>
      </c>
      <c r="O568" t="s">
        <v>2437</v>
      </c>
      <c r="P568" t="s">
        <v>2437</v>
      </c>
      <c r="R568" t="s">
        <v>2437</v>
      </c>
      <c r="T568" t="s">
        <v>89</v>
      </c>
      <c r="U568" t="s">
        <v>89</v>
      </c>
      <c r="V568" t="s">
        <v>89</v>
      </c>
      <c r="Y568" t="s">
        <v>6948</v>
      </c>
      <c r="Z568" t="s">
        <v>6949</v>
      </c>
      <c r="AA568" t="s">
        <v>6950</v>
      </c>
      <c r="AB568" t="s">
        <v>6951</v>
      </c>
      <c r="AC568" t="s">
        <v>6952</v>
      </c>
      <c r="AD568" t="s">
        <v>6953</v>
      </c>
      <c r="AE568" t="s">
        <v>6954</v>
      </c>
      <c r="AF568" t="s">
        <v>6955</v>
      </c>
      <c r="AG568" t="s">
        <v>6956</v>
      </c>
      <c r="AH568" t="s">
        <v>6957</v>
      </c>
      <c r="AI568" t="s">
        <v>6958</v>
      </c>
      <c r="AJ568" t="s">
        <v>6959</v>
      </c>
      <c r="AR568" t="s">
        <v>4284</v>
      </c>
    </row>
    <row r="569" spans="1:44">
      <c r="A569">
        <v>11124975</v>
      </c>
      <c r="B569" t="s">
        <v>663</v>
      </c>
      <c r="C569" t="s">
        <v>1310</v>
      </c>
      <c r="D569" t="s">
        <v>1903</v>
      </c>
      <c r="E569" t="s">
        <v>1904</v>
      </c>
      <c r="F569" t="s">
        <v>1824</v>
      </c>
      <c r="G569" t="s">
        <v>1825</v>
      </c>
      <c r="H569" t="s">
        <v>2250</v>
      </c>
      <c r="I569" t="s">
        <v>4441</v>
      </c>
      <c r="J569" t="s">
        <v>3483</v>
      </c>
      <c r="K569" t="s">
        <v>3484</v>
      </c>
      <c r="M569">
        <v>50</v>
      </c>
      <c r="N569">
        <v>70</v>
      </c>
      <c r="O569" t="s">
        <v>2437</v>
      </c>
      <c r="P569" t="s">
        <v>2437</v>
      </c>
      <c r="R569" t="s">
        <v>2437</v>
      </c>
      <c r="T569" t="s">
        <v>2437</v>
      </c>
      <c r="U569" t="s">
        <v>2437</v>
      </c>
      <c r="V569" t="s">
        <v>2437</v>
      </c>
      <c r="Y569" t="s">
        <v>6948</v>
      </c>
      <c r="Z569" t="s">
        <v>6949</v>
      </c>
      <c r="AA569" t="s">
        <v>6950</v>
      </c>
      <c r="AB569" t="s">
        <v>6951</v>
      </c>
      <c r="AC569" t="s">
        <v>6952</v>
      </c>
      <c r="AD569" t="s">
        <v>6953</v>
      </c>
      <c r="AE569" t="s">
        <v>6954</v>
      </c>
      <c r="AF569" t="s">
        <v>6955</v>
      </c>
      <c r="AG569" t="s">
        <v>6956</v>
      </c>
      <c r="AH569" t="s">
        <v>6957</v>
      </c>
      <c r="AI569" t="s">
        <v>6958</v>
      </c>
      <c r="AJ569" t="s">
        <v>6959</v>
      </c>
      <c r="AR569" t="s">
        <v>4284</v>
      </c>
    </row>
    <row r="570" spans="1:44">
      <c r="A570">
        <v>11124982</v>
      </c>
      <c r="B570" t="s">
        <v>664</v>
      </c>
      <c r="C570" t="s">
        <v>1152</v>
      </c>
      <c r="D570" t="s">
        <v>1905</v>
      </c>
      <c r="E570" t="s">
        <v>1595</v>
      </c>
      <c r="F570" t="s">
        <v>1596</v>
      </c>
      <c r="G570" t="s">
        <v>1597</v>
      </c>
      <c r="H570" t="s">
        <v>2185</v>
      </c>
      <c r="I570" t="s">
        <v>4389</v>
      </c>
      <c r="J570" t="s">
        <v>2690</v>
      </c>
      <c r="K570" t="s">
        <v>2691</v>
      </c>
      <c r="M570">
        <v>60</v>
      </c>
      <c r="N570">
        <v>70</v>
      </c>
      <c r="O570" t="s">
        <v>2437</v>
      </c>
      <c r="P570" t="s">
        <v>2437</v>
      </c>
      <c r="R570" t="s">
        <v>2437</v>
      </c>
      <c r="T570" t="s">
        <v>2437</v>
      </c>
      <c r="U570" t="s">
        <v>2437</v>
      </c>
      <c r="V570" t="s">
        <v>2437</v>
      </c>
      <c r="Y570" t="s">
        <v>6948</v>
      </c>
      <c r="Z570" t="s">
        <v>6949</v>
      </c>
      <c r="AA570" t="s">
        <v>6950</v>
      </c>
      <c r="AB570" t="s">
        <v>6951</v>
      </c>
      <c r="AC570" t="s">
        <v>6952</v>
      </c>
      <c r="AD570" t="s">
        <v>6953</v>
      </c>
      <c r="AE570" t="s">
        <v>6961</v>
      </c>
      <c r="AF570" t="s">
        <v>6962</v>
      </c>
      <c r="AG570" t="s">
        <v>6963</v>
      </c>
      <c r="AH570" t="s">
        <v>6964</v>
      </c>
      <c r="AI570" t="s">
        <v>6965</v>
      </c>
      <c r="AJ570" t="s">
        <v>6966</v>
      </c>
      <c r="AR570" t="s">
        <v>4284</v>
      </c>
    </row>
    <row r="571" spans="1:44">
      <c r="A571">
        <v>11124983</v>
      </c>
      <c r="B571" t="s">
        <v>665</v>
      </c>
      <c r="C571" t="s">
        <v>1153</v>
      </c>
      <c r="D571" t="s">
        <v>1905</v>
      </c>
      <c r="E571" t="s">
        <v>1595</v>
      </c>
      <c r="F571" t="s">
        <v>1596</v>
      </c>
      <c r="G571" t="s">
        <v>1597</v>
      </c>
      <c r="H571" t="s">
        <v>2186</v>
      </c>
      <c r="I571" t="s">
        <v>4390</v>
      </c>
      <c r="J571" t="s">
        <v>2692</v>
      </c>
      <c r="K571" t="s">
        <v>2693</v>
      </c>
      <c r="M571">
        <v>60</v>
      </c>
      <c r="N571">
        <v>70</v>
      </c>
      <c r="O571" t="s">
        <v>2437</v>
      </c>
      <c r="P571" t="s">
        <v>2437</v>
      </c>
      <c r="R571" t="s">
        <v>2437</v>
      </c>
      <c r="T571" t="s">
        <v>2437</v>
      </c>
      <c r="U571" t="s">
        <v>2437</v>
      </c>
      <c r="V571" t="s">
        <v>2437</v>
      </c>
      <c r="Y571" t="s">
        <v>6948</v>
      </c>
      <c r="Z571" t="s">
        <v>6949</v>
      </c>
      <c r="AA571" t="s">
        <v>6950</v>
      </c>
      <c r="AB571" t="s">
        <v>6951</v>
      </c>
      <c r="AC571" t="s">
        <v>6952</v>
      </c>
      <c r="AD571" t="s">
        <v>6953</v>
      </c>
      <c r="AE571" t="s">
        <v>6961</v>
      </c>
      <c r="AF571" t="s">
        <v>6962</v>
      </c>
      <c r="AG571" t="s">
        <v>6963</v>
      </c>
      <c r="AH571" t="s">
        <v>6964</v>
      </c>
      <c r="AI571" t="s">
        <v>6965</v>
      </c>
      <c r="AJ571" t="s">
        <v>6966</v>
      </c>
      <c r="AR571" t="s">
        <v>4284</v>
      </c>
    </row>
    <row r="572" spans="1:44">
      <c r="A572">
        <v>11124987</v>
      </c>
      <c r="B572" t="s">
        <v>666</v>
      </c>
      <c r="C572" t="s">
        <v>1050</v>
      </c>
      <c r="D572" t="s">
        <v>1905</v>
      </c>
      <c r="E572" t="s">
        <v>1595</v>
      </c>
      <c r="F572" t="s">
        <v>1596</v>
      </c>
      <c r="G572" t="s">
        <v>1597</v>
      </c>
      <c r="H572" t="s">
        <v>2216</v>
      </c>
      <c r="I572" t="s">
        <v>4409</v>
      </c>
      <c r="J572" t="s">
        <v>3485</v>
      </c>
      <c r="K572" t="s">
        <v>3486</v>
      </c>
      <c r="M572">
        <v>60</v>
      </c>
      <c r="N572">
        <v>70</v>
      </c>
      <c r="O572" t="s">
        <v>2437</v>
      </c>
      <c r="P572" t="s">
        <v>2437</v>
      </c>
      <c r="R572" t="s">
        <v>2437</v>
      </c>
      <c r="T572" t="s">
        <v>2437</v>
      </c>
      <c r="U572" t="s">
        <v>2437</v>
      </c>
      <c r="V572" t="s">
        <v>2437</v>
      </c>
      <c r="Y572" t="s">
        <v>6948</v>
      </c>
      <c r="Z572" t="s">
        <v>6949</v>
      </c>
      <c r="AA572" t="s">
        <v>6950</v>
      </c>
      <c r="AB572" t="s">
        <v>6951</v>
      </c>
      <c r="AC572" t="s">
        <v>6952</v>
      </c>
      <c r="AD572" t="s">
        <v>6953</v>
      </c>
      <c r="AE572" t="s">
        <v>6961</v>
      </c>
      <c r="AF572" t="s">
        <v>6962</v>
      </c>
      <c r="AG572" t="s">
        <v>6963</v>
      </c>
      <c r="AH572" t="s">
        <v>6964</v>
      </c>
      <c r="AI572" t="s">
        <v>6965</v>
      </c>
      <c r="AJ572" t="s">
        <v>6966</v>
      </c>
      <c r="AR572" t="s">
        <v>4284</v>
      </c>
    </row>
    <row r="573" spans="1:44">
      <c r="A573">
        <v>11124988</v>
      </c>
      <c r="B573" t="s">
        <v>667</v>
      </c>
      <c r="C573" t="s">
        <v>1154</v>
      </c>
      <c r="D573" t="s">
        <v>1906</v>
      </c>
      <c r="E573" t="s">
        <v>1475</v>
      </c>
      <c r="F573" t="s">
        <v>1688</v>
      </c>
      <c r="G573" t="s">
        <v>1689</v>
      </c>
      <c r="H573" t="s">
        <v>2187</v>
      </c>
      <c r="I573" t="s">
        <v>4467</v>
      </c>
      <c r="J573" t="s">
        <v>2694</v>
      </c>
      <c r="K573" t="s">
        <v>2695</v>
      </c>
      <c r="M573">
        <v>60</v>
      </c>
      <c r="N573">
        <v>70</v>
      </c>
      <c r="O573" t="s">
        <v>2437</v>
      </c>
      <c r="P573" t="s">
        <v>2437</v>
      </c>
      <c r="R573" t="s">
        <v>2437</v>
      </c>
      <c r="T573" t="s">
        <v>2437</v>
      </c>
      <c r="U573" t="s">
        <v>2437</v>
      </c>
      <c r="V573" t="s">
        <v>2437</v>
      </c>
      <c r="Y573" t="s">
        <v>6948</v>
      </c>
      <c r="Z573" t="s">
        <v>6949</v>
      </c>
      <c r="AA573" t="s">
        <v>6950</v>
      </c>
      <c r="AB573" t="s">
        <v>6951</v>
      </c>
      <c r="AC573" t="s">
        <v>6952</v>
      </c>
      <c r="AD573" t="s">
        <v>6953</v>
      </c>
      <c r="AE573" t="s">
        <v>6961</v>
      </c>
      <c r="AF573" t="s">
        <v>6962</v>
      </c>
      <c r="AG573" t="s">
        <v>6963</v>
      </c>
      <c r="AH573" t="s">
        <v>6964</v>
      </c>
      <c r="AI573" t="s">
        <v>6965</v>
      </c>
      <c r="AJ573" t="s">
        <v>6966</v>
      </c>
      <c r="AR573" t="s">
        <v>4284</v>
      </c>
    </row>
    <row r="574" spans="1:44">
      <c r="A574">
        <v>11124993</v>
      </c>
      <c r="B574" t="s">
        <v>668</v>
      </c>
      <c r="C574" t="s">
        <v>1130</v>
      </c>
      <c r="D574" t="s">
        <v>1906</v>
      </c>
      <c r="E574" t="s">
        <v>1475</v>
      </c>
      <c r="F574" t="s">
        <v>1688</v>
      </c>
      <c r="G574" t="s">
        <v>1689</v>
      </c>
      <c r="H574" t="s">
        <v>2192</v>
      </c>
      <c r="I574" t="s">
        <v>4411</v>
      </c>
      <c r="J574" t="s">
        <v>2664</v>
      </c>
      <c r="K574" t="s">
        <v>2665</v>
      </c>
      <c r="M574">
        <v>60</v>
      </c>
      <c r="N574">
        <v>70</v>
      </c>
      <c r="O574" t="s">
        <v>2437</v>
      </c>
      <c r="P574" t="s">
        <v>2437</v>
      </c>
      <c r="R574" t="s">
        <v>2437</v>
      </c>
      <c r="T574" t="s">
        <v>2437</v>
      </c>
      <c r="U574" t="s">
        <v>2437</v>
      </c>
      <c r="V574" t="s">
        <v>2437</v>
      </c>
      <c r="Y574" t="s">
        <v>6948</v>
      </c>
      <c r="Z574" t="s">
        <v>6949</v>
      </c>
      <c r="AA574" t="s">
        <v>6950</v>
      </c>
      <c r="AB574" t="s">
        <v>6951</v>
      </c>
      <c r="AC574" t="s">
        <v>6952</v>
      </c>
      <c r="AD574" t="s">
        <v>6953</v>
      </c>
      <c r="AE574" t="s">
        <v>6961</v>
      </c>
      <c r="AF574" t="s">
        <v>6962</v>
      </c>
      <c r="AG574" t="s">
        <v>6963</v>
      </c>
      <c r="AH574" t="s">
        <v>6964</v>
      </c>
      <c r="AI574" t="s">
        <v>6965</v>
      </c>
      <c r="AJ574" t="s">
        <v>6966</v>
      </c>
      <c r="AR574" t="s">
        <v>4284</v>
      </c>
    </row>
    <row r="575" spans="1:44">
      <c r="A575">
        <v>11124994</v>
      </c>
      <c r="B575" t="s">
        <v>669</v>
      </c>
      <c r="C575" t="s">
        <v>1311</v>
      </c>
      <c r="D575" t="s">
        <v>1907</v>
      </c>
      <c r="E575" t="s">
        <v>1908</v>
      </c>
      <c r="F575" t="s">
        <v>1887</v>
      </c>
      <c r="G575" t="s">
        <v>1888</v>
      </c>
      <c r="H575" t="s">
        <v>2356</v>
      </c>
      <c r="I575" t="s">
        <v>4530</v>
      </c>
      <c r="J575" t="s">
        <v>3487</v>
      </c>
      <c r="K575" t="s">
        <v>3488</v>
      </c>
      <c r="M575">
        <v>50</v>
      </c>
      <c r="N575">
        <v>70</v>
      </c>
      <c r="O575" t="s">
        <v>2437</v>
      </c>
      <c r="P575" t="s">
        <v>2437</v>
      </c>
      <c r="R575" t="s">
        <v>2437</v>
      </c>
      <c r="T575" t="s">
        <v>89</v>
      </c>
      <c r="U575" t="s">
        <v>89</v>
      </c>
      <c r="V575" t="s">
        <v>89</v>
      </c>
      <c r="Y575" t="s">
        <v>6948</v>
      </c>
      <c r="Z575" t="s">
        <v>6949</v>
      </c>
      <c r="AA575" t="s">
        <v>6950</v>
      </c>
      <c r="AB575" t="s">
        <v>6951</v>
      </c>
      <c r="AC575" t="s">
        <v>6952</v>
      </c>
      <c r="AD575" t="s">
        <v>6953</v>
      </c>
      <c r="AE575" t="s">
        <v>6954</v>
      </c>
      <c r="AF575" t="s">
        <v>6955</v>
      </c>
      <c r="AG575" t="s">
        <v>6956</v>
      </c>
      <c r="AH575" t="s">
        <v>6957</v>
      </c>
      <c r="AI575" t="s">
        <v>6958</v>
      </c>
      <c r="AJ575" t="s">
        <v>6959</v>
      </c>
      <c r="AR575" t="s">
        <v>4284</v>
      </c>
    </row>
    <row r="576" spans="1:44">
      <c r="A576">
        <v>11125011</v>
      </c>
      <c r="B576" t="s">
        <v>670</v>
      </c>
      <c r="C576" t="s">
        <v>1113</v>
      </c>
      <c r="D576" t="s">
        <v>1751</v>
      </c>
      <c r="E576" t="s">
        <v>1572</v>
      </c>
      <c r="F576" t="s">
        <v>1752</v>
      </c>
      <c r="G576" t="s">
        <v>1753</v>
      </c>
      <c r="H576" t="s">
        <v>2366</v>
      </c>
      <c r="I576" t="s">
        <v>4372</v>
      </c>
      <c r="J576" t="s">
        <v>2648</v>
      </c>
      <c r="K576" t="s">
        <v>2649</v>
      </c>
      <c r="M576">
        <v>50</v>
      </c>
      <c r="N576">
        <v>70</v>
      </c>
      <c r="O576" t="s">
        <v>2437</v>
      </c>
      <c r="P576" t="s">
        <v>2437</v>
      </c>
      <c r="R576" t="s">
        <v>2437</v>
      </c>
      <c r="T576" t="s">
        <v>2437</v>
      </c>
      <c r="U576" t="s">
        <v>2437</v>
      </c>
      <c r="V576" t="s">
        <v>2437</v>
      </c>
      <c r="Y576" t="s">
        <v>6948</v>
      </c>
      <c r="Z576" t="s">
        <v>6949</v>
      </c>
      <c r="AA576" t="s">
        <v>6950</v>
      </c>
      <c r="AB576" t="s">
        <v>6951</v>
      </c>
      <c r="AC576" t="s">
        <v>6952</v>
      </c>
      <c r="AD576" t="s">
        <v>6953</v>
      </c>
      <c r="AE576" t="s">
        <v>6954</v>
      </c>
      <c r="AF576" t="s">
        <v>6955</v>
      </c>
      <c r="AG576" t="s">
        <v>6956</v>
      </c>
      <c r="AH576" t="s">
        <v>6957</v>
      </c>
      <c r="AI576" t="s">
        <v>6958</v>
      </c>
      <c r="AJ576" t="s">
        <v>6959</v>
      </c>
      <c r="AR576" t="s">
        <v>4284</v>
      </c>
    </row>
    <row r="577" spans="1:44">
      <c r="A577">
        <v>11125021</v>
      </c>
      <c r="B577" t="s">
        <v>671</v>
      </c>
      <c r="C577" t="s">
        <v>1131</v>
      </c>
      <c r="D577" t="s">
        <v>1909</v>
      </c>
      <c r="E577" t="s">
        <v>1589</v>
      </c>
      <c r="F577" t="s">
        <v>1526</v>
      </c>
      <c r="G577" t="s">
        <v>1527</v>
      </c>
      <c r="H577" t="s">
        <v>2271</v>
      </c>
      <c r="I577" t="s">
        <v>4380</v>
      </c>
      <c r="J577" t="s">
        <v>2666</v>
      </c>
      <c r="K577" t="s">
        <v>2667</v>
      </c>
      <c r="M577">
        <v>60</v>
      </c>
      <c r="N577">
        <v>70</v>
      </c>
      <c r="O577">
        <v>68</v>
      </c>
      <c r="P577">
        <v>105</v>
      </c>
      <c r="R577" t="s">
        <v>2437</v>
      </c>
      <c r="T577" t="s">
        <v>2437</v>
      </c>
      <c r="U577" t="s">
        <v>2437</v>
      </c>
      <c r="V577" t="s">
        <v>2437</v>
      </c>
      <c r="Y577" t="s">
        <v>6948</v>
      </c>
      <c r="Z577" t="s">
        <v>6949</v>
      </c>
      <c r="AA577" t="s">
        <v>6950</v>
      </c>
      <c r="AB577" t="s">
        <v>6951</v>
      </c>
      <c r="AC577" t="s">
        <v>6952</v>
      </c>
      <c r="AD577" t="s">
        <v>6953</v>
      </c>
      <c r="AE577" t="s">
        <v>6961</v>
      </c>
      <c r="AF577" t="s">
        <v>6962</v>
      </c>
      <c r="AG577" t="s">
        <v>6963</v>
      </c>
      <c r="AH577" t="s">
        <v>6964</v>
      </c>
      <c r="AI577" t="s">
        <v>6965</v>
      </c>
      <c r="AJ577" t="s">
        <v>6966</v>
      </c>
      <c r="AK577" t="s">
        <v>6969</v>
      </c>
      <c r="AL577" t="s">
        <v>6970</v>
      </c>
      <c r="AM577" t="s">
        <v>6971</v>
      </c>
      <c r="AN577" t="s">
        <v>6972</v>
      </c>
      <c r="AR577" t="s">
        <v>4284</v>
      </c>
    </row>
    <row r="578" spans="1:44">
      <c r="A578">
        <v>11123400</v>
      </c>
      <c r="B578" t="s">
        <v>672</v>
      </c>
      <c r="C578" t="s">
        <v>1097</v>
      </c>
      <c r="D578" t="s">
        <v>1910</v>
      </c>
      <c r="E578" t="s">
        <v>1495</v>
      </c>
      <c r="F578" t="s">
        <v>1496</v>
      </c>
      <c r="G578" t="s">
        <v>1497</v>
      </c>
      <c r="H578" t="s">
        <v>2367</v>
      </c>
      <c r="I578" t="s">
        <v>4327</v>
      </c>
      <c r="J578" t="s">
        <v>2499</v>
      </c>
      <c r="K578" t="s">
        <v>2500</v>
      </c>
      <c r="M578">
        <v>50</v>
      </c>
      <c r="N578">
        <v>70</v>
      </c>
      <c r="O578" t="s">
        <v>2437</v>
      </c>
      <c r="P578" t="s">
        <v>2437</v>
      </c>
      <c r="R578">
        <v>24</v>
      </c>
      <c r="T578" t="s">
        <v>2437</v>
      </c>
      <c r="U578" t="s">
        <v>2437</v>
      </c>
      <c r="V578" t="s">
        <v>2437</v>
      </c>
      <c r="Y578" t="s">
        <v>6948</v>
      </c>
      <c r="Z578" t="s">
        <v>6949</v>
      </c>
      <c r="AA578" t="s">
        <v>6950</v>
      </c>
      <c r="AB578" t="s">
        <v>6951</v>
      </c>
      <c r="AC578" t="s">
        <v>6952</v>
      </c>
      <c r="AD578" t="s">
        <v>6953</v>
      </c>
      <c r="AE578" t="s">
        <v>6954</v>
      </c>
      <c r="AF578" t="s">
        <v>6955</v>
      </c>
      <c r="AG578" t="s">
        <v>6956</v>
      </c>
      <c r="AH578" t="s">
        <v>6957</v>
      </c>
      <c r="AI578" t="s">
        <v>6958</v>
      </c>
      <c r="AJ578" t="s">
        <v>6959</v>
      </c>
      <c r="AK578" t="s">
        <v>6976</v>
      </c>
      <c r="AL578" t="s">
        <v>6977</v>
      </c>
      <c r="AM578" t="s">
        <v>6978</v>
      </c>
      <c r="AN578" t="s">
        <v>6979</v>
      </c>
      <c r="AO578" t="s">
        <v>6980</v>
      </c>
      <c r="AR578" t="s">
        <v>4284</v>
      </c>
    </row>
    <row r="579" spans="1:44">
      <c r="A579">
        <v>11125465</v>
      </c>
      <c r="B579" t="s">
        <v>673</v>
      </c>
      <c r="C579" t="s">
        <v>1312</v>
      </c>
      <c r="D579" t="s">
        <v>1911</v>
      </c>
      <c r="E579" t="s">
        <v>1912</v>
      </c>
      <c r="F579" t="s">
        <v>1496</v>
      </c>
      <c r="G579" t="s">
        <v>1497</v>
      </c>
      <c r="H579" t="s">
        <v>2368</v>
      </c>
      <c r="I579" t="s">
        <v>4540</v>
      </c>
      <c r="J579" t="s">
        <v>3489</v>
      </c>
      <c r="K579" t="s">
        <v>3490</v>
      </c>
      <c r="M579">
        <v>50</v>
      </c>
      <c r="N579">
        <v>70</v>
      </c>
      <c r="O579" t="s">
        <v>2437</v>
      </c>
      <c r="P579" t="s">
        <v>2437</v>
      </c>
      <c r="R579" t="s">
        <v>2437</v>
      </c>
      <c r="T579" t="s">
        <v>2437</v>
      </c>
      <c r="U579" t="s">
        <v>2437</v>
      </c>
      <c r="V579" t="s">
        <v>2437</v>
      </c>
      <c r="Y579" t="s">
        <v>6948</v>
      </c>
      <c r="Z579" t="s">
        <v>6949</v>
      </c>
      <c r="AA579" t="s">
        <v>6950</v>
      </c>
      <c r="AB579" t="s">
        <v>6951</v>
      </c>
      <c r="AC579" t="s">
        <v>6952</v>
      </c>
      <c r="AD579" t="s">
        <v>6953</v>
      </c>
      <c r="AE579" t="s">
        <v>6954</v>
      </c>
      <c r="AF579" t="s">
        <v>6955</v>
      </c>
      <c r="AG579" t="s">
        <v>6956</v>
      </c>
      <c r="AH579" t="s">
        <v>6957</v>
      </c>
      <c r="AI579" t="s">
        <v>6958</v>
      </c>
      <c r="AJ579" t="s">
        <v>6959</v>
      </c>
      <c r="AR579" t="s">
        <v>4284</v>
      </c>
    </row>
    <row r="580" spans="1:44">
      <c r="A580">
        <v>11125466</v>
      </c>
      <c r="B580" t="s">
        <v>674</v>
      </c>
      <c r="C580" t="s">
        <v>1313</v>
      </c>
      <c r="D580" t="s">
        <v>1913</v>
      </c>
      <c r="E580" t="s">
        <v>1914</v>
      </c>
      <c r="F580" t="s">
        <v>1496</v>
      </c>
      <c r="G580" t="s">
        <v>1497</v>
      </c>
      <c r="H580" t="s">
        <v>2369</v>
      </c>
      <c r="I580" t="s">
        <v>4541</v>
      </c>
      <c r="J580" t="s">
        <v>3491</v>
      </c>
      <c r="K580" t="s">
        <v>3492</v>
      </c>
      <c r="M580">
        <v>50</v>
      </c>
      <c r="N580">
        <v>70</v>
      </c>
      <c r="O580" t="s">
        <v>2437</v>
      </c>
      <c r="P580" t="s">
        <v>2437</v>
      </c>
      <c r="R580" t="s">
        <v>2437</v>
      </c>
      <c r="T580" t="s">
        <v>2437</v>
      </c>
      <c r="U580" t="s">
        <v>2437</v>
      </c>
      <c r="V580" t="s">
        <v>2437</v>
      </c>
      <c r="Y580" t="s">
        <v>6948</v>
      </c>
      <c r="Z580" t="s">
        <v>6949</v>
      </c>
      <c r="AA580" t="s">
        <v>6950</v>
      </c>
      <c r="AB580" t="s">
        <v>6951</v>
      </c>
      <c r="AC580" t="s">
        <v>6952</v>
      </c>
      <c r="AD580" t="s">
        <v>6953</v>
      </c>
      <c r="AE580" t="s">
        <v>6954</v>
      </c>
      <c r="AF580" t="s">
        <v>6955</v>
      </c>
      <c r="AG580" t="s">
        <v>6956</v>
      </c>
      <c r="AH580" t="s">
        <v>6957</v>
      </c>
      <c r="AI580" t="s">
        <v>6958</v>
      </c>
      <c r="AJ580" t="s">
        <v>6959</v>
      </c>
      <c r="AR580" t="s">
        <v>4284</v>
      </c>
    </row>
    <row r="581" spans="1:44">
      <c r="A581">
        <v>11125467</v>
      </c>
      <c r="B581" t="s">
        <v>675</v>
      </c>
      <c r="C581" t="s">
        <v>1314</v>
      </c>
      <c r="D581" t="s">
        <v>1915</v>
      </c>
      <c r="E581" t="s">
        <v>1916</v>
      </c>
      <c r="F581" t="s">
        <v>1496</v>
      </c>
      <c r="G581" t="s">
        <v>1497</v>
      </c>
      <c r="H581" t="s">
        <v>2370</v>
      </c>
      <c r="I581" t="s">
        <v>4367</v>
      </c>
      <c r="J581" t="s">
        <v>3493</v>
      </c>
      <c r="K581" t="s">
        <v>3494</v>
      </c>
      <c r="M581">
        <v>50</v>
      </c>
      <c r="N581">
        <v>70</v>
      </c>
      <c r="O581" t="s">
        <v>2437</v>
      </c>
      <c r="P581" t="s">
        <v>2437</v>
      </c>
      <c r="R581" t="s">
        <v>2437</v>
      </c>
      <c r="T581" t="s">
        <v>2437</v>
      </c>
      <c r="U581" t="s">
        <v>2437</v>
      </c>
      <c r="V581" t="s">
        <v>2437</v>
      </c>
      <c r="Y581" t="s">
        <v>6948</v>
      </c>
      <c r="Z581" t="s">
        <v>6949</v>
      </c>
      <c r="AA581" t="s">
        <v>6950</v>
      </c>
      <c r="AB581" t="s">
        <v>6951</v>
      </c>
      <c r="AC581" t="s">
        <v>6952</v>
      </c>
      <c r="AD581" t="s">
        <v>6953</v>
      </c>
      <c r="AE581" t="s">
        <v>6954</v>
      </c>
      <c r="AF581" t="s">
        <v>6955</v>
      </c>
      <c r="AG581" t="s">
        <v>6956</v>
      </c>
      <c r="AH581" t="s">
        <v>6957</v>
      </c>
      <c r="AI581" t="s">
        <v>6958</v>
      </c>
      <c r="AJ581" t="s">
        <v>6959</v>
      </c>
      <c r="AR581" t="s">
        <v>4284</v>
      </c>
    </row>
    <row r="582" spans="1:44">
      <c r="A582">
        <v>11125462</v>
      </c>
      <c r="B582" t="s">
        <v>676</v>
      </c>
      <c r="C582" t="s">
        <v>1315</v>
      </c>
      <c r="D582" t="s">
        <v>1911</v>
      </c>
      <c r="E582" t="s">
        <v>1912</v>
      </c>
      <c r="F582" t="s">
        <v>1496</v>
      </c>
      <c r="G582" t="s">
        <v>1497</v>
      </c>
      <c r="H582" t="s">
        <v>2321</v>
      </c>
      <c r="I582" t="s">
        <v>4365</v>
      </c>
      <c r="J582" t="s">
        <v>3495</v>
      </c>
      <c r="K582" t="s">
        <v>3496</v>
      </c>
      <c r="M582">
        <v>50</v>
      </c>
      <c r="N582">
        <v>70</v>
      </c>
      <c r="O582" t="s">
        <v>2437</v>
      </c>
      <c r="P582" t="s">
        <v>2437</v>
      </c>
      <c r="R582" t="s">
        <v>2437</v>
      </c>
      <c r="T582" t="s">
        <v>2437</v>
      </c>
      <c r="U582" t="s">
        <v>2437</v>
      </c>
      <c r="V582" t="s">
        <v>2437</v>
      </c>
      <c r="Y582" t="s">
        <v>6948</v>
      </c>
      <c r="Z582" t="s">
        <v>6949</v>
      </c>
      <c r="AA582" t="s">
        <v>6950</v>
      </c>
      <c r="AB582" t="s">
        <v>6951</v>
      </c>
      <c r="AC582" t="s">
        <v>6952</v>
      </c>
      <c r="AD582" t="s">
        <v>6953</v>
      </c>
      <c r="AE582" t="s">
        <v>6954</v>
      </c>
      <c r="AF582" t="s">
        <v>6955</v>
      </c>
      <c r="AG582" t="s">
        <v>6956</v>
      </c>
      <c r="AH582" t="s">
        <v>6957</v>
      </c>
      <c r="AI582" t="s">
        <v>6958</v>
      </c>
      <c r="AJ582" t="s">
        <v>6959</v>
      </c>
      <c r="AR582" t="s">
        <v>4284</v>
      </c>
    </row>
    <row r="583" spans="1:44">
      <c r="A583">
        <v>11125463</v>
      </c>
      <c r="B583" t="s">
        <v>677</v>
      </c>
      <c r="C583" t="s">
        <v>1316</v>
      </c>
      <c r="D583" t="s">
        <v>1913</v>
      </c>
      <c r="E583" t="s">
        <v>1914</v>
      </c>
      <c r="F583" t="s">
        <v>1496</v>
      </c>
      <c r="G583" t="s">
        <v>1497</v>
      </c>
      <c r="H583" t="s">
        <v>2322</v>
      </c>
      <c r="I583" t="s">
        <v>4366</v>
      </c>
      <c r="J583" t="s">
        <v>3497</v>
      </c>
      <c r="K583" t="s">
        <v>3498</v>
      </c>
      <c r="M583">
        <v>50</v>
      </c>
      <c r="N583">
        <v>70</v>
      </c>
      <c r="O583" t="s">
        <v>2437</v>
      </c>
      <c r="P583" t="s">
        <v>2437</v>
      </c>
      <c r="R583" t="s">
        <v>2437</v>
      </c>
      <c r="T583" t="s">
        <v>2437</v>
      </c>
      <c r="U583" t="s">
        <v>2437</v>
      </c>
      <c r="V583" t="s">
        <v>2437</v>
      </c>
      <c r="Y583" t="s">
        <v>6948</v>
      </c>
      <c r="Z583" t="s">
        <v>6949</v>
      </c>
      <c r="AA583" t="s">
        <v>6950</v>
      </c>
      <c r="AB583" t="s">
        <v>6951</v>
      </c>
      <c r="AC583" t="s">
        <v>6952</v>
      </c>
      <c r="AD583" t="s">
        <v>6953</v>
      </c>
      <c r="AE583" t="s">
        <v>6954</v>
      </c>
      <c r="AF583" t="s">
        <v>6955</v>
      </c>
      <c r="AG583" t="s">
        <v>6956</v>
      </c>
      <c r="AH583" t="s">
        <v>6957</v>
      </c>
      <c r="AI583" t="s">
        <v>6958</v>
      </c>
      <c r="AJ583" t="s">
        <v>6959</v>
      </c>
      <c r="AR583" t="s">
        <v>4284</v>
      </c>
    </row>
    <row r="584" spans="1:44">
      <c r="A584">
        <v>11125464</v>
      </c>
      <c r="B584" t="s">
        <v>678</v>
      </c>
      <c r="C584" t="s">
        <v>1317</v>
      </c>
      <c r="D584" t="s">
        <v>1915</v>
      </c>
      <c r="E584" t="s">
        <v>1916</v>
      </c>
      <c r="F584" t="s">
        <v>1496</v>
      </c>
      <c r="G584" t="s">
        <v>1497</v>
      </c>
      <c r="H584" t="s">
        <v>2367</v>
      </c>
      <c r="I584" t="s">
        <v>4327</v>
      </c>
      <c r="J584" t="s">
        <v>3499</v>
      </c>
      <c r="K584" t="s">
        <v>3500</v>
      </c>
      <c r="M584">
        <v>50</v>
      </c>
      <c r="N584">
        <v>70</v>
      </c>
      <c r="O584" t="s">
        <v>2437</v>
      </c>
      <c r="P584" t="s">
        <v>2437</v>
      </c>
      <c r="R584" t="s">
        <v>2437</v>
      </c>
      <c r="T584" t="s">
        <v>2437</v>
      </c>
      <c r="U584" t="s">
        <v>2437</v>
      </c>
      <c r="V584" t="s">
        <v>2437</v>
      </c>
      <c r="Y584" t="s">
        <v>6948</v>
      </c>
      <c r="Z584" t="s">
        <v>6949</v>
      </c>
      <c r="AA584" t="s">
        <v>6950</v>
      </c>
      <c r="AB584" t="s">
        <v>6951</v>
      </c>
      <c r="AC584" t="s">
        <v>6952</v>
      </c>
      <c r="AD584" t="s">
        <v>6953</v>
      </c>
      <c r="AE584" t="s">
        <v>6954</v>
      </c>
      <c r="AF584" t="s">
        <v>6955</v>
      </c>
      <c r="AG584" t="s">
        <v>6956</v>
      </c>
      <c r="AH584" t="s">
        <v>6957</v>
      </c>
      <c r="AI584" t="s">
        <v>6958</v>
      </c>
      <c r="AJ584" t="s">
        <v>6959</v>
      </c>
      <c r="AR584" t="s">
        <v>4284</v>
      </c>
    </row>
    <row r="585" spans="1:44">
      <c r="A585">
        <v>11127513</v>
      </c>
      <c r="B585" t="s">
        <v>679</v>
      </c>
      <c r="C585" t="s">
        <v>1000</v>
      </c>
      <c r="D585" t="s">
        <v>1814</v>
      </c>
      <c r="E585" t="s">
        <v>1514</v>
      </c>
      <c r="F585" t="s">
        <v>1515</v>
      </c>
      <c r="G585" t="s">
        <v>36</v>
      </c>
      <c r="H585" t="s">
        <v>2371</v>
      </c>
      <c r="I585" t="s">
        <v>4542</v>
      </c>
      <c r="J585" t="s">
        <v>2541</v>
      </c>
      <c r="K585" t="s">
        <v>2542</v>
      </c>
      <c r="M585">
        <v>50</v>
      </c>
      <c r="N585">
        <v>70</v>
      </c>
      <c r="O585" t="s">
        <v>2437</v>
      </c>
      <c r="P585" t="s">
        <v>2437</v>
      </c>
      <c r="R585" t="s">
        <v>2437</v>
      </c>
      <c r="T585" t="s">
        <v>2437</v>
      </c>
      <c r="U585" t="s">
        <v>2437</v>
      </c>
      <c r="V585" t="s">
        <v>2437</v>
      </c>
      <c r="Y585" t="s">
        <v>6948</v>
      </c>
      <c r="Z585" t="s">
        <v>6949</v>
      </c>
      <c r="AA585" t="s">
        <v>6950</v>
      </c>
      <c r="AB585" t="s">
        <v>6951</v>
      </c>
      <c r="AC585" t="s">
        <v>6952</v>
      </c>
      <c r="AD585" t="s">
        <v>6953</v>
      </c>
      <c r="AE585" t="s">
        <v>6954</v>
      </c>
      <c r="AF585" t="s">
        <v>6955</v>
      </c>
      <c r="AG585" t="s">
        <v>6956</v>
      </c>
      <c r="AH585" t="s">
        <v>6957</v>
      </c>
      <c r="AI585" t="s">
        <v>6958</v>
      </c>
      <c r="AJ585" t="s">
        <v>6959</v>
      </c>
      <c r="AR585" t="s">
        <v>4284</v>
      </c>
    </row>
    <row r="586" spans="1:44">
      <c r="A586">
        <v>11125767</v>
      </c>
      <c r="B586" t="s">
        <v>680</v>
      </c>
      <c r="C586" t="s">
        <v>1095</v>
      </c>
      <c r="D586" t="s">
        <v>1917</v>
      </c>
      <c r="E586" t="s">
        <v>1918</v>
      </c>
      <c r="F586" t="s">
        <v>1496</v>
      </c>
      <c r="G586" t="s">
        <v>1497</v>
      </c>
      <c r="H586" t="s">
        <v>2321</v>
      </c>
      <c r="I586" t="s">
        <v>4365</v>
      </c>
      <c r="J586" t="s">
        <v>3501</v>
      </c>
      <c r="K586" t="s">
        <v>3502</v>
      </c>
      <c r="M586">
        <v>50</v>
      </c>
      <c r="N586">
        <v>70</v>
      </c>
      <c r="O586" t="s">
        <v>2437</v>
      </c>
      <c r="P586" t="s">
        <v>2437</v>
      </c>
      <c r="R586" t="s">
        <v>2437</v>
      </c>
      <c r="T586" t="s">
        <v>2437</v>
      </c>
      <c r="U586" t="s">
        <v>2437</v>
      </c>
      <c r="V586" t="s">
        <v>2437</v>
      </c>
      <c r="Y586" t="s">
        <v>6948</v>
      </c>
      <c r="Z586" t="s">
        <v>6949</v>
      </c>
      <c r="AA586" t="s">
        <v>6950</v>
      </c>
      <c r="AB586" t="s">
        <v>6951</v>
      </c>
      <c r="AC586" t="s">
        <v>6952</v>
      </c>
      <c r="AD586" t="s">
        <v>6953</v>
      </c>
      <c r="AE586" t="s">
        <v>6954</v>
      </c>
      <c r="AF586" t="s">
        <v>6955</v>
      </c>
      <c r="AG586" t="s">
        <v>6956</v>
      </c>
      <c r="AH586" t="s">
        <v>6957</v>
      </c>
      <c r="AI586" t="s">
        <v>6958</v>
      </c>
      <c r="AJ586" t="s">
        <v>6959</v>
      </c>
      <c r="AR586" t="s">
        <v>4284</v>
      </c>
    </row>
    <row r="587" spans="1:44">
      <c r="A587">
        <v>11125768</v>
      </c>
      <c r="B587" t="s">
        <v>681</v>
      </c>
      <c r="C587" t="s">
        <v>1096</v>
      </c>
      <c r="D587" t="s">
        <v>1919</v>
      </c>
      <c r="E587" t="s">
        <v>1920</v>
      </c>
      <c r="F587" t="s">
        <v>1496</v>
      </c>
      <c r="G587" t="s">
        <v>1497</v>
      </c>
      <c r="H587" t="s">
        <v>2322</v>
      </c>
      <c r="I587" t="s">
        <v>4366</v>
      </c>
      <c r="J587" t="s">
        <v>3503</v>
      </c>
      <c r="K587" t="s">
        <v>3504</v>
      </c>
      <c r="M587">
        <v>50</v>
      </c>
      <c r="N587">
        <v>70</v>
      </c>
      <c r="O587" t="s">
        <v>2437</v>
      </c>
      <c r="P587" t="s">
        <v>2437</v>
      </c>
      <c r="R587" t="s">
        <v>2437</v>
      </c>
      <c r="T587" t="s">
        <v>2437</v>
      </c>
      <c r="U587" t="s">
        <v>2437</v>
      </c>
      <c r="V587" t="s">
        <v>2437</v>
      </c>
      <c r="Y587" t="s">
        <v>6948</v>
      </c>
      <c r="Z587" t="s">
        <v>6949</v>
      </c>
      <c r="AA587" t="s">
        <v>6950</v>
      </c>
      <c r="AB587" t="s">
        <v>6951</v>
      </c>
      <c r="AC587" t="s">
        <v>6952</v>
      </c>
      <c r="AD587" t="s">
        <v>6953</v>
      </c>
      <c r="AE587" t="s">
        <v>6954</v>
      </c>
      <c r="AF587" t="s">
        <v>6955</v>
      </c>
      <c r="AG587" t="s">
        <v>6956</v>
      </c>
      <c r="AH587" t="s">
        <v>6957</v>
      </c>
      <c r="AI587" t="s">
        <v>6958</v>
      </c>
      <c r="AJ587" t="s">
        <v>6959</v>
      </c>
      <c r="AR587" t="s">
        <v>4284</v>
      </c>
    </row>
    <row r="588" spans="1:44">
      <c r="A588">
        <v>11125769</v>
      </c>
      <c r="B588" t="s">
        <v>682</v>
      </c>
      <c r="C588" t="s">
        <v>1097</v>
      </c>
      <c r="D588" t="s">
        <v>1921</v>
      </c>
      <c r="E588" t="s">
        <v>1922</v>
      </c>
      <c r="F588" t="s">
        <v>1496</v>
      </c>
      <c r="G588" t="s">
        <v>1497</v>
      </c>
      <c r="H588" t="s">
        <v>2367</v>
      </c>
      <c r="I588" t="s">
        <v>4327</v>
      </c>
      <c r="J588" t="s">
        <v>3505</v>
      </c>
      <c r="K588" t="s">
        <v>3506</v>
      </c>
      <c r="M588">
        <v>50</v>
      </c>
      <c r="N588">
        <v>70</v>
      </c>
      <c r="O588" t="s">
        <v>2437</v>
      </c>
      <c r="P588" t="s">
        <v>2437</v>
      </c>
      <c r="R588" t="s">
        <v>2437</v>
      </c>
      <c r="T588" t="s">
        <v>2437</v>
      </c>
      <c r="U588" t="s">
        <v>2437</v>
      </c>
      <c r="V588" t="s">
        <v>2437</v>
      </c>
      <c r="Y588" t="s">
        <v>6948</v>
      </c>
      <c r="Z588" t="s">
        <v>6949</v>
      </c>
      <c r="AA588" t="s">
        <v>6950</v>
      </c>
      <c r="AB588" t="s">
        <v>6951</v>
      </c>
      <c r="AC588" t="s">
        <v>6952</v>
      </c>
      <c r="AD588" t="s">
        <v>6953</v>
      </c>
      <c r="AE588" t="s">
        <v>6954</v>
      </c>
      <c r="AF588" t="s">
        <v>6955</v>
      </c>
      <c r="AG588" t="s">
        <v>6956</v>
      </c>
      <c r="AH588" t="s">
        <v>6957</v>
      </c>
      <c r="AI588" t="s">
        <v>6958</v>
      </c>
      <c r="AJ588" t="s">
        <v>6959</v>
      </c>
      <c r="AR588" t="s">
        <v>4284</v>
      </c>
    </row>
    <row r="589" spans="1:44">
      <c r="A589">
        <v>11103677</v>
      </c>
      <c r="B589" t="s">
        <v>683</v>
      </c>
      <c r="C589" t="s">
        <v>989</v>
      </c>
      <c r="D589" t="s">
        <v>1732</v>
      </c>
      <c r="E589" t="s">
        <v>1733</v>
      </c>
      <c r="F589" t="s">
        <v>1548</v>
      </c>
      <c r="G589" t="s">
        <v>1549</v>
      </c>
      <c r="H589" t="s">
        <v>2139</v>
      </c>
      <c r="I589" t="s">
        <v>4330</v>
      </c>
      <c r="J589" t="s">
        <v>3122</v>
      </c>
      <c r="K589" t="s">
        <v>3123</v>
      </c>
      <c r="M589">
        <v>50</v>
      </c>
      <c r="N589">
        <v>70</v>
      </c>
      <c r="O589" t="s">
        <v>2437</v>
      </c>
      <c r="P589" t="s">
        <v>2437</v>
      </c>
      <c r="R589" t="s">
        <v>2437</v>
      </c>
      <c r="T589" t="s">
        <v>2437</v>
      </c>
      <c r="U589" t="s">
        <v>2437</v>
      </c>
      <c r="V589" t="s">
        <v>2437</v>
      </c>
      <c r="Y589" t="s">
        <v>6948</v>
      </c>
      <c r="Z589" t="s">
        <v>6949</v>
      </c>
      <c r="AA589" t="s">
        <v>6950</v>
      </c>
      <c r="AB589" t="s">
        <v>6951</v>
      </c>
      <c r="AC589" t="s">
        <v>6952</v>
      </c>
      <c r="AD589" t="s">
        <v>6953</v>
      </c>
      <c r="AE589" t="s">
        <v>6954</v>
      </c>
      <c r="AF589" t="s">
        <v>6955</v>
      </c>
      <c r="AG589" t="s">
        <v>6956</v>
      </c>
      <c r="AH589" t="s">
        <v>6957</v>
      </c>
      <c r="AI589" t="s">
        <v>6958</v>
      </c>
      <c r="AJ589" t="s">
        <v>6959</v>
      </c>
      <c r="AR589" t="s">
        <v>4284</v>
      </c>
    </row>
    <row r="590" spans="1:44">
      <c r="A590">
        <v>11126965</v>
      </c>
      <c r="B590" t="s">
        <v>684</v>
      </c>
      <c r="C590" t="s">
        <v>1095</v>
      </c>
      <c r="D590" t="s">
        <v>1923</v>
      </c>
      <c r="E590" t="s">
        <v>1555</v>
      </c>
      <c r="F590" t="s">
        <v>1496</v>
      </c>
      <c r="G590" t="s">
        <v>1497</v>
      </c>
      <c r="H590" t="s">
        <v>2321</v>
      </c>
      <c r="I590" t="s">
        <v>4365</v>
      </c>
      <c r="J590" t="s">
        <v>2625</v>
      </c>
      <c r="K590" t="s">
        <v>2626</v>
      </c>
      <c r="M590">
        <v>50</v>
      </c>
      <c r="N590">
        <v>70</v>
      </c>
      <c r="O590" t="s">
        <v>2437</v>
      </c>
      <c r="P590" t="s">
        <v>2437</v>
      </c>
      <c r="R590" t="s">
        <v>2437</v>
      </c>
      <c r="T590" t="s">
        <v>2437</v>
      </c>
      <c r="U590" t="s">
        <v>2437</v>
      </c>
      <c r="V590" t="s">
        <v>2627</v>
      </c>
      <c r="Y590" t="s">
        <v>6948</v>
      </c>
      <c r="Z590" t="s">
        <v>6949</v>
      </c>
      <c r="AA590" t="s">
        <v>6950</v>
      </c>
      <c r="AB590" t="s">
        <v>6951</v>
      </c>
      <c r="AC590" t="s">
        <v>6952</v>
      </c>
      <c r="AD590" t="s">
        <v>6953</v>
      </c>
      <c r="AE590" t="s">
        <v>6954</v>
      </c>
      <c r="AF590" t="s">
        <v>6955</v>
      </c>
      <c r="AG590" t="s">
        <v>6956</v>
      </c>
      <c r="AH590" t="s">
        <v>6957</v>
      </c>
      <c r="AI590" t="s">
        <v>6958</v>
      </c>
      <c r="AJ590" t="s">
        <v>6959</v>
      </c>
      <c r="AR590" t="s">
        <v>4284</v>
      </c>
    </row>
    <row r="591" spans="1:44">
      <c r="A591">
        <v>11126966</v>
      </c>
      <c r="B591" t="s">
        <v>685</v>
      </c>
      <c r="C591" t="s">
        <v>1098</v>
      </c>
      <c r="H591" t="s">
        <v>2372</v>
      </c>
      <c r="I591" t="s">
        <v>4543</v>
      </c>
      <c r="M591" t="e">
        <v>#N/A</v>
      </c>
      <c r="N591" t="e">
        <v>#N/A</v>
      </c>
      <c r="O591" t="e">
        <v>#N/A</v>
      </c>
      <c r="P591" t="e">
        <v>#N/A</v>
      </c>
      <c r="R591" t="e">
        <v>#N/A</v>
      </c>
      <c r="Y591" t="s">
        <v>6948</v>
      </c>
      <c r="Z591" t="s">
        <v>6949</v>
      </c>
      <c r="AA591" t="s">
        <v>6950</v>
      </c>
      <c r="AB591" t="s">
        <v>6951</v>
      </c>
      <c r="AC591" t="s">
        <v>6952</v>
      </c>
      <c r="AD591" t="s">
        <v>6953</v>
      </c>
      <c r="AR591" t="s">
        <v>4284</v>
      </c>
    </row>
    <row r="592" spans="1:44">
      <c r="A592">
        <v>11126967</v>
      </c>
      <c r="B592" t="s">
        <v>686</v>
      </c>
      <c r="C592" t="s">
        <v>1099</v>
      </c>
      <c r="H592" t="s">
        <v>2368</v>
      </c>
      <c r="I592" t="s">
        <v>4540</v>
      </c>
      <c r="M592" t="e">
        <v>#N/A</v>
      </c>
      <c r="N592" t="e">
        <v>#N/A</v>
      </c>
      <c r="O592" t="e">
        <v>#N/A</v>
      </c>
      <c r="P592" t="e">
        <v>#N/A</v>
      </c>
      <c r="R592" t="e">
        <v>#N/A</v>
      </c>
      <c r="Y592" t="s">
        <v>6948</v>
      </c>
      <c r="Z592" t="s">
        <v>6949</v>
      </c>
      <c r="AA592" t="s">
        <v>6950</v>
      </c>
      <c r="AB592" t="s">
        <v>6951</v>
      </c>
      <c r="AC592" t="s">
        <v>6952</v>
      </c>
      <c r="AD592" t="s">
        <v>6953</v>
      </c>
      <c r="AR592" t="s">
        <v>4284</v>
      </c>
    </row>
    <row r="593" spans="1:44">
      <c r="A593">
        <v>11126968</v>
      </c>
      <c r="B593" t="s">
        <v>687</v>
      </c>
      <c r="C593" t="s">
        <v>1096</v>
      </c>
      <c r="D593" t="s">
        <v>1924</v>
      </c>
      <c r="E593" t="s">
        <v>1557</v>
      </c>
      <c r="F593" t="s">
        <v>1496</v>
      </c>
      <c r="G593" t="s">
        <v>1497</v>
      </c>
      <c r="H593" t="s">
        <v>2322</v>
      </c>
      <c r="I593" t="s">
        <v>4366</v>
      </c>
      <c r="J593" t="s">
        <v>2628</v>
      </c>
      <c r="K593" t="s">
        <v>2629</v>
      </c>
      <c r="M593">
        <v>50</v>
      </c>
      <c r="N593">
        <v>70</v>
      </c>
      <c r="O593" t="s">
        <v>2437</v>
      </c>
      <c r="P593" t="s">
        <v>2437</v>
      </c>
      <c r="R593" t="s">
        <v>2437</v>
      </c>
      <c r="T593" t="s">
        <v>2437</v>
      </c>
      <c r="U593" t="s">
        <v>2437</v>
      </c>
      <c r="V593" t="s">
        <v>2627</v>
      </c>
      <c r="Y593" t="s">
        <v>6948</v>
      </c>
      <c r="Z593" t="s">
        <v>6949</v>
      </c>
      <c r="AA593" t="s">
        <v>6950</v>
      </c>
      <c r="AB593" t="s">
        <v>6951</v>
      </c>
      <c r="AC593" t="s">
        <v>6952</v>
      </c>
      <c r="AD593" t="s">
        <v>6953</v>
      </c>
      <c r="AE593" t="s">
        <v>6954</v>
      </c>
      <c r="AF593" t="s">
        <v>6955</v>
      </c>
      <c r="AG593" t="s">
        <v>6956</v>
      </c>
      <c r="AH593" t="s">
        <v>6957</v>
      </c>
      <c r="AI593" t="s">
        <v>6958</v>
      </c>
      <c r="AJ593" t="s">
        <v>6959</v>
      </c>
      <c r="AR593" t="s">
        <v>4284</v>
      </c>
    </row>
    <row r="594" spans="1:44">
      <c r="A594">
        <v>11126969</v>
      </c>
      <c r="B594" t="s">
        <v>688</v>
      </c>
      <c r="C594" t="s">
        <v>1100</v>
      </c>
      <c r="H594" t="s">
        <v>2373</v>
      </c>
      <c r="I594" t="s">
        <v>4544</v>
      </c>
      <c r="M594" t="e">
        <v>#N/A</v>
      </c>
      <c r="N594" t="e">
        <v>#N/A</v>
      </c>
      <c r="O594" t="e">
        <v>#N/A</v>
      </c>
      <c r="P594" t="e">
        <v>#N/A</v>
      </c>
      <c r="R594" t="e">
        <v>#N/A</v>
      </c>
      <c r="Y594" t="s">
        <v>6948</v>
      </c>
      <c r="Z594" t="s">
        <v>6949</v>
      </c>
      <c r="AA594" t="s">
        <v>6950</v>
      </c>
      <c r="AB594" t="s">
        <v>6951</v>
      </c>
      <c r="AC594" t="s">
        <v>6952</v>
      </c>
      <c r="AD594" t="s">
        <v>6953</v>
      </c>
      <c r="AR594" t="s">
        <v>4284</v>
      </c>
    </row>
    <row r="595" spans="1:44">
      <c r="A595">
        <v>11126970</v>
      </c>
      <c r="B595" t="s">
        <v>689</v>
      </c>
      <c r="C595" t="s">
        <v>1101</v>
      </c>
      <c r="H595" t="s">
        <v>2369</v>
      </c>
      <c r="I595" t="s">
        <v>4541</v>
      </c>
      <c r="M595" t="e">
        <v>#N/A</v>
      </c>
      <c r="N595" t="e">
        <v>#N/A</v>
      </c>
      <c r="O595" t="e">
        <v>#N/A</v>
      </c>
      <c r="P595" t="e">
        <v>#N/A</v>
      </c>
      <c r="R595" t="e">
        <v>#N/A</v>
      </c>
      <c r="Y595" t="s">
        <v>6948</v>
      </c>
      <c r="Z595" t="s">
        <v>6949</v>
      </c>
      <c r="AA595" t="s">
        <v>6950</v>
      </c>
      <c r="AB595" t="s">
        <v>6951</v>
      </c>
      <c r="AC595" t="s">
        <v>6952</v>
      </c>
      <c r="AD595" t="s">
        <v>6953</v>
      </c>
      <c r="AR595" t="s">
        <v>4284</v>
      </c>
    </row>
    <row r="596" spans="1:44">
      <c r="A596">
        <v>11126971</v>
      </c>
      <c r="B596" t="s">
        <v>690</v>
      </c>
      <c r="C596" t="s">
        <v>1097</v>
      </c>
      <c r="D596" t="s">
        <v>1925</v>
      </c>
      <c r="E596" t="s">
        <v>1559</v>
      </c>
      <c r="F596" t="s">
        <v>1496</v>
      </c>
      <c r="G596" t="s">
        <v>1497</v>
      </c>
      <c r="H596" t="s">
        <v>2367</v>
      </c>
      <c r="I596" t="s">
        <v>4327</v>
      </c>
      <c r="J596" t="s">
        <v>2630</v>
      </c>
      <c r="K596" t="s">
        <v>2631</v>
      </c>
      <c r="M596">
        <v>50</v>
      </c>
      <c r="N596">
        <v>70</v>
      </c>
      <c r="O596" t="s">
        <v>2437</v>
      </c>
      <c r="P596" t="s">
        <v>2437</v>
      </c>
      <c r="R596" t="s">
        <v>2437</v>
      </c>
      <c r="T596" t="s">
        <v>2437</v>
      </c>
      <c r="U596" t="s">
        <v>2437</v>
      </c>
      <c r="V596" t="s">
        <v>2627</v>
      </c>
      <c r="Y596" t="s">
        <v>6948</v>
      </c>
      <c r="Z596" t="s">
        <v>6949</v>
      </c>
      <c r="AA596" t="s">
        <v>6950</v>
      </c>
      <c r="AB596" t="s">
        <v>6951</v>
      </c>
      <c r="AC596" t="s">
        <v>6952</v>
      </c>
      <c r="AD596" t="s">
        <v>6953</v>
      </c>
      <c r="AE596" t="s">
        <v>6954</v>
      </c>
      <c r="AF596" t="s">
        <v>6955</v>
      </c>
      <c r="AG596" t="s">
        <v>6956</v>
      </c>
      <c r="AH596" t="s">
        <v>6957</v>
      </c>
      <c r="AI596" t="s">
        <v>6958</v>
      </c>
      <c r="AJ596" t="s">
        <v>6959</v>
      </c>
      <c r="AR596" t="s">
        <v>4284</v>
      </c>
    </row>
    <row r="597" spans="1:44">
      <c r="A597">
        <v>11126972</v>
      </c>
      <c r="B597" t="s">
        <v>691</v>
      </c>
      <c r="C597" t="s">
        <v>1102</v>
      </c>
      <c r="H597" t="s">
        <v>2374</v>
      </c>
      <c r="M597" t="e">
        <v>#N/A</v>
      </c>
      <c r="N597" t="e">
        <v>#N/A</v>
      </c>
      <c r="O597" t="e">
        <v>#N/A</v>
      </c>
      <c r="P597" t="e">
        <v>#N/A</v>
      </c>
      <c r="R597" t="e">
        <v>#N/A</v>
      </c>
      <c r="Y597" t="s">
        <v>6948</v>
      </c>
      <c r="Z597" t="s">
        <v>6949</v>
      </c>
      <c r="AA597" t="s">
        <v>6950</v>
      </c>
      <c r="AB597" t="s">
        <v>6951</v>
      </c>
      <c r="AC597" t="s">
        <v>6952</v>
      </c>
      <c r="AD597" t="s">
        <v>6953</v>
      </c>
      <c r="AR597" t="s">
        <v>4284</v>
      </c>
    </row>
    <row r="598" spans="1:44">
      <c r="A598">
        <v>11126973</v>
      </c>
      <c r="B598" t="s">
        <v>692</v>
      </c>
      <c r="C598" t="s">
        <v>1103</v>
      </c>
      <c r="H598" t="s">
        <v>2370</v>
      </c>
      <c r="I598" t="s">
        <v>4367</v>
      </c>
      <c r="M598" t="e">
        <v>#N/A</v>
      </c>
      <c r="N598" t="e">
        <v>#N/A</v>
      </c>
      <c r="O598" t="e">
        <v>#N/A</v>
      </c>
      <c r="P598" t="e">
        <v>#N/A</v>
      </c>
      <c r="R598" t="e">
        <v>#N/A</v>
      </c>
      <c r="Y598" t="s">
        <v>6948</v>
      </c>
      <c r="Z598" t="s">
        <v>6949</v>
      </c>
      <c r="AA598" t="s">
        <v>6950</v>
      </c>
      <c r="AB598" t="s">
        <v>6951</v>
      </c>
      <c r="AC598" t="s">
        <v>6952</v>
      </c>
      <c r="AD598" t="s">
        <v>6953</v>
      </c>
      <c r="AR598" t="s">
        <v>4284</v>
      </c>
    </row>
    <row r="599" spans="1:44">
      <c r="A599">
        <v>11126891</v>
      </c>
      <c r="B599" t="s">
        <v>693</v>
      </c>
      <c r="C599" t="s">
        <v>1155</v>
      </c>
      <c r="D599" t="s">
        <v>1926</v>
      </c>
      <c r="E599" t="s">
        <v>1927</v>
      </c>
      <c r="F599" t="s">
        <v>1852</v>
      </c>
      <c r="G599" t="s">
        <v>1853</v>
      </c>
      <c r="H599" t="s">
        <v>2193</v>
      </c>
      <c r="I599" t="s">
        <v>4391</v>
      </c>
      <c r="J599" t="s">
        <v>3507</v>
      </c>
      <c r="K599" t="s">
        <v>3508</v>
      </c>
      <c r="M599">
        <v>50</v>
      </c>
      <c r="N599">
        <v>70</v>
      </c>
      <c r="O599" t="s">
        <v>2437</v>
      </c>
      <c r="P599" t="s">
        <v>2437</v>
      </c>
      <c r="R599" t="s">
        <v>2437</v>
      </c>
      <c r="T599" t="s">
        <v>89</v>
      </c>
      <c r="U599" t="s">
        <v>89</v>
      </c>
      <c r="V599" t="s">
        <v>2562</v>
      </c>
      <c r="Y599" t="s">
        <v>6948</v>
      </c>
      <c r="Z599" t="s">
        <v>6949</v>
      </c>
      <c r="AA599" t="s">
        <v>6950</v>
      </c>
      <c r="AB599" t="s">
        <v>6951</v>
      </c>
      <c r="AC599" t="s">
        <v>6952</v>
      </c>
      <c r="AD599" t="s">
        <v>6953</v>
      </c>
      <c r="AE599" t="s">
        <v>6954</v>
      </c>
      <c r="AF599" t="s">
        <v>6955</v>
      </c>
      <c r="AG599" t="s">
        <v>6956</v>
      </c>
      <c r="AH599" t="s">
        <v>6957</v>
      </c>
      <c r="AI599" t="s">
        <v>6958</v>
      </c>
      <c r="AJ599" t="s">
        <v>6959</v>
      </c>
      <c r="AR599" t="s">
        <v>4284</v>
      </c>
    </row>
    <row r="600" spans="1:44">
      <c r="A600">
        <v>11126951</v>
      </c>
      <c r="B600" t="s">
        <v>694</v>
      </c>
      <c r="C600" t="s">
        <v>965</v>
      </c>
      <c r="D600" t="s">
        <v>1928</v>
      </c>
      <c r="E600" t="s">
        <v>1509</v>
      </c>
      <c r="F600" t="s">
        <v>1564</v>
      </c>
      <c r="G600" t="s">
        <v>1565</v>
      </c>
      <c r="H600" t="s">
        <v>2228</v>
      </c>
      <c r="I600" t="s">
        <v>4370</v>
      </c>
      <c r="J600" t="s">
        <v>3509</v>
      </c>
      <c r="K600" t="s">
        <v>3510</v>
      </c>
      <c r="M600">
        <v>50</v>
      </c>
      <c r="N600">
        <v>70</v>
      </c>
      <c r="O600" t="s">
        <v>2437</v>
      </c>
      <c r="P600" t="s">
        <v>2437</v>
      </c>
      <c r="R600" t="s">
        <v>2437</v>
      </c>
      <c r="T600" t="s">
        <v>89</v>
      </c>
      <c r="U600" t="s">
        <v>89</v>
      </c>
      <c r="V600" t="s">
        <v>2562</v>
      </c>
      <c r="Y600" t="s">
        <v>6948</v>
      </c>
      <c r="Z600" t="s">
        <v>6949</v>
      </c>
      <c r="AA600" t="s">
        <v>6950</v>
      </c>
      <c r="AB600" t="s">
        <v>6951</v>
      </c>
      <c r="AC600" t="s">
        <v>6952</v>
      </c>
      <c r="AD600" t="s">
        <v>6953</v>
      </c>
      <c r="AE600" t="s">
        <v>6954</v>
      </c>
      <c r="AF600" t="s">
        <v>6955</v>
      </c>
      <c r="AG600" t="s">
        <v>6956</v>
      </c>
      <c r="AH600" t="s">
        <v>6957</v>
      </c>
      <c r="AI600" t="s">
        <v>6958</v>
      </c>
      <c r="AJ600" t="s">
        <v>6959</v>
      </c>
      <c r="AR600" t="s">
        <v>4284</v>
      </c>
    </row>
    <row r="601" spans="1:44">
      <c r="A601">
        <v>11126909</v>
      </c>
      <c r="B601" t="s">
        <v>695</v>
      </c>
      <c r="C601" t="s">
        <v>1005</v>
      </c>
      <c r="D601" t="s">
        <v>1929</v>
      </c>
      <c r="E601" t="s">
        <v>1653</v>
      </c>
      <c r="F601" t="s">
        <v>1654</v>
      </c>
      <c r="G601" t="s">
        <v>1655</v>
      </c>
      <c r="H601" t="s">
        <v>2239</v>
      </c>
      <c r="I601" t="s">
        <v>4430</v>
      </c>
      <c r="J601" t="s">
        <v>2890</v>
      </c>
      <c r="K601" t="s">
        <v>2891</v>
      </c>
      <c r="M601">
        <v>50</v>
      </c>
      <c r="N601">
        <v>70</v>
      </c>
      <c r="O601" t="s">
        <v>2437</v>
      </c>
      <c r="P601" t="s">
        <v>2437</v>
      </c>
      <c r="R601" t="s">
        <v>2437</v>
      </c>
      <c r="T601" t="s">
        <v>2437</v>
      </c>
      <c r="U601" t="s">
        <v>2437</v>
      </c>
      <c r="V601" t="s">
        <v>2559</v>
      </c>
      <c r="Y601" t="s">
        <v>6948</v>
      </c>
      <c r="Z601" t="s">
        <v>6949</v>
      </c>
      <c r="AA601" t="s">
        <v>6950</v>
      </c>
      <c r="AB601" t="s">
        <v>6951</v>
      </c>
      <c r="AC601" t="s">
        <v>6952</v>
      </c>
      <c r="AD601" t="s">
        <v>6953</v>
      </c>
      <c r="AE601" t="s">
        <v>6954</v>
      </c>
      <c r="AF601" t="s">
        <v>6955</v>
      </c>
      <c r="AG601" t="s">
        <v>6956</v>
      </c>
      <c r="AH601" t="s">
        <v>6957</v>
      </c>
      <c r="AI601" t="s">
        <v>6958</v>
      </c>
      <c r="AJ601" t="s">
        <v>6959</v>
      </c>
      <c r="AR601" t="s">
        <v>4284</v>
      </c>
    </row>
    <row r="602" spans="1:44">
      <c r="A602">
        <v>11126913</v>
      </c>
      <c r="B602" t="s">
        <v>696</v>
      </c>
      <c r="C602" t="s">
        <v>1009</v>
      </c>
      <c r="D602" t="s">
        <v>1930</v>
      </c>
      <c r="E602" t="s">
        <v>1521</v>
      </c>
      <c r="F602" t="s">
        <v>1792</v>
      </c>
      <c r="G602" t="s">
        <v>1793</v>
      </c>
      <c r="H602" t="s">
        <v>2268</v>
      </c>
      <c r="I602" t="s">
        <v>4459</v>
      </c>
      <c r="J602" t="s">
        <v>3511</v>
      </c>
      <c r="K602" t="s">
        <v>3512</v>
      </c>
      <c r="M602">
        <v>50</v>
      </c>
      <c r="N602">
        <v>70</v>
      </c>
      <c r="O602" t="s">
        <v>2437</v>
      </c>
      <c r="P602" t="s">
        <v>2437</v>
      </c>
      <c r="R602" t="s">
        <v>89</v>
      </c>
      <c r="T602" t="s">
        <v>2437</v>
      </c>
      <c r="U602" t="s">
        <v>2437</v>
      </c>
      <c r="V602" t="s">
        <v>2559</v>
      </c>
      <c r="Y602" t="s">
        <v>6948</v>
      </c>
      <c r="Z602" t="s">
        <v>6949</v>
      </c>
      <c r="AA602" t="s">
        <v>6950</v>
      </c>
      <c r="AB602" t="s">
        <v>6951</v>
      </c>
      <c r="AC602" t="s">
        <v>6952</v>
      </c>
      <c r="AD602" t="s">
        <v>6953</v>
      </c>
      <c r="AE602" t="s">
        <v>6954</v>
      </c>
      <c r="AF602" t="s">
        <v>6955</v>
      </c>
      <c r="AG602" t="s">
        <v>6956</v>
      </c>
      <c r="AH602" t="s">
        <v>6957</v>
      </c>
      <c r="AI602" t="s">
        <v>6958</v>
      </c>
      <c r="AJ602" t="s">
        <v>6959</v>
      </c>
      <c r="AR602" t="s">
        <v>4284</v>
      </c>
    </row>
    <row r="603" spans="1:44">
      <c r="A603">
        <v>11126914</v>
      </c>
      <c r="B603" t="s">
        <v>697</v>
      </c>
      <c r="C603" t="s">
        <v>1196</v>
      </c>
      <c r="D603" t="s">
        <v>1930</v>
      </c>
      <c r="E603" t="s">
        <v>1521</v>
      </c>
      <c r="F603" t="s">
        <v>1792</v>
      </c>
      <c r="G603" t="s">
        <v>1793</v>
      </c>
      <c r="H603" t="s">
        <v>2269</v>
      </c>
      <c r="I603" t="s">
        <v>4460</v>
      </c>
      <c r="J603" t="s">
        <v>3513</v>
      </c>
      <c r="K603" t="s">
        <v>3514</v>
      </c>
      <c r="M603">
        <v>50</v>
      </c>
      <c r="N603">
        <v>70</v>
      </c>
      <c r="O603" t="s">
        <v>2437</v>
      </c>
      <c r="P603" t="s">
        <v>2437</v>
      </c>
      <c r="R603" t="s">
        <v>89</v>
      </c>
      <c r="T603" t="s">
        <v>2437</v>
      </c>
      <c r="U603" t="s">
        <v>2437</v>
      </c>
      <c r="V603" t="s">
        <v>2559</v>
      </c>
      <c r="Y603" t="s">
        <v>6948</v>
      </c>
      <c r="Z603" t="s">
        <v>6949</v>
      </c>
      <c r="AA603" t="s">
        <v>6950</v>
      </c>
      <c r="AB603" t="s">
        <v>6951</v>
      </c>
      <c r="AC603" t="s">
        <v>6952</v>
      </c>
      <c r="AD603" t="s">
        <v>6953</v>
      </c>
      <c r="AE603" t="s">
        <v>6954</v>
      </c>
      <c r="AF603" t="s">
        <v>6955</v>
      </c>
      <c r="AG603" t="s">
        <v>6956</v>
      </c>
      <c r="AH603" t="s">
        <v>6957</v>
      </c>
      <c r="AI603" t="s">
        <v>6958</v>
      </c>
      <c r="AJ603" t="s">
        <v>6959</v>
      </c>
      <c r="AR603" t="s">
        <v>4284</v>
      </c>
    </row>
    <row r="604" spans="1:44">
      <c r="A604">
        <v>11126915</v>
      </c>
      <c r="B604" t="s">
        <v>698</v>
      </c>
      <c r="C604" t="s">
        <v>1010</v>
      </c>
      <c r="D604" t="s">
        <v>1930</v>
      </c>
      <c r="E604" t="s">
        <v>1521</v>
      </c>
      <c r="F604" t="s">
        <v>1578</v>
      </c>
      <c r="G604" t="s">
        <v>1579</v>
      </c>
      <c r="H604" t="s">
        <v>2375</v>
      </c>
      <c r="I604" t="s">
        <v>4545</v>
      </c>
      <c r="J604" t="s">
        <v>3515</v>
      </c>
      <c r="K604" t="s">
        <v>3516</v>
      </c>
      <c r="M604">
        <v>50</v>
      </c>
      <c r="N604">
        <v>70</v>
      </c>
      <c r="O604" t="s">
        <v>2437</v>
      </c>
      <c r="P604" t="s">
        <v>2437</v>
      </c>
      <c r="R604" t="s">
        <v>89</v>
      </c>
      <c r="T604" t="s">
        <v>2437</v>
      </c>
      <c r="U604" t="s">
        <v>2437</v>
      </c>
      <c r="V604" t="s">
        <v>2559</v>
      </c>
      <c r="Y604" t="s">
        <v>6948</v>
      </c>
      <c r="Z604" t="s">
        <v>6949</v>
      </c>
      <c r="AA604" t="s">
        <v>6950</v>
      </c>
      <c r="AB604" t="s">
        <v>6951</v>
      </c>
      <c r="AC604" t="s">
        <v>6952</v>
      </c>
      <c r="AD604" t="s">
        <v>6953</v>
      </c>
      <c r="AE604" t="s">
        <v>6954</v>
      </c>
      <c r="AF604" t="s">
        <v>6955</v>
      </c>
      <c r="AG604" t="s">
        <v>6956</v>
      </c>
      <c r="AH604" t="s">
        <v>6957</v>
      </c>
      <c r="AI604" t="s">
        <v>6958</v>
      </c>
      <c r="AJ604" t="s">
        <v>6959</v>
      </c>
      <c r="AR604" t="s">
        <v>4284</v>
      </c>
    </row>
    <row r="605" spans="1:44">
      <c r="A605">
        <v>11126916</v>
      </c>
      <c r="B605" t="s">
        <v>699</v>
      </c>
      <c r="C605" t="s">
        <v>1224</v>
      </c>
      <c r="D605" t="s">
        <v>1930</v>
      </c>
      <c r="E605" t="s">
        <v>1521</v>
      </c>
      <c r="F605" t="s">
        <v>1578</v>
      </c>
      <c r="G605" t="s">
        <v>1579</v>
      </c>
      <c r="H605" t="s">
        <v>2376</v>
      </c>
      <c r="I605" t="s">
        <v>4546</v>
      </c>
      <c r="J605" t="s">
        <v>3517</v>
      </c>
      <c r="K605" t="s">
        <v>3518</v>
      </c>
      <c r="M605">
        <v>50</v>
      </c>
      <c r="N605">
        <v>70</v>
      </c>
      <c r="O605" t="s">
        <v>2437</v>
      </c>
      <c r="P605" t="s">
        <v>2437</v>
      </c>
      <c r="R605" t="s">
        <v>89</v>
      </c>
      <c r="T605" t="s">
        <v>2437</v>
      </c>
      <c r="U605" t="s">
        <v>2437</v>
      </c>
      <c r="V605" t="s">
        <v>2559</v>
      </c>
      <c r="Y605" t="s">
        <v>6948</v>
      </c>
      <c r="Z605" t="s">
        <v>6949</v>
      </c>
      <c r="AA605" t="s">
        <v>6950</v>
      </c>
      <c r="AB605" t="s">
        <v>6951</v>
      </c>
      <c r="AC605" t="s">
        <v>6952</v>
      </c>
      <c r="AD605" t="s">
        <v>6953</v>
      </c>
      <c r="AE605" t="s">
        <v>6954</v>
      </c>
      <c r="AF605" t="s">
        <v>6955</v>
      </c>
      <c r="AG605" t="s">
        <v>6956</v>
      </c>
      <c r="AH605" t="s">
        <v>6957</v>
      </c>
      <c r="AI605" t="s">
        <v>6958</v>
      </c>
      <c r="AJ605" t="s">
        <v>6959</v>
      </c>
      <c r="AR605" t="s">
        <v>4284</v>
      </c>
    </row>
    <row r="606" spans="1:44">
      <c r="A606">
        <v>11126923</v>
      </c>
      <c r="B606" t="s">
        <v>700</v>
      </c>
      <c r="C606" t="s">
        <v>970</v>
      </c>
      <c r="D606" t="s">
        <v>1931</v>
      </c>
      <c r="E606" t="s">
        <v>1932</v>
      </c>
      <c r="F606" t="s">
        <v>1798</v>
      </c>
      <c r="G606" t="s">
        <v>1799</v>
      </c>
      <c r="H606" t="s">
        <v>2276</v>
      </c>
      <c r="I606" t="s">
        <v>4314</v>
      </c>
      <c r="J606" t="s">
        <v>3519</v>
      </c>
      <c r="K606" t="s">
        <v>3520</v>
      </c>
      <c r="M606">
        <v>60</v>
      </c>
      <c r="N606">
        <v>70</v>
      </c>
      <c r="O606" t="s">
        <v>2437</v>
      </c>
      <c r="P606" t="s">
        <v>2437</v>
      </c>
      <c r="R606" t="s">
        <v>2437</v>
      </c>
      <c r="T606" t="s">
        <v>2437</v>
      </c>
      <c r="U606" t="s">
        <v>2437</v>
      </c>
      <c r="V606" t="s">
        <v>2559</v>
      </c>
      <c r="Y606" t="s">
        <v>6948</v>
      </c>
      <c r="Z606" t="s">
        <v>6949</v>
      </c>
      <c r="AA606" t="s">
        <v>6950</v>
      </c>
      <c r="AB606" t="s">
        <v>6951</v>
      </c>
      <c r="AC606" t="s">
        <v>6952</v>
      </c>
      <c r="AD606" t="s">
        <v>6953</v>
      </c>
      <c r="AE606" t="s">
        <v>6961</v>
      </c>
      <c r="AF606" t="s">
        <v>6962</v>
      </c>
      <c r="AG606" t="s">
        <v>6963</v>
      </c>
      <c r="AH606" t="s">
        <v>6964</v>
      </c>
      <c r="AI606" t="s">
        <v>6965</v>
      </c>
      <c r="AJ606" t="s">
        <v>6966</v>
      </c>
      <c r="AR606" t="s">
        <v>4284</v>
      </c>
    </row>
    <row r="607" spans="1:44">
      <c r="A607">
        <v>11126927</v>
      </c>
      <c r="B607" t="s">
        <v>701</v>
      </c>
      <c r="C607" t="s">
        <v>1064</v>
      </c>
      <c r="D607" t="s">
        <v>1931</v>
      </c>
      <c r="E607" t="s">
        <v>1932</v>
      </c>
      <c r="F607" t="s">
        <v>1798</v>
      </c>
      <c r="G607" t="s">
        <v>1799</v>
      </c>
      <c r="H607" t="s">
        <v>2224</v>
      </c>
      <c r="I607" t="s">
        <v>4312</v>
      </c>
      <c r="J607" t="s">
        <v>3521</v>
      </c>
      <c r="K607" t="s">
        <v>3522</v>
      </c>
      <c r="M607">
        <v>60</v>
      </c>
      <c r="N607">
        <v>70</v>
      </c>
      <c r="O607" t="s">
        <v>2437</v>
      </c>
      <c r="P607" t="s">
        <v>2437</v>
      </c>
      <c r="R607" t="s">
        <v>2437</v>
      </c>
      <c r="T607" t="s">
        <v>2437</v>
      </c>
      <c r="U607" t="s">
        <v>2437</v>
      </c>
      <c r="V607" t="s">
        <v>2559</v>
      </c>
      <c r="Y607" t="s">
        <v>6948</v>
      </c>
      <c r="Z607" t="s">
        <v>6949</v>
      </c>
      <c r="AA607" t="s">
        <v>6950</v>
      </c>
      <c r="AB607" t="s">
        <v>6951</v>
      </c>
      <c r="AC607" t="s">
        <v>6952</v>
      </c>
      <c r="AD607" t="s">
        <v>6953</v>
      </c>
      <c r="AE607" t="s">
        <v>6961</v>
      </c>
      <c r="AF607" t="s">
        <v>6962</v>
      </c>
      <c r="AG607" t="s">
        <v>6963</v>
      </c>
      <c r="AH607" t="s">
        <v>6964</v>
      </c>
      <c r="AI607" t="s">
        <v>6965</v>
      </c>
      <c r="AJ607" t="s">
        <v>6966</v>
      </c>
      <c r="AR607" t="s">
        <v>4284</v>
      </c>
    </row>
    <row r="608" spans="1:44">
      <c r="A608">
        <v>11126929</v>
      </c>
      <c r="B608" t="s">
        <v>702</v>
      </c>
      <c r="C608" t="s">
        <v>1038</v>
      </c>
      <c r="H608" t="s">
        <v>2215</v>
      </c>
      <c r="I608" t="s">
        <v>4408</v>
      </c>
      <c r="M608" t="e">
        <v>#N/A</v>
      </c>
      <c r="N608" t="e">
        <v>#N/A</v>
      </c>
      <c r="O608" t="e">
        <v>#N/A</v>
      </c>
      <c r="P608" t="e">
        <v>#N/A</v>
      </c>
      <c r="R608" t="e">
        <v>#N/A</v>
      </c>
      <c r="Y608" t="s">
        <v>6948</v>
      </c>
      <c r="Z608" t="s">
        <v>6949</v>
      </c>
      <c r="AA608" t="s">
        <v>6950</v>
      </c>
      <c r="AB608" t="s">
        <v>6951</v>
      </c>
      <c r="AC608" t="s">
        <v>6952</v>
      </c>
      <c r="AD608" t="s">
        <v>6953</v>
      </c>
      <c r="AR608" t="s">
        <v>4284</v>
      </c>
    </row>
    <row r="609" spans="1:44">
      <c r="A609">
        <v>11126930</v>
      </c>
      <c r="B609" t="s">
        <v>703</v>
      </c>
      <c r="C609" t="s">
        <v>1039</v>
      </c>
      <c r="D609" t="s">
        <v>1933</v>
      </c>
      <c r="E609" t="s">
        <v>1523</v>
      </c>
      <c r="F609" t="s">
        <v>1596</v>
      </c>
      <c r="G609" t="s">
        <v>1597</v>
      </c>
      <c r="H609" t="s">
        <v>2185</v>
      </c>
      <c r="I609" t="s">
        <v>4389</v>
      </c>
      <c r="J609" t="s">
        <v>3523</v>
      </c>
      <c r="K609" t="s">
        <v>3524</v>
      </c>
      <c r="M609">
        <v>60</v>
      </c>
      <c r="N609">
        <v>70</v>
      </c>
      <c r="O609" t="s">
        <v>2437</v>
      </c>
      <c r="P609" t="s">
        <v>2437</v>
      </c>
      <c r="R609" t="s">
        <v>2437</v>
      </c>
      <c r="T609" t="s">
        <v>2437</v>
      </c>
      <c r="U609" t="s">
        <v>2437</v>
      </c>
      <c r="V609" t="s">
        <v>2559</v>
      </c>
      <c r="Y609" t="s">
        <v>6948</v>
      </c>
      <c r="Z609" t="s">
        <v>6949</v>
      </c>
      <c r="AA609" t="s">
        <v>6950</v>
      </c>
      <c r="AB609" t="s">
        <v>6951</v>
      </c>
      <c r="AC609" t="s">
        <v>6952</v>
      </c>
      <c r="AD609" t="s">
        <v>6953</v>
      </c>
      <c r="AE609" t="s">
        <v>6961</v>
      </c>
      <c r="AF609" t="s">
        <v>6962</v>
      </c>
      <c r="AG609" t="s">
        <v>6963</v>
      </c>
      <c r="AH609" t="s">
        <v>6964</v>
      </c>
      <c r="AI609" t="s">
        <v>6965</v>
      </c>
      <c r="AJ609" t="s">
        <v>6966</v>
      </c>
      <c r="AR609" t="s">
        <v>4284</v>
      </c>
    </row>
    <row r="610" spans="1:44">
      <c r="A610">
        <v>11126933</v>
      </c>
      <c r="B610" t="s">
        <v>704</v>
      </c>
      <c r="C610" t="s">
        <v>1141</v>
      </c>
      <c r="D610" t="s">
        <v>1933</v>
      </c>
      <c r="E610" t="s">
        <v>1523</v>
      </c>
      <c r="F610" t="s">
        <v>1596</v>
      </c>
      <c r="G610" t="s">
        <v>1597</v>
      </c>
      <c r="H610" t="s">
        <v>2216</v>
      </c>
      <c r="I610" t="s">
        <v>4409</v>
      </c>
      <c r="J610" t="s">
        <v>3525</v>
      </c>
      <c r="K610" t="s">
        <v>3526</v>
      </c>
      <c r="M610">
        <v>60</v>
      </c>
      <c r="N610">
        <v>70</v>
      </c>
      <c r="O610" t="s">
        <v>2437</v>
      </c>
      <c r="P610" t="s">
        <v>2437</v>
      </c>
      <c r="R610" t="s">
        <v>2437</v>
      </c>
      <c r="T610" t="s">
        <v>2437</v>
      </c>
      <c r="U610" t="s">
        <v>2437</v>
      </c>
      <c r="V610" t="s">
        <v>2559</v>
      </c>
      <c r="Y610" t="s">
        <v>6948</v>
      </c>
      <c r="Z610" t="s">
        <v>6949</v>
      </c>
      <c r="AA610" t="s">
        <v>6950</v>
      </c>
      <c r="AB610" t="s">
        <v>6951</v>
      </c>
      <c r="AC610" t="s">
        <v>6952</v>
      </c>
      <c r="AD610" t="s">
        <v>6953</v>
      </c>
      <c r="AE610" t="s">
        <v>6961</v>
      </c>
      <c r="AF610" t="s">
        <v>6962</v>
      </c>
      <c r="AG610" t="s">
        <v>6963</v>
      </c>
      <c r="AH610" t="s">
        <v>6964</v>
      </c>
      <c r="AI610" t="s">
        <v>6965</v>
      </c>
      <c r="AJ610" t="s">
        <v>6966</v>
      </c>
      <c r="AR610" t="s">
        <v>4284</v>
      </c>
    </row>
    <row r="611" spans="1:44">
      <c r="A611">
        <v>11126936</v>
      </c>
      <c r="B611" t="s">
        <v>705</v>
      </c>
      <c r="C611" t="s">
        <v>1044</v>
      </c>
      <c r="D611" t="s">
        <v>1934</v>
      </c>
      <c r="E611" t="s">
        <v>1524</v>
      </c>
      <c r="F611" t="s">
        <v>1688</v>
      </c>
      <c r="G611" t="s">
        <v>1689</v>
      </c>
      <c r="H611" t="s">
        <v>2187</v>
      </c>
      <c r="I611" t="s">
        <v>4467</v>
      </c>
      <c r="J611" t="s">
        <v>3527</v>
      </c>
      <c r="K611" t="s">
        <v>3528</v>
      </c>
      <c r="M611">
        <v>60</v>
      </c>
      <c r="N611">
        <v>70</v>
      </c>
      <c r="O611" t="s">
        <v>2437</v>
      </c>
      <c r="P611" t="s">
        <v>2437</v>
      </c>
      <c r="R611" t="s">
        <v>2437</v>
      </c>
      <c r="T611" t="s">
        <v>2437</v>
      </c>
      <c r="U611" t="s">
        <v>2437</v>
      </c>
      <c r="V611" t="s">
        <v>2559</v>
      </c>
      <c r="Y611" t="s">
        <v>6948</v>
      </c>
      <c r="Z611" t="s">
        <v>6949</v>
      </c>
      <c r="AA611" t="s">
        <v>6950</v>
      </c>
      <c r="AB611" t="s">
        <v>6951</v>
      </c>
      <c r="AC611" t="s">
        <v>6952</v>
      </c>
      <c r="AD611" t="s">
        <v>6953</v>
      </c>
      <c r="AE611" t="s">
        <v>6961</v>
      </c>
      <c r="AF611" t="s">
        <v>6962</v>
      </c>
      <c r="AG611" t="s">
        <v>6963</v>
      </c>
      <c r="AH611" t="s">
        <v>6964</v>
      </c>
      <c r="AI611" t="s">
        <v>6965</v>
      </c>
      <c r="AJ611" t="s">
        <v>6966</v>
      </c>
      <c r="AR611" t="s">
        <v>4284</v>
      </c>
    </row>
    <row r="612" spans="1:44">
      <c r="A612">
        <v>11126939</v>
      </c>
      <c r="B612" t="s">
        <v>706</v>
      </c>
      <c r="C612" t="s">
        <v>1142</v>
      </c>
      <c r="D612" t="s">
        <v>1934</v>
      </c>
      <c r="E612" t="s">
        <v>1524</v>
      </c>
      <c r="F612" t="s">
        <v>1688</v>
      </c>
      <c r="G612" t="s">
        <v>1689</v>
      </c>
      <c r="H612" t="s">
        <v>2192</v>
      </c>
      <c r="I612" t="s">
        <v>4411</v>
      </c>
      <c r="J612" t="s">
        <v>3529</v>
      </c>
      <c r="K612" t="s">
        <v>3530</v>
      </c>
      <c r="M612">
        <v>60</v>
      </c>
      <c r="N612">
        <v>70</v>
      </c>
      <c r="O612" t="s">
        <v>2437</v>
      </c>
      <c r="P612" t="s">
        <v>2437</v>
      </c>
      <c r="R612" t="s">
        <v>2437</v>
      </c>
      <c r="T612" t="s">
        <v>2437</v>
      </c>
      <c r="U612" t="s">
        <v>2437</v>
      </c>
      <c r="V612" t="s">
        <v>2559</v>
      </c>
      <c r="Y612" t="s">
        <v>6948</v>
      </c>
      <c r="Z612" t="s">
        <v>6949</v>
      </c>
      <c r="AA612" t="s">
        <v>6950</v>
      </c>
      <c r="AB612" t="s">
        <v>6951</v>
      </c>
      <c r="AC612" t="s">
        <v>6952</v>
      </c>
      <c r="AD612" t="s">
        <v>6953</v>
      </c>
      <c r="AE612" t="s">
        <v>6961</v>
      </c>
      <c r="AF612" t="s">
        <v>6962</v>
      </c>
      <c r="AG612" t="s">
        <v>6963</v>
      </c>
      <c r="AH612" t="s">
        <v>6964</v>
      </c>
      <c r="AI612" t="s">
        <v>6965</v>
      </c>
      <c r="AJ612" t="s">
        <v>6966</v>
      </c>
      <c r="AR612" t="s">
        <v>4284</v>
      </c>
    </row>
    <row r="613" spans="1:44">
      <c r="A613">
        <v>11126947</v>
      </c>
      <c r="B613" t="s">
        <v>707</v>
      </c>
      <c r="C613" t="s">
        <v>1225</v>
      </c>
      <c r="D613" t="s">
        <v>1935</v>
      </c>
      <c r="E613" t="s">
        <v>1936</v>
      </c>
      <c r="F613" t="s">
        <v>1810</v>
      </c>
      <c r="G613" t="s">
        <v>1811</v>
      </c>
      <c r="H613" t="s">
        <v>2281</v>
      </c>
      <c r="I613" t="s">
        <v>4469</v>
      </c>
      <c r="J613" t="s">
        <v>3531</v>
      </c>
      <c r="K613" t="s">
        <v>3532</v>
      </c>
      <c r="M613">
        <v>50</v>
      </c>
      <c r="N613">
        <v>70</v>
      </c>
      <c r="O613" t="s">
        <v>2437</v>
      </c>
      <c r="P613" t="s">
        <v>2437</v>
      </c>
      <c r="R613" t="s">
        <v>2437</v>
      </c>
      <c r="T613" t="s">
        <v>2444</v>
      </c>
      <c r="U613" t="s">
        <v>2437</v>
      </c>
      <c r="V613" t="s">
        <v>2559</v>
      </c>
      <c r="Y613" t="s">
        <v>6948</v>
      </c>
      <c r="Z613" t="s">
        <v>6949</v>
      </c>
      <c r="AA613" t="s">
        <v>6950</v>
      </c>
      <c r="AB613" t="s">
        <v>6951</v>
      </c>
      <c r="AC613" t="s">
        <v>6952</v>
      </c>
      <c r="AD613" t="s">
        <v>6953</v>
      </c>
      <c r="AE613" t="s">
        <v>6954</v>
      </c>
      <c r="AF613" t="s">
        <v>6955</v>
      </c>
      <c r="AG613" t="s">
        <v>6956</v>
      </c>
      <c r="AH613" t="s">
        <v>6957</v>
      </c>
      <c r="AI613" t="s">
        <v>6958</v>
      </c>
      <c r="AJ613" t="s">
        <v>6959</v>
      </c>
      <c r="AR613" t="s">
        <v>4284</v>
      </c>
    </row>
    <row r="614" spans="1:44">
      <c r="A614">
        <v>11126948</v>
      </c>
      <c r="B614" t="s">
        <v>708</v>
      </c>
      <c r="C614" t="s">
        <v>1226</v>
      </c>
      <c r="D614" t="s">
        <v>1935</v>
      </c>
      <c r="E614" t="s">
        <v>1936</v>
      </c>
      <c r="F614" t="s">
        <v>1810</v>
      </c>
      <c r="G614" t="s">
        <v>1811</v>
      </c>
      <c r="H614" t="s">
        <v>2282</v>
      </c>
      <c r="I614" t="s">
        <v>4470</v>
      </c>
      <c r="J614" t="s">
        <v>3533</v>
      </c>
      <c r="K614" t="s">
        <v>3534</v>
      </c>
      <c r="M614">
        <v>50</v>
      </c>
      <c r="N614">
        <v>70</v>
      </c>
      <c r="O614" t="s">
        <v>2437</v>
      </c>
      <c r="P614" t="s">
        <v>2437</v>
      </c>
      <c r="R614" t="s">
        <v>2437</v>
      </c>
      <c r="T614" t="s">
        <v>2444</v>
      </c>
      <c r="U614" t="s">
        <v>2437</v>
      </c>
      <c r="V614" t="s">
        <v>2559</v>
      </c>
      <c r="Y614" t="s">
        <v>6948</v>
      </c>
      <c r="Z614" t="s">
        <v>6949</v>
      </c>
      <c r="AA614" t="s">
        <v>6950</v>
      </c>
      <c r="AB614" t="s">
        <v>6951</v>
      </c>
      <c r="AC614" t="s">
        <v>6952</v>
      </c>
      <c r="AD614" t="s">
        <v>6953</v>
      </c>
      <c r="AE614" t="s">
        <v>6954</v>
      </c>
      <c r="AF614" t="s">
        <v>6955</v>
      </c>
      <c r="AG614" t="s">
        <v>6956</v>
      </c>
      <c r="AH614" t="s">
        <v>6957</v>
      </c>
      <c r="AI614" t="s">
        <v>6958</v>
      </c>
      <c r="AJ614" t="s">
        <v>6959</v>
      </c>
      <c r="AR614" t="s">
        <v>4284</v>
      </c>
    </row>
    <row r="615" spans="1:44">
      <c r="A615">
        <v>11103690</v>
      </c>
      <c r="B615" t="s">
        <v>709</v>
      </c>
      <c r="C615" t="s">
        <v>994</v>
      </c>
      <c r="D615" t="s">
        <v>1632</v>
      </c>
      <c r="E615" t="s">
        <v>1633</v>
      </c>
      <c r="F615" t="s">
        <v>1548</v>
      </c>
      <c r="G615" t="s">
        <v>1549</v>
      </c>
      <c r="H615" t="s">
        <v>2155</v>
      </c>
      <c r="I615" t="s">
        <v>4335</v>
      </c>
      <c r="J615" t="s">
        <v>2806</v>
      </c>
      <c r="K615" t="s">
        <v>2807</v>
      </c>
      <c r="M615">
        <v>50</v>
      </c>
      <c r="N615">
        <v>70</v>
      </c>
      <c r="O615" t="s">
        <v>2437</v>
      </c>
      <c r="P615" t="s">
        <v>2437</v>
      </c>
      <c r="R615" t="s">
        <v>2437</v>
      </c>
      <c r="T615" t="s">
        <v>2437</v>
      </c>
      <c r="U615" t="s">
        <v>2437</v>
      </c>
      <c r="V615" t="s">
        <v>2437</v>
      </c>
      <c r="Y615" t="s">
        <v>6948</v>
      </c>
      <c r="Z615" t="s">
        <v>6949</v>
      </c>
      <c r="AA615" t="s">
        <v>6950</v>
      </c>
      <c r="AB615" t="s">
        <v>6951</v>
      </c>
      <c r="AC615" t="s">
        <v>6952</v>
      </c>
      <c r="AD615" t="s">
        <v>6953</v>
      </c>
      <c r="AE615" t="s">
        <v>6954</v>
      </c>
      <c r="AF615" t="s">
        <v>6955</v>
      </c>
      <c r="AG615" t="s">
        <v>6956</v>
      </c>
      <c r="AH615" t="s">
        <v>6957</v>
      </c>
      <c r="AI615" t="s">
        <v>6958</v>
      </c>
      <c r="AJ615" t="s">
        <v>6959</v>
      </c>
      <c r="AR615" t="s">
        <v>4284</v>
      </c>
    </row>
    <row r="616" spans="1:44">
      <c r="A616">
        <v>11126270</v>
      </c>
      <c r="B616" t="s">
        <v>710</v>
      </c>
      <c r="C616" t="s">
        <v>1318</v>
      </c>
      <c r="D616" t="s">
        <v>1937</v>
      </c>
      <c r="E616" t="s">
        <v>1938</v>
      </c>
      <c r="F616" t="s">
        <v>1531</v>
      </c>
      <c r="G616" t="s">
        <v>1532</v>
      </c>
      <c r="H616" t="s">
        <v>2124</v>
      </c>
      <c r="I616" t="s">
        <v>4345</v>
      </c>
      <c r="J616" t="s">
        <v>3535</v>
      </c>
      <c r="K616" t="s">
        <v>3536</v>
      </c>
      <c r="M616">
        <v>50</v>
      </c>
      <c r="N616">
        <v>70</v>
      </c>
      <c r="O616" t="s">
        <v>2437</v>
      </c>
      <c r="P616" t="s">
        <v>2437</v>
      </c>
      <c r="R616" t="s">
        <v>2437</v>
      </c>
      <c r="T616" t="s">
        <v>2437</v>
      </c>
      <c r="U616" t="s">
        <v>2437</v>
      </c>
      <c r="V616" t="s">
        <v>2437</v>
      </c>
      <c r="Y616" t="s">
        <v>6948</v>
      </c>
      <c r="Z616" t="s">
        <v>6949</v>
      </c>
      <c r="AA616" t="s">
        <v>6950</v>
      </c>
      <c r="AB616" t="s">
        <v>6951</v>
      </c>
      <c r="AC616" t="s">
        <v>6952</v>
      </c>
      <c r="AD616" t="s">
        <v>6953</v>
      </c>
      <c r="AE616" t="s">
        <v>6954</v>
      </c>
      <c r="AF616" t="s">
        <v>6955</v>
      </c>
      <c r="AG616" t="s">
        <v>6956</v>
      </c>
      <c r="AH616" t="s">
        <v>6957</v>
      </c>
      <c r="AI616" t="s">
        <v>6958</v>
      </c>
      <c r="AJ616" t="s">
        <v>6959</v>
      </c>
      <c r="AR616" t="s">
        <v>4284</v>
      </c>
    </row>
    <row r="617" spans="1:44">
      <c r="A617">
        <v>11126271</v>
      </c>
      <c r="B617" t="s">
        <v>711</v>
      </c>
      <c r="C617" t="s">
        <v>1319</v>
      </c>
      <c r="D617" t="s">
        <v>1937</v>
      </c>
      <c r="E617" t="s">
        <v>1938</v>
      </c>
      <c r="F617" t="s">
        <v>1531</v>
      </c>
      <c r="G617" t="s">
        <v>1532</v>
      </c>
      <c r="H617" t="s">
        <v>2123</v>
      </c>
      <c r="I617" t="s">
        <v>4344</v>
      </c>
      <c r="J617" t="s">
        <v>3537</v>
      </c>
      <c r="K617" t="s">
        <v>3538</v>
      </c>
      <c r="M617">
        <v>50</v>
      </c>
      <c r="N617">
        <v>70</v>
      </c>
      <c r="O617" t="s">
        <v>2437</v>
      </c>
      <c r="P617" t="s">
        <v>2437</v>
      </c>
      <c r="R617" t="s">
        <v>2437</v>
      </c>
      <c r="T617" t="s">
        <v>2437</v>
      </c>
      <c r="U617" t="s">
        <v>2437</v>
      </c>
      <c r="V617" t="s">
        <v>2437</v>
      </c>
      <c r="Y617" t="s">
        <v>6948</v>
      </c>
      <c r="Z617" t="s">
        <v>6949</v>
      </c>
      <c r="AA617" t="s">
        <v>6950</v>
      </c>
      <c r="AB617" t="s">
        <v>6951</v>
      </c>
      <c r="AC617" t="s">
        <v>6952</v>
      </c>
      <c r="AD617" t="s">
        <v>6953</v>
      </c>
      <c r="AE617" t="s">
        <v>6954</v>
      </c>
      <c r="AF617" t="s">
        <v>6955</v>
      </c>
      <c r="AG617" t="s">
        <v>6956</v>
      </c>
      <c r="AH617" t="s">
        <v>6957</v>
      </c>
      <c r="AI617" t="s">
        <v>6958</v>
      </c>
      <c r="AJ617" t="s">
        <v>6959</v>
      </c>
      <c r="AR617" t="s">
        <v>4284</v>
      </c>
    </row>
    <row r="618" spans="1:44">
      <c r="A618">
        <v>11126272</v>
      </c>
      <c r="B618" t="s">
        <v>712</v>
      </c>
      <c r="C618" t="s">
        <v>1320</v>
      </c>
      <c r="D618" t="s">
        <v>1939</v>
      </c>
      <c r="E618" t="s">
        <v>1940</v>
      </c>
      <c r="F618" t="s">
        <v>1537</v>
      </c>
      <c r="G618" t="s">
        <v>1538</v>
      </c>
      <c r="H618" t="s">
        <v>2126</v>
      </c>
      <c r="I618" t="s">
        <v>4347</v>
      </c>
      <c r="J618" t="s">
        <v>3539</v>
      </c>
      <c r="K618" t="s">
        <v>3540</v>
      </c>
      <c r="M618">
        <v>50</v>
      </c>
      <c r="N618">
        <v>70</v>
      </c>
      <c r="O618" t="s">
        <v>2437</v>
      </c>
      <c r="P618" t="s">
        <v>2437</v>
      </c>
      <c r="R618" t="s">
        <v>2437</v>
      </c>
      <c r="T618" t="s">
        <v>2439</v>
      </c>
      <c r="U618" t="s">
        <v>2437</v>
      </c>
      <c r="V618" t="s">
        <v>2437</v>
      </c>
      <c r="Y618" t="s">
        <v>6948</v>
      </c>
      <c r="Z618" t="s">
        <v>6949</v>
      </c>
      <c r="AA618" t="s">
        <v>6950</v>
      </c>
      <c r="AB618" t="s">
        <v>6951</v>
      </c>
      <c r="AC618" t="s">
        <v>6952</v>
      </c>
      <c r="AD618" t="s">
        <v>6953</v>
      </c>
      <c r="AE618" t="s">
        <v>6954</v>
      </c>
      <c r="AF618" t="s">
        <v>6955</v>
      </c>
      <c r="AG618" t="s">
        <v>6956</v>
      </c>
      <c r="AH618" t="s">
        <v>6957</v>
      </c>
      <c r="AI618" t="s">
        <v>6958</v>
      </c>
      <c r="AJ618" t="s">
        <v>6959</v>
      </c>
      <c r="AR618" t="s">
        <v>4284</v>
      </c>
    </row>
    <row r="619" spans="1:44">
      <c r="A619">
        <v>11126273</v>
      </c>
      <c r="B619" t="s">
        <v>713</v>
      </c>
      <c r="C619" t="s">
        <v>1321</v>
      </c>
      <c r="D619" t="s">
        <v>1939</v>
      </c>
      <c r="E619" t="s">
        <v>1940</v>
      </c>
      <c r="F619" t="s">
        <v>1537</v>
      </c>
      <c r="G619" t="s">
        <v>1538</v>
      </c>
      <c r="H619" t="s">
        <v>2129</v>
      </c>
      <c r="I619" t="s">
        <v>4350</v>
      </c>
      <c r="J619" t="s">
        <v>3541</v>
      </c>
      <c r="K619" t="s">
        <v>3542</v>
      </c>
      <c r="M619">
        <v>50</v>
      </c>
      <c r="N619">
        <v>70</v>
      </c>
      <c r="O619" t="s">
        <v>2437</v>
      </c>
      <c r="P619" t="s">
        <v>2437</v>
      </c>
      <c r="R619" t="s">
        <v>2437</v>
      </c>
      <c r="T619" t="s">
        <v>2439</v>
      </c>
      <c r="U619" t="s">
        <v>2437</v>
      </c>
      <c r="V619" t="s">
        <v>2437</v>
      </c>
      <c r="Y619" t="s">
        <v>6948</v>
      </c>
      <c r="Z619" t="s">
        <v>6949</v>
      </c>
      <c r="AA619" t="s">
        <v>6950</v>
      </c>
      <c r="AB619" t="s">
        <v>6951</v>
      </c>
      <c r="AC619" t="s">
        <v>6952</v>
      </c>
      <c r="AD619" t="s">
        <v>6953</v>
      </c>
      <c r="AE619" t="s">
        <v>6954</v>
      </c>
      <c r="AF619" t="s">
        <v>6955</v>
      </c>
      <c r="AG619" t="s">
        <v>6956</v>
      </c>
      <c r="AH619" t="s">
        <v>6957</v>
      </c>
      <c r="AI619" t="s">
        <v>6958</v>
      </c>
      <c r="AJ619" t="s">
        <v>6959</v>
      </c>
      <c r="AR619" t="s">
        <v>4284</v>
      </c>
    </row>
    <row r="620" spans="1:44">
      <c r="A620">
        <v>11126274</v>
      </c>
      <c r="B620" t="s">
        <v>714</v>
      </c>
      <c r="C620" t="s">
        <v>1322</v>
      </c>
      <c r="D620" t="s">
        <v>1939</v>
      </c>
      <c r="E620" t="s">
        <v>1940</v>
      </c>
      <c r="F620" t="s">
        <v>1539</v>
      </c>
      <c r="G620" t="s">
        <v>1540</v>
      </c>
      <c r="H620" t="s">
        <v>2127</v>
      </c>
      <c r="I620" t="s">
        <v>4348</v>
      </c>
      <c r="J620" t="s">
        <v>3543</v>
      </c>
      <c r="K620" t="s">
        <v>3544</v>
      </c>
      <c r="M620">
        <v>50</v>
      </c>
      <c r="N620">
        <v>70</v>
      </c>
      <c r="O620" t="s">
        <v>2437</v>
      </c>
      <c r="P620" t="s">
        <v>2437</v>
      </c>
      <c r="R620" t="s">
        <v>2437</v>
      </c>
      <c r="T620" t="s">
        <v>2437</v>
      </c>
      <c r="U620" t="s">
        <v>2437</v>
      </c>
      <c r="V620" t="s">
        <v>2437</v>
      </c>
      <c r="Y620" t="s">
        <v>6948</v>
      </c>
      <c r="Z620" t="s">
        <v>6949</v>
      </c>
      <c r="AA620" t="s">
        <v>6950</v>
      </c>
      <c r="AB620" t="s">
        <v>6951</v>
      </c>
      <c r="AC620" t="s">
        <v>6952</v>
      </c>
      <c r="AD620" t="s">
        <v>6953</v>
      </c>
      <c r="AE620" t="s">
        <v>6954</v>
      </c>
      <c r="AF620" t="s">
        <v>6955</v>
      </c>
      <c r="AG620" t="s">
        <v>6956</v>
      </c>
      <c r="AH620" t="s">
        <v>6957</v>
      </c>
      <c r="AI620" t="s">
        <v>6958</v>
      </c>
      <c r="AJ620" t="s">
        <v>6959</v>
      </c>
      <c r="AR620" t="s">
        <v>4284</v>
      </c>
    </row>
    <row r="621" spans="1:44">
      <c r="A621">
        <v>11126275</v>
      </c>
      <c r="B621" t="s">
        <v>715</v>
      </c>
      <c r="C621" t="s">
        <v>1323</v>
      </c>
      <c r="D621" t="s">
        <v>1939</v>
      </c>
      <c r="E621" t="s">
        <v>1940</v>
      </c>
      <c r="F621" t="s">
        <v>1539</v>
      </c>
      <c r="G621" t="s">
        <v>1540</v>
      </c>
      <c r="H621" t="s">
        <v>2130</v>
      </c>
      <c r="I621" t="s">
        <v>4351</v>
      </c>
      <c r="J621" t="s">
        <v>3545</v>
      </c>
      <c r="K621" t="s">
        <v>3546</v>
      </c>
      <c r="M621">
        <v>50</v>
      </c>
      <c r="N621">
        <v>70</v>
      </c>
      <c r="O621" t="s">
        <v>2437</v>
      </c>
      <c r="P621" t="s">
        <v>2437</v>
      </c>
      <c r="R621" t="s">
        <v>2437</v>
      </c>
      <c r="T621" t="s">
        <v>2437</v>
      </c>
      <c r="U621" t="s">
        <v>2437</v>
      </c>
      <c r="V621" t="s">
        <v>2437</v>
      </c>
      <c r="Y621" t="s">
        <v>6948</v>
      </c>
      <c r="Z621" t="s">
        <v>6949</v>
      </c>
      <c r="AA621" t="s">
        <v>6950</v>
      </c>
      <c r="AB621" t="s">
        <v>6951</v>
      </c>
      <c r="AC621" t="s">
        <v>6952</v>
      </c>
      <c r="AD621" t="s">
        <v>6953</v>
      </c>
      <c r="AE621" t="s">
        <v>6954</v>
      </c>
      <c r="AF621" t="s">
        <v>6955</v>
      </c>
      <c r="AG621" t="s">
        <v>6956</v>
      </c>
      <c r="AH621" t="s">
        <v>6957</v>
      </c>
      <c r="AI621" t="s">
        <v>6958</v>
      </c>
      <c r="AJ621" t="s">
        <v>6959</v>
      </c>
      <c r="AR621" t="s">
        <v>4284</v>
      </c>
    </row>
    <row r="622" spans="1:44">
      <c r="A622">
        <v>11126276</v>
      </c>
      <c r="B622" t="s">
        <v>716</v>
      </c>
      <c r="C622" t="s">
        <v>1324</v>
      </c>
      <c r="D622" t="s">
        <v>1939</v>
      </c>
      <c r="E622" t="s">
        <v>1940</v>
      </c>
      <c r="F622" t="s">
        <v>1541</v>
      </c>
      <c r="G622" t="s">
        <v>1542</v>
      </c>
      <c r="H622" t="s">
        <v>2128</v>
      </c>
      <c r="I622" t="s">
        <v>4349</v>
      </c>
      <c r="J622" t="s">
        <v>3547</v>
      </c>
      <c r="K622" t="s">
        <v>3548</v>
      </c>
      <c r="M622">
        <v>50</v>
      </c>
      <c r="N622">
        <v>70</v>
      </c>
      <c r="O622" t="s">
        <v>2437</v>
      </c>
      <c r="P622" t="s">
        <v>2437</v>
      </c>
      <c r="R622" t="s">
        <v>2437</v>
      </c>
      <c r="T622" t="s">
        <v>2437</v>
      </c>
      <c r="U622" t="s">
        <v>2437</v>
      </c>
      <c r="V622" t="s">
        <v>2437</v>
      </c>
      <c r="Y622" t="s">
        <v>6948</v>
      </c>
      <c r="Z622" t="s">
        <v>6949</v>
      </c>
      <c r="AA622" t="s">
        <v>6950</v>
      </c>
      <c r="AB622" t="s">
        <v>6951</v>
      </c>
      <c r="AC622" t="s">
        <v>6952</v>
      </c>
      <c r="AD622" t="s">
        <v>6953</v>
      </c>
      <c r="AE622" t="s">
        <v>6954</v>
      </c>
      <c r="AF622" t="s">
        <v>6955</v>
      </c>
      <c r="AG622" t="s">
        <v>6956</v>
      </c>
      <c r="AH622" t="s">
        <v>6957</v>
      </c>
      <c r="AI622" t="s">
        <v>6958</v>
      </c>
      <c r="AJ622" t="s">
        <v>6959</v>
      </c>
      <c r="AR622" t="s">
        <v>4284</v>
      </c>
    </row>
    <row r="623" spans="1:44">
      <c r="A623">
        <v>11126277</v>
      </c>
      <c r="B623" t="s">
        <v>717</v>
      </c>
      <c r="C623" t="s">
        <v>1325</v>
      </c>
      <c r="D623" t="s">
        <v>1939</v>
      </c>
      <c r="E623" t="s">
        <v>1940</v>
      </c>
      <c r="F623" t="s">
        <v>1541</v>
      </c>
      <c r="G623" t="s">
        <v>1542</v>
      </c>
      <c r="H623" t="s">
        <v>2131</v>
      </c>
      <c r="I623" t="s">
        <v>4352</v>
      </c>
      <c r="J623" t="s">
        <v>3549</v>
      </c>
      <c r="K623" t="s">
        <v>3550</v>
      </c>
      <c r="M623">
        <v>50</v>
      </c>
      <c r="N623">
        <v>70</v>
      </c>
      <c r="O623" t="s">
        <v>2437</v>
      </c>
      <c r="P623" t="s">
        <v>2437</v>
      </c>
      <c r="R623" t="s">
        <v>2437</v>
      </c>
      <c r="T623" t="s">
        <v>2437</v>
      </c>
      <c r="U623" t="s">
        <v>2437</v>
      </c>
      <c r="V623" t="s">
        <v>2437</v>
      </c>
      <c r="Y623" t="s">
        <v>6948</v>
      </c>
      <c r="Z623" t="s">
        <v>6949</v>
      </c>
      <c r="AA623" t="s">
        <v>6950</v>
      </c>
      <c r="AB623" t="s">
        <v>6951</v>
      </c>
      <c r="AC623" t="s">
        <v>6952</v>
      </c>
      <c r="AD623" t="s">
        <v>6953</v>
      </c>
      <c r="AE623" t="s">
        <v>6954</v>
      </c>
      <c r="AF623" t="s">
        <v>6955</v>
      </c>
      <c r="AG623" t="s">
        <v>6956</v>
      </c>
      <c r="AH623" t="s">
        <v>6957</v>
      </c>
      <c r="AI623" t="s">
        <v>6958</v>
      </c>
      <c r="AJ623" t="s">
        <v>6959</v>
      </c>
      <c r="AR623" t="s">
        <v>4284</v>
      </c>
    </row>
    <row r="624" spans="1:44">
      <c r="A624">
        <v>11126278</v>
      </c>
      <c r="B624" t="s">
        <v>718</v>
      </c>
      <c r="C624" t="s">
        <v>1326</v>
      </c>
      <c r="D624" t="s">
        <v>1937</v>
      </c>
      <c r="E624" t="s">
        <v>1938</v>
      </c>
      <c r="F624" t="s">
        <v>1531</v>
      </c>
      <c r="G624" t="s">
        <v>1532</v>
      </c>
      <c r="H624" t="s">
        <v>2137</v>
      </c>
      <c r="I624" t="s">
        <v>4359</v>
      </c>
      <c r="J624" t="s">
        <v>3551</v>
      </c>
      <c r="K624" t="s">
        <v>3552</v>
      </c>
      <c r="M624">
        <v>50</v>
      </c>
      <c r="N624">
        <v>70</v>
      </c>
      <c r="O624" t="s">
        <v>2437</v>
      </c>
      <c r="P624" t="s">
        <v>2437</v>
      </c>
      <c r="R624" t="s">
        <v>2437</v>
      </c>
      <c r="T624" t="s">
        <v>2437</v>
      </c>
      <c r="U624" t="s">
        <v>2437</v>
      </c>
      <c r="V624" t="s">
        <v>2437</v>
      </c>
      <c r="Y624" t="s">
        <v>6948</v>
      </c>
      <c r="Z624" t="s">
        <v>6949</v>
      </c>
      <c r="AA624" t="s">
        <v>6950</v>
      </c>
      <c r="AB624" t="s">
        <v>6951</v>
      </c>
      <c r="AC624" t="s">
        <v>6952</v>
      </c>
      <c r="AD624" t="s">
        <v>6953</v>
      </c>
      <c r="AE624" t="s">
        <v>6954</v>
      </c>
      <c r="AF624" t="s">
        <v>6955</v>
      </c>
      <c r="AG624" t="s">
        <v>6956</v>
      </c>
      <c r="AH624" t="s">
        <v>6957</v>
      </c>
      <c r="AI624" t="s">
        <v>6958</v>
      </c>
      <c r="AJ624" t="s">
        <v>6959</v>
      </c>
      <c r="AR624" t="s">
        <v>4284</v>
      </c>
    </row>
    <row r="625" spans="1:44">
      <c r="A625">
        <v>11126279</v>
      </c>
      <c r="B625" t="s">
        <v>719</v>
      </c>
      <c r="C625" t="s">
        <v>1327</v>
      </c>
      <c r="D625" t="s">
        <v>1937</v>
      </c>
      <c r="E625" t="s">
        <v>1938</v>
      </c>
      <c r="F625" t="s">
        <v>1531</v>
      </c>
      <c r="G625" t="s">
        <v>1532</v>
      </c>
      <c r="H625" t="s">
        <v>2132</v>
      </c>
      <c r="I625" t="s">
        <v>4353</v>
      </c>
      <c r="J625" t="s">
        <v>3553</v>
      </c>
      <c r="K625" t="s">
        <v>3554</v>
      </c>
      <c r="M625">
        <v>50</v>
      </c>
      <c r="N625">
        <v>70</v>
      </c>
      <c r="O625" t="s">
        <v>2437</v>
      </c>
      <c r="P625" t="s">
        <v>2437</v>
      </c>
      <c r="R625" t="s">
        <v>2437</v>
      </c>
      <c r="T625" t="s">
        <v>2437</v>
      </c>
      <c r="U625" t="s">
        <v>2437</v>
      </c>
      <c r="V625" t="s">
        <v>2437</v>
      </c>
      <c r="Y625" t="s">
        <v>6948</v>
      </c>
      <c r="Z625" t="s">
        <v>6949</v>
      </c>
      <c r="AA625" t="s">
        <v>6950</v>
      </c>
      <c r="AB625" t="s">
        <v>6951</v>
      </c>
      <c r="AC625" t="s">
        <v>6952</v>
      </c>
      <c r="AD625" t="s">
        <v>6953</v>
      </c>
      <c r="AE625" t="s">
        <v>6954</v>
      </c>
      <c r="AF625" t="s">
        <v>6955</v>
      </c>
      <c r="AG625" t="s">
        <v>6956</v>
      </c>
      <c r="AH625" t="s">
        <v>6957</v>
      </c>
      <c r="AI625" t="s">
        <v>6958</v>
      </c>
      <c r="AJ625" t="s">
        <v>6959</v>
      </c>
      <c r="AR625" t="s">
        <v>4284</v>
      </c>
    </row>
    <row r="626" spans="1:44">
      <c r="A626">
        <v>11126280</v>
      </c>
      <c r="B626" t="s">
        <v>720</v>
      </c>
      <c r="C626" t="s">
        <v>1328</v>
      </c>
      <c r="D626" t="s">
        <v>1939</v>
      </c>
      <c r="E626" t="s">
        <v>1940</v>
      </c>
      <c r="F626" t="s">
        <v>1537</v>
      </c>
      <c r="G626" t="s">
        <v>1538</v>
      </c>
      <c r="H626" t="s">
        <v>2126</v>
      </c>
      <c r="I626" t="s">
        <v>4347</v>
      </c>
      <c r="J626" t="s">
        <v>3555</v>
      </c>
      <c r="K626" t="s">
        <v>3556</v>
      </c>
      <c r="M626">
        <v>50</v>
      </c>
      <c r="N626">
        <v>70</v>
      </c>
      <c r="O626" t="s">
        <v>2437</v>
      </c>
      <c r="P626" t="s">
        <v>2437</v>
      </c>
      <c r="R626" t="s">
        <v>2437</v>
      </c>
      <c r="T626" t="s">
        <v>2439</v>
      </c>
      <c r="U626" t="s">
        <v>2437</v>
      </c>
      <c r="V626" t="s">
        <v>2437</v>
      </c>
      <c r="Y626" t="s">
        <v>6948</v>
      </c>
      <c r="Z626" t="s">
        <v>6949</v>
      </c>
      <c r="AA626" t="s">
        <v>6950</v>
      </c>
      <c r="AB626" t="s">
        <v>6951</v>
      </c>
      <c r="AC626" t="s">
        <v>6952</v>
      </c>
      <c r="AD626" t="s">
        <v>6953</v>
      </c>
      <c r="AE626" t="s">
        <v>6954</v>
      </c>
      <c r="AF626" t="s">
        <v>6955</v>
      </c>
      <c r="AG626" t="s">
        <v>6956</v>
      </c>
      <c r="AH626" t="s">
        <v>6957</v>
      </c>
      <c r="AI626" t="s">
        <v>6958</v>
      </c>
      <c r="AJ626" t="s">
        <v>6959</v>
      </c>
      <c r="AR626" t="s">
        <v>4284</v>
      </c>
    </row>
    <row r="627" spans="1:44">
      <c r="A627">
        <v>11126281</v>
      </c>
      <c r="B627" t="s">
        <v>721</v>
      </c>
      <c r="C627" t="s">
        <v>1329</v>
      </c>
      <c r="D627" t="s">
        <v>1939</v>
      </c>
      <c r="E627" t="s">
        <v>1940</v>
      </c>
      <c r="F627" t="s">
        <v>1537</v>
      </c>
      <c r="G627" t="s">
        <v>1538</v>
      </c>
      <c r="H627" t="s">
        <v>2129</v>
      </c>
      <c r="I627" t="s">
        <v>4350</v>
      </c>
      <c r="J627" t="s">
        <v>3557</v>
      </c>
      <c r="K627" t="s">
        <v>3558</v>
      </c>
      <c r="M627">
        <v>50</v>
      </c>
      <c r="N627">
        <v>70</v>
      </c>
      <c r="O627" t="s">
        <v>2437</v>
      </c>
      <c r="P627" t="s">
        <v>2437</v>
      </c>
      <c r="R627" t="s">
        <v>2437</v>
      </c>
      <c r="T627" t="s">
        <v>2439</v>
      </c>
      <c r="U627" t="s">
        <v>2437</v>
      </c>
      <c r="V627" t="s">
        <v>2437</v>
      </c>
      <c r="Y627" t="s">
        <v>6948</v>
      </c>
      <c r="Z627" t="s">
        <v>6949</v>
      </c>
      <c r="AA627" t="s">
        <v>6950</v>
      </c>
      <c r="AB627" t="s">
        <v>6951</v>
      </c>
      <c r="AC627" t="s">
        <v>6952</v>
      </c>
      <c r="AD627" t="s">
        <v>6953</v>
      </c>
      <c r="AE627" t="s">
        <v>6954</v>
      </c>
      <c r="AF627" t="s">
        <v>6955</v>
      </c>
      <c r="AG627" t="s">
        <v>6956</v>
      </c>
      <c r="AH627" t="s">
        <v>6957</v>
      </c>
      <c r="AI627" t="s">
        <v>6958</v>
      </c>
      <c r="AJ627" t="s">
        <v>6959</v>
      </c>
      <c r="AR627" t="s">
        <v>4284</v>
      </c>
    </row>
    <row r="628" spans="1:44">
      <c r="A628">
        <v>11126282</v>
      </c>
      <c r="B628" t="s">
        <v>722</v>
      </c>
      <c r="C628" t="s">
        <v>1330</v>
      </c>
      <c r="D628" t="s">
        <v>1939</v>
      </c>
      <c r="E628" t="s">
        <v>1940</v>
      </c>
      <c r="F628" t="s">
        <v>1539</v>
      </c>
      <c r="G628" t="s">
        <v>1540</v>
      </c>
      <c r="H628" t="s">
        <v>2127</v>
      </c>
      <c r="I628" t="s">
        <v>4348</v>
      </c>
      <c r="J628" t="s">
        <v>3559</v>
      </c>
      <c r="K628" t="s">
        <v>3560</v>
      </c>
      <c r="M628">
        <v>50</v>
      </c>
      <c r="N628">
        <v>70</v>
      </c>
      <c r="O628" t="s">
        <v>2437</v>
      </c>
      <c r="P628" t="s">
        <v>2437</v>
      </c>
      <c r="R628" t="s">
        <v>2437</v>
      </c>
      <c r="T628" t="s">
        <v>2437</v>
      </c>
      <c r="U628" t="s">
        <v>2437</v>
      </c>
      <c r="V628" t="s">
        <v>2437</v>
      </c>
      <c r="Y628" t="s">
        <v>6948</v>
      </c>
      <c r="Z628" t="s">
        <v>6949</v>
      </c>
      <c r="AA628" t="s">
        <v>6950</v>
      </c>
      <c r="AB628" t="s">
        <v>6951</v>
      </c>
      <c r="AC628" t="s">
        <v>6952</v>
      </c>
      <c r="AD628" t="s">
        <v>6953</v>
      </c>
      <c r="AE628" t="s">
        <v>6954</v>
      </c>
      <c r="AF628" t="s">
        <v>6955</v>
      </c>
      <c r="AG628" t="s">
        <v>6956</v>
      </c>
      <c r="AH628" t="s">
        <v>6957</v>
      </c>
      <c r="AI628" t="s">
        <v>6958</v>
      </c>
      <c r="AJ628" t="s">
        <v>6959</v>
      </c>
      <c r="AR628" t="s">
        <v>4284</v>
      </c>
    </row>
    <row r="629" spans="1:44">
      <c r="A629">
        <v>11126284</v>
      </c>
      <c r="B629" t="s">
        <v>723</v>
      </c>
      <c r="C629" t="s">
        <v>1331</v>
      </c>
      <c r="D629" t="s">
        <v>1939</v>
      </c>
      <c r="E629" t="s">
        <v>1940</v>
      </c>
      <c r="F629" t="s">
        <v>1541</v>
      </c>
      <c r="G629" t="s">
        <v>1542</v>
      </c>
      <c r="H629" t="s">
        <v>2128</v>
      </c>
      <c r="I629" t="s">
        <v>4349</v>
      </c>
      <c r="J629" t="s">
        <v>3561</v>
      </c>
      <c r="K629" t="s">
        <v>3562</v>
      </c>
      <c r="M629">
        <v>50</v>
      </c>
      <c r="N629">
        <v>70</v>
      </c>
      <c r="O629" t="s">
        <v>2437</v>
      </c>
      <c r="P629" t="s">
        <v>2437</v>
      </c>
      <c r="R629" t="s">
        <v>2437</v>
      </c>
      <c r="T629" t="s">
        <v>2437</v>
      </c>
      <c r="U629" t="s">
        <v>2437</v>
      </c>
      <c r="V629" t="s">
        <v>2437</v>
      </c>
      <c r="Y629" t="s">
        <v>6948</v>
      </c>
      <c r="Z629" t="s">
        <v>6949</v>
      </c>
      <c r="AA629" t="s">
        <v>6950</v>
      </c>
      <c r="AB629" t="s">
        <v>6951</v>
      </c>
      <c r="AC629" t="s">
        <v>6952</v>
      </c>
      <c r="AD629" t="s">
        <v>6953</v>
      </c>
      <c r="AE629" t="s">
        <v>6954</v>
      </c>
      <c r="AF629" t="s">
        <v>6955</v>
      </c>
      <c r="AG629" t="s">
        <v>6956</v>
      </c>
      <c r="AH629" t="s">
        <v>6957</v>
      </c>
      <c r="AI629" t="s">
        <v>6958</v>
      </c>
      <c r="AJ629" t="s">
        <v>6959</v>
      </c>
      <c r="AR629" t="s">
        <v>4284</v>
      </c>
    </row>
    <row r="630" spans="1:44">
      <c r="A630">
        <v>11126285</v>
      </c>
      <c r="B630" t="s">
        <v>724</v>
      </c>
      <c r="C630" t="s">
        <v>1332</v>
      </c>
      <c r="D630" t="s">
        <v>1939</v>
      </c>
      <c r="E630" t="s">
        <v>1940</v>
      </c>
      <c r="F630" t="s">
        <v>1541</v>
      </c>
      <c r="G630" t="s">
        <v>1542</v>
      </c>
      <c r="H630" t="s">
        <v>2131</v>
      </c>
      <c r="I630" t="s">
        <v>4352</v>
      </c>
      <c r="J630" t="s">
        <v>3563</v>
      </c>
      <c r="K630" t="s">
        <v>3564</v>
      </c>
      <c r="M630">
        <v>50</v>
      </c>
      <c r="N630">
        <v>70</v>
      </c>
      <c r="O630" t="s">
        <v>2437</v>
      </c>
      <c r="P630" t="s">
        <v>2437</v>
      </c>
      <c r="R630" t="s">
        <v>2437</v>
      </c>
      <c r="T630" t="s">
        <v>2437</v>
      </c>
      <c r="U630" t="s">
        <v>2437</v>
      </c>
      <c r="V630" t="s">
        <v>2437</v>
      </c>
      <c r="Y630" t="s">
        <v>6948</v>
      </c>
      <c r="Z630" t="s">
        <v>6949</v>
      </c>
      <c r="AA630" t="s">
        <v>6950</v>
      </c>
      <c r="AB630" t="s">
        <v>6951</v>
      </c>
      <c r="AC630" t="s">
        <v>6952</v>
      </c>
      <c r="AD630" t="s">
        <v>6953</v>
      </c>
      <c r="AE630" t="s">
        <v>6954</v>
      </c>
      <c r="AF630" t="s">
        <v>6955</v>
      </c>
      <c r="AG630" t="s">
        <v>6956</v>
      </c>
      <c r="AH630" t="s">
        <v>6957</v>
      </c>
      <c r="AI630" t="s">
        <v>6958</v>
      </c>
      <c r="AJ630" t="s">
        <v>6959</v>
      </c>
      <c r="AR630" t="s">
        <v>4284</v>
      </c>
    </row>
    <row r="631" spans="1:44">
      <c r="A631">
        <v>11126283</v>
      </c>
      <c r="B631" t="s">
        <v>725</v>
      </c>
      <c r="C631" t="s">
        <v>1333</v>
      </c>
      <c r="D631" t="s">
        <v>1939</v>
      </c>
      <c r="E631" t="s">
        <v>1940</v>
      </c>
      <c r="F631" t="s">
        <v>1539</v>
      </c>
      <c r="G631" t="s">
        <v>1540</v>
      </c>
      <c r="H631" t="s">
        <v>2130</v>
      </c>
      <c r="I631" t="s">
        <v>4351</v>
      </c>
      <c r="J631" t="s">
        <v>3565</v>
      </c>
      <c r="K631" t="s">
        <v>3566</v>
      </c>
      <c r="M631">
        <v>50</v>
      </c>
      <c r="N631">
        <v>70</v>
      </c>
      <c r="O631" t="s">
        <v>2437</v>
      </c>
      <c r="P631" t="s">
        <v>2437</v>
      </c>
      <c r="R631" t="s">
        <v>2437</v>
      </c>
      <c r="T631" t="s">
        <v>2437</v>
      </c>
      <c r="U631" t="s">
        <v>2437</v>
      </c>
      <c r="V631" t="s">
        <v>2437</v>
      </c>
      <c r="Y631" t="s">
        <v>6948</v>
      </c>
      <c r="Z631" t="s">
        <v>6949</v>
      </c>
      <c r="AA631" t="s">
        <v>6950</v>
      </c>
      <c r="AB631" t="s">
        <v>6951</v>
      </c>
      <c r="AC631" t="s">
        <v>6952</v>
      </c>
      <c r="AD631" t="s">
        <v>6953</v>
      </c>
      <c r="AE631" t="s">
        <v>6954</v>
      </c>
      <c r="AF631" t="s">
        <v>6955</v>
      </c>
      <c r="AG631" t="s">
        <v>6956</v>
      </c>
      <c r="AH631" t="s">
        <v>6957</v>
      </c>
      <c r="AI631" t="s">
        <v>6958</v>
      </c>
      <c r="AJ631" t="s">
        <v>6959</v>
      </c>
      <c r="AR631" t="s">
        <v>4284</v>
      </c>
    </row>
    <row r="632" spans="1:44">
      <c r="A632">
        <v>11124643</v>
      </c>
      <c r="B632" t="s">
        <v>726</v>
      </c>
      <c r="C632" t="s">
        <v>1334</v>
      </c>
      <c r="D632" t="s">
        <v>1820</v>
      </c>
      <c r="E632" t="s">
        <v>1821</v>
      </c>
      <c r="F632" t="s">
        <v>1752</v>
      </c>
      <c r="G632" t="s">
        <v>1753</v>
      </c>
      <c r="H632" t="s">
        <v>2377</v>
      </c>
      <c r="I632" t="s">
        <v>4547</v>
      </c>
      <c r="J632" t="s">
        <v>3567</v>
      </c>
      <c r="K632" t="s">
        <v>3568</v>
      </c>
      <c r="M632">
        <v>50</v>
      </c>
      <c r="N632">
        <v>70</v>
      </c>
      <c r="O632" t="s">
        <v>2437</v>
      </c>
      <c r="P632" t="s">
        <v>2437</v>
      </c>
      <c r="R632" t="s">
        <v>2437</v>
      </c>
      <c r="T632" t="s">
        <v>2437</v>
      </c>
      <c r="U632" t="s">
        <v>2437</v>
      </c>
      <c r="V632" t="s">
        <v>2437</v>
      </c>
      <c r="Y632" t="s">
        <v>6948</v>
      </c>
      <c r="Z632" t="s">
        <v>6949</v>
      </c>
      <c r="AA632" t="s">
        <v>6950</v>
      </c>
      <c r="AB632" t="s">
        <v>6951</v>
      </c>
      <c r="AC632" t="s">
        <v>6952</v>
      </c>
      <c r="AD632" t="s">
        <v>6953</v>
      </c>
      <c r="AE632" t="s">
        <v>6954</v>
      </c>
      <c r="AF632" t="s">
        <v>6955</v>
      </c>
      <c r="AG632" t="s">
        <v>6956</v>
      </c>
      <c r="AH632" t="s">
        <v>6957</v>
      </c>
      <c r="AI632" t="s">
        <v>6958</v>
      </c>
      <c r="AJ632" t="s">
        <v>6959</v>
      </c>
      <c r="AR632" t="s">
        <v>4284</v>
      </c>
    </row>
    <row r="633" spans="1:44">
      <c r="A633">
        <v>11127181</v>
      </c>
      <c r="B633" t="s">
        <v>727</v>
      </c>
      <c r="C633" t="s">
        <v>1335</v>
      </c>
      <c r="D633" t="s">
        <v>1941</v>
      </c>
      <c r="E633" t="s">
        <v>1942</v>
      </c>
      <c r="F633" t="s">
        <v>1887</v>
      </c>
      <c r="G633" t="s">
        <v>1888</v>
      </c>
      <c r="H633" t="s">
        <v>2378</v>
      </c>
      <c r="I633" t="s">
        <v>4548</v>
      </c>
      <c r="J633" t="s">
        <v>3569</v>
      </c>
      <c r="K633" t="s">
        <v>3570</v>
      </c>
      <c r="M633">
        <v>50</v>
      </c>
      <c r="N633">
        <v>70</v>
      </c>
      <c r="O633" t="s">
        <v>2437</v>
      </c>
      <c r="P633" t="s">
        <v>2437</v>
      </c>
      <c r="R633" t="s">
        <v>2437</v>
      </c>
      <c r="T633" t="s">
        <v>2437</v>
      </c>
      <c r="U633" t="s">
        <v>2437</v>
      </c>
      <c r="V633" t="s">
        <v>2437</v>
      </c>
      <c r="Y633" t="s">
        <v>6948</v>
      </c>
      <c r="Z633" t="s">
        <v>6949</v>
      </c>
      <c r="AA633" t="s">
        <v>6950</v>
      </c>
      <c r="AB633" t="s">
        <v>6951</v>
      </c>
      <c r="AC633" t="s">
        <v>6952</v>
      </c>
      <c r="AD633" t="s">
        <v>6953</v>
      </c>
      <c r="AE633" t="s">
        <v>6954</v>
      </c>
      <c r="AF633" t="s">
        <v>6955</v>
      </c>
      <c r="AG633" t="s">
        <v>6956</v>
      </c>
      <c r="AH633" t="s">
        <v>6957</v>
      </c>
      <c r="AI633" t="s">
        <v>6958</v>
      </c>
      <c r="AJ633" t="s">
        <v>6959</v>
      </c>
      <c r="AR633" t="s">
        <v>4284</v>
      </c>
    </row>
    <row r="634" spans="1:44">
      <c r="A634">
        <v>11127182</v>
      </c>
      <c r="B634" t="s">
        <v>728</v>
      </c>
      <c r="C634" t="s">
        <v>1336</v>
      </c>
      <c r="D634" t="s">
        <v>1941</v>
      </c>
      <c r="E634" t="s">
        <v>1942</v>
      </c>
      <c r="F634" t="s">
        <v>1887</v>
      </c>
      <c r="G634" t="s">
        <v>1888</v>
      </c>
      <c r="H634" t="s">
        <v>2358</v>
      </c>
      <c r="I634" t="s">
        <v>4532</v>
      </c>
      <c r="J634" t="s">
        <v>3571</v>
      </c>
      <c r="K634" t="s">
        <v>3572</v>
      </c>
      <c r="M634">
        <v>50</v>
      </c>
      <c r="N634">
        <v>70</v>
      </c>
      <c r="O634" t="s">
        <v>2437</v>
      </c>
      <c r="P634" t="s">
        <v>2437</v>
      </c>
      <c r="R634" t="s">
        <v>2437</v>
      </c>
      <c r="T634" t="s">
        <v>2437</v>
      </c>
      <c r="U634" t="s">
        <v>2437</v>
      </c>
      <c r="V634" t="s">
        <v>2437</v>
      </c>
      <c r="Y634" t="s">
        <v>6948</v>
      </c>
      <c r="Z634" t="s">
        <v>6949</v>
      </c>
      <c r="AA634" t="s">
        <v>6950</v>
      </c>
      <c r="AB634" t="s">
        <v>6951</v>
      </c>
      <c r="AC634" t="s">
        <v>6952</v>
      </c>
      <c r="AD634" t="s">
        <v>6953</v>
      </c>
      <c r="AE634" t="s">
        <v>6954</v>
      </c>
      <c r="AF634" t="s">
        <v>6955</v>
      </c>
      <c r="AG634" t="s">
        <v>6956</v>
      </c>
      <c r="AH634" t="s">
        <v>6957</v>
      </c>
      <c r="AI634" t="s">
        <v>6958</v>
      </c>
      <c r="AJ634" t="s">
        <v>6959</v>
      </c>
      <c r="AR634" t="s">
        <v>4284</v>
      </c>
    </row>
    <row r="635" spans="1:44">
      <c r="A635">
        <v>11127185</v>
      </c>
      <c r="B635" t="s">
        <v>729</v>
      </c>
      <c r="C635" t="s">
        <v>1337</v>
      </c>
      <c r="D635" t="s">
        <v>1941</v>
      </c>
      <c r="E635" t="s">
        <v>1942</v>
      </c>
      <c r="F635" t="s">
        <v>1720</v>
      </c>
      <c r="G635" t="s">
        <v>1721</v>
      </c>
      <c r="H635" t="s">
        <v>2379</v>
      </c>
      <c r="I635" t="s">
        <v>4549</v>
      </c>
      <c r="J635" t="s">
        <v>3573</v>
      </c>
      <c r="K635" t="s">
        <v>3574</v>
      </c>
      <c r="M635">
        <v>50</v>
      </c>
      <c r="N635">
        <v>70</v>
      </c>
      <c r="O635" t="s">
        <v>2437</v>
      </c>
      <c r="P635" t="s">
        <v>2437</v>
      </c>
      <c r="R635" t="s">
        <v>2437</v>
      </c>
      <c r="T635" t="s">
        <v>2437</v>
      </c>
      <c r="U635" t="s">
        <v>2437</v>
      </c>
      <c r="V635" t="s">
        <v>2437</v>
      </c>
      <c r="Y635" t="s">
        <v>6948</v>
      </c>
      <c r="Z635" t="s">
        <v>6949</v>
      </c>
      <c r="AA635" t="s">
        <v>6950</v>
      </c>
      <c r="AB635" t="s">
        <v>6951</v>
      </c>
      <c r="AC635" t="s">
        <v>6952</v>
      </c>
      <c r="AD635" t="s">
        <v>6953</v>
      </c>
      <c r="AE635" t="s">
        <v>6954</v>
      </c>
      <c r="AF635" t="s">
        <v>6955</v>
      </c>
      <c r="AG635" t="s">
        <v>6956</v>
      </c>
      <c r="AH635" t="s">
        <v>6957</v>
      </c>
      <c r="AI635" t="s">
        <v>6958</v>
      </c>
      <c r="AJ635" t="s">
        <v>6959</v>
      </c>
      <c r="AR635" t="s">
        <v>4284</v>
      </c>
    </row>
    <row r="636" spans="1:44">
      <c r="A636">
        <v>11127186</v>
      </c>
      <c r="B636" t="s">
        <v>730</v>
      </c>
      <c r="C636" t="s">
        <v>1338</v>
      </c>
      <c r="D636" t="s">
        <v>1941</v>
      </c>
      <c r="E636" t="s">
        <v>1942</v>
      </c>
      <c r="F636" t="s">
        <v>1720</v>
      </c>
      <c r="G636" t="s">
        <v>1721</v>
      </c>
      <c r="H636" t="s">
        <v>2361</v>
      </c>
      <c r="I636" t="s">
        <v>4535</v>
      </c>
      <c r="J636" t="s">
        <v>3575</v>
      </c>
      <c r="K636" t="s">
        <v>3576</v>
      </c>
      <c r="M636">
        <v>50</v>
      </c>
      <c r="N636">
        <v>70</v>
      </c>
      <c r="O636" t="s">
        <v>2437</v>
      </c>
      <c r="P636" t="s">
        <v>2437</v>
      </c>
      <c r="R636" t="s">
        <v>2437</v>
      </c>
      <c r="T636" t="s">
        <v>2437</v>
      </c>
      <c r="U636" t="s">
        <v>2437</v>
      </c>
      <c r="V636" t="s">
        <v>2437</v>
      </c>
      <c r="Y636" t="s">
        <v>6948</v>
      </c>
      <c r="Z636" t="s">
        <v>6949</v>
      </c>
      <c r="AA636" t="s">
        <v>6950</v>
      </c>
      <c r="AB636" t="s">
        <v>6951</v>
      </c>
      <c r="AC636" t="s">
        <v>6952</v>
      </c>
      <c r="AD636" t="s">
        <v>6953</v>
      </c>
      <c r="AE636" t="s">
        <v>6954</v>
      </c>
      <c r="AF636" t="s">
        <v>6955</v>
      </c>
      <c r="AG636" t="s">
        <v>6956</v>
      </c>
      <c r="AH636" t="s">
        <v>6957</v>
      </c>
      <c r="AI636" t="s">
        <v>6958</v>
      </c>
      <c r="AJ636" t="s">
        <v>6959</v>
      </c>
      <c r="AR636" t="s">
        <v>4284</v>
      </c>
    </row>
    <row r="637" spans="1:44">
      <c r="A637">
        <v>11127183</v>
      </c>
      <c r="B637" t="s">
        <v>731</v>
      </c>
      <c r="C637" t="s">
        <v>1339</v>
      </c>
      <c r="D637" t="s">
        <v>1941</v>
      </c>
      <c r="E637" t="s">
        <v>1942</v>
      </c>
      <c r="F637" t="s">
        <v>1887</v>
      </c>
      <c r="G637" t="s">
        <v>1888</v>
      </c>
      <c r="H637" t="s">
        <v>2378</v>
      </c>
      <c r="I637" t="s">
        <v>4548</v>
      </c>
      <c r="J637" t="s">
        <v>3577</v>
      </c>
      <c r="K637" t="s">
        <v>3578</v>
      </c>
      <c r="M637">
        <v>50</v>
      </c>
      <c r="N637">
        <v>70</v>
      </c>
      <c r="O637" t="s">
        <v>2437</v>
      </c>
      <c r="P637" t="s">
        <v>2437</v>
      </c>
      <c r="R637" t="s">
        <v>2437</v>
      </c>
      <c r="T637" t="s">
        <v>2437</v>
      </c>
      <c r="U637" t="s">
        <v>2437</v>
      </c>
      <c r="V637" t="s">
        <v>2437</v>
      </c>
      <c r="Y637" t="s">
        <v>6948</v>
      </c>
      <c r="Z637" t="s">
        <v>6949</v>
      </c>
      <c r="AA637" t="s">
        <v>6950</v>
      </c>
      <c r="AB637" t="s">
        <v>6951</v>
      </c>
      <c r="AC637" t="s">
        <v>6952</v>
      </c>
      <c r="AD637" t="s">
        <v>6953</v>
      </c>
      <c r="AE637" t="s">
        <v>6954</v>
      </c>
      <c r="AF637" t="s">
        <v>6955</v>
      </c>
      <c r="AG637" t="s">
        <v>6956</v>
      </c>
      <c r="AH637" t="s">
        <v>6957</v>
      </c>
      <c r="AI637" t="s">
        <v>6958</v>
      </c>
      <c r="AJ637" t="s">
        <v>6959</v>
      </c>
      <c r="AR637" t="s">
        <v>4284</v>
      </c>
    </row>
    <row r="638" spans="1:44">
      <c r="A638">
        <v>11127184</v>
      </c>
      <c r="B638" t="s">
        <v>732</v>
      </c>
      <c r="C638" t="s">
        <v>1340</v>
      </c>
      <c r="D638" t="s">
        <v>1941</v>
      </c>
      <c r="E638" t="s">
        <v>1942</v>
      </c>
      <c r="F638" t="s">
        <v>1887</v>
      </c>
      <c r="G638" t="s">
        <v>1888</v>
      </c>
      <c r="H638" t="s">
        <v>2358</v>
      </c>
      <c r="I638" t="s">
        <v>4532</v>
      </c>
      <c r="J638" t="s">
        <v>3579</v>
      </c>
      <c r="K638" t="s">
        <v>3580</v>
      </c>
      <c r="M638">
        <v>50</v>
      </c>
      <c r="N638">
        <v>70</v>
      </c>
      <c r="O638" t="s">
        <v>2437</v>
      </c>
      <c r="P638" t="s">
        <v>2437</v>
      </c>
      <c r="R638" t="s">
        <v>2437</v>
      </c>
      <c r="T638" t="s">
        <v>2437</v>
      </c>
      <c r="U638" t="s">
        <v>2437</v>
      </c>
      <c r="V638" t="s">
        <v>2437</v>
      </c>
      <c r="Y638" t="s">
        <v>6948</v>
      </c>
      <c r="Z638" t="s">
        <v>6949</v>
      </c>
      <c r="AA638" t="s">
        <v>6950</v>
      </c>
      <c r="AB638" t="s">
        <v>6951</v>
      </c>
      <c r="AC638" t="s">
        <v>6952</v>
      </c>
      <c r="AD638" t="s">
        <v>6953</v>
      </c>
      <c r="AE638" t="s">
        <v>6954</v>
      </c>
      <c r="AF638" t="s">
        <v>6955</v>
      </c>
      <c r="AG638" t="s">
        <v>6956</v>
      </c>
      <c r="AH638" t="s">
        <v>6957</v>
      </c>
      <c r="AI638" t="s">
        <v>6958</v>
      </c>
      <c r="AJ638" t="s">
        <v>6959</v>
      </c>
      <c r="AR638" t="s">
        <v>4284</v>
      </c>
    </row>
    <row r="639" spans="1:44">
      <c r="A639">
        <v>11127187</v>
      </c>
      <c r="B639" t="s">
        <v>733</v>
      </c>
      <c r="C639" t="s">
        <v>1341</v>
      </c>
      <c r="D639" t="s">
        <v>1941</v>
      </c>
      <c r="E639" t="s">
        <v>1942</v>
      </c>
      <c r="F639" t="s">
        <v>1720</v>
      </c>
      <c r="G639" t="s">
        <v>1721</v>
      </c>
      <c r="H639" t="s">
        <v>2379</v>
      </c>
      <c r="I639" t="s">
        <v>4549</v>
      </c>
      <c r="J639" t="s">
        <v>3581</v>
      </c>
      <c r="K639" t="s">
        <v>3582</v>
      </c>
      <c r="M639">
        <v>50</v>
      </c>
      <c r="N639">
        <v>70</v>
      </c>
      <c r="O639" t="s">
        <v>2437</v>
      </c>
      <c r="P639" t="s">
        <v>2437</v>
      </c>
      <c r="R639" t="s">
        <v>2437</v>
      </c>
      <c r="T639" t="s">
        <v>2437</v>
      </c>
      <c r="U639" t="s">
        <v>2437</v>
      </c>
      <c r="V639" t="s">
        <v>2437</v>
      </c>
      <c r="Y639" t="s">
        <v>6948</v>
      </c>
      <c r="Z639" t="s">
        <v>6949</v>
      </c>
      <c r="AA639" t="s">
        <v>6950</v>
      </c>
      <c r="AB639" t="s">
        <v>6951</v>
      </c>
      <c r="AC639" t="s">
        <v>6952</v>
      </c>
      <c r="AD639" t="s">
        <v>6953</v>
      </c>
      <c r="AE639" t="s">
        <v>6954</v>
      </c>
      <c r="AF639" t="s">
        <v>6955</v>
      </c>
      <c r="AG639" t="s">
        <v>6956</v>
      </c>
      <c r="AH639" t="s">
        <v>6957</v>
      </c>
      <c r="AI639" t="s">
        <v>6958</v>
      </c>
      <c r="AJ639" t="s">
        <v>6959</v>
      </c>
      <c r="AR639" t="s">
        <v>4284</v>
      </c>
    </row>
    <row r="640" spans="1:44">
      <c r="A640">
        <v>11127188</v>
      </c>
      <c r="B640" t="s">
        <v>734</v>
      </c>
      <c r="C640" t="s">
        <v>1342</v>
      </c>
      <c r="D640" t="s">
        <v>1941</v>
      </c>
      <c r="E640" t="s">
        <v>1942</v>
      </c>
      <c r="F640" t="s">
        <v>1720</v>
      </c>
      <c r="G640" t="s">
        <v>1721</v>
      </c>
      <c r="H640" t="s">
        <v>2361</v>
      </c>
      <c r="I640" t="s">
        <v>4535</v>
      </c>
      <c r="J640" t="s">
        <v>3583</v>
      </c>
      <c r="K640" t="s">
        <v>3584</v>
      </c>
      <c r="M640">
        <v>50</v>
      </c>
      <c r="N640">
        <v>70</v>
      </c>
      <c r="O640" t="s">
        <v>2437</v>
      </c>
      <c r="P640" t="s">
        <v>2437</v>
      </c>
      <c r="R640" t="s">
        <v>2437</v>
      </c>
      <c r="T640" t="s">
        <v>2437</v>
      </c>
      <c r="U640" t="s">
        <v>2437</v>
      </c>
      <c r="V640" t="s">
        <v>2437</v>
      </c>
      <c r="Y640" t="s">
        <v>6948</v>
      </c>
      <c r="Z640" t="s">
        <v>6949</v>
      </c>
      <c r="AA640" t="s">
        <v>6950</v>
      </c>
      <c r="AB640" t="s">
        <v>6951</v>
      </c>
      <c r="AC640" t="s">
        <v>6952</v>
      </c>
      <c r="AD640" t="s">
        <v>6953</v>
      </c>
      <c r="AE640" t="s">
        <v>6954</v>
      </c>
      <c r="AF640" t="s">
        <v>6955</v>
      </c>
      <c r="AG640" t="s">
        <v>6956</v>
      </c>
      <c r="AH640" t="s">
        <v>6957</v>
      </c>
      <c r="AI640" t="s">
        <v>6958</v>
      </c>
      <c r="AJ640" t="s">
        <v>6959</v>
      </c>
      <c r="AR640" t="s">
        <v>4284</v>
      </c>
    </row>
    <row r="641" spans="1:44">
      <c r="A641">
        <v>11127191</v>
      </c>
      <c r="B641" t="s">
        <v>735</v>
      </c>
      <c r="C641" t="s">
        <v>1343</v>
      </c>
      <c r="D641" t="s">
        <v>1941</v>
      </c>
      <c r="E641" t="s">
        <v>1942</v>
      </c>
      <c r="F641" t="s">
        <v>1720</v>
      </c>
      <c r="G641" t="s">
        <v>1721</v>
      </c>
      <c r="H641" t="s">
        <v>2318</v>
      </c>
      <c r="I641" t="s">
        <v>4503</v>
      </c>
      <c r="J641" t="s">
        <v>3585</v>
      </c>
      <c r="K641" t="s">
        <v>3586</v>
      </c>
      <c r="M641">
        <v>50</v>
      </c>
      <c r="N641">
        <v>70</v>
      </c>
      <c r="O641" t="s">
        <v>2437</v>
      </c>
      <c r="P641" t="s">
        <v>2437</v>
      </c>
      <c r="R641" t="s">
        <v>2437</v>
      </c>
      <c r="T641" t="s">
        <v>2437</v>
      </c>
      <c r="U641" t="s">
        <v>2437</v>
      </c>
      <c r="V641" t="s">
        <v>2437</v>
      </c>
      <c r="Y641" t="s">
        <v>6948</v>
      </c>
      <c r="Z641" t="s">
        <v>6949</v>
      </c>
      <c r="AA641" t="s">
        <v>6950</v>
      </c>
      <c r="AB641" t="s">
        <v>6951</v>
      </c>
      <c r="AC641" t="s">
        <v>6952</v>
      </c>
      <c r="AD641" t="s">
        <v>6953</v>
      </c>
      <c r="AE641" t="s">
        <v>6954</v>
      </c>
      <c r="AF641" t="s">
        <v>6955</v>
      </c>
      <c r="AG641" t="s">
        <v>6956</v>
      </c>
      <c r="AH641" t="s">
        <v>6957</v>
      </c>
      <c r="AI641" t="s">
        <v>6958</v>
      </c>
      <c r="AJ641" t="s">
        <v>6959</v>
      </c>
      <c r="AR641" t="s">
        <v>4284</v>
      </c>
    </row>
    <row r="642" spans="1:44">
      <c r="A642">
        <v>11127127</v>
      </c>
      <c r="B642" t="s">
        <v>736</v>
      </c>
      <c r="C642" t="s">
        <v>1135</v>
      </c>
      <c r="D642" t="s">
        <v>1698</v>
      </c>
      <c r="E642" t="s">
        <v>1520</v>
      </c>
      <c r="F642" t="s">
        <v>1693</v>
      </c>
      <c r="G642" t="s">
        <v>1694</v>
      </c>
      <c r="H642" t="s">
        <v>2324</v>
      </c>
      <c r="I642" t="s">
        <v>4306</v>
      </c>
      <c r="J642" t="s">
        <v>3058</v>
      </c>
      <c r="K642" t="s">
        <v>3059</v>
      </c>
      <c r="M642">
        <v>55</v>
      </c>
      <c r="N642">
        <v>65</v>
      </c>
      <c r="O642" t="s">
        <v>2437</v>
      </c>
      <c r="P642" t="s">
        <v>2437</v>
      </c>
      <c r="R642" t="s">
        <v>89</v>
      </c>
      <c r="T642" t="s">
        <v>2437</v>
      </c>
      <c r="U642" t="s">
        <v>2437</v>
      </c>
      <c r="V642" t="s">
        <v>2557</v>
      </c>
      <c r="Y642" t="s">
        <v>6948</v>
      </c>
      <c r="Z642" t="s">
        <v>6949</v>
      </c>
      <c r="AA642" t="s">
        <v>6950</v>
      </c>
      <c r="AB642" t="s">
        <v>6951</v>
      </c>
      <c r="AC642" t="s">
        <v>6952</v>
      </c>
      <c r="AD642" t="s">
        <v>6953</v>
      </c>
      <c r="AE642" t="s">
        <v>6975</v>
      </c>
      <c r="AF642" t="s">
        <v>6974</v>
      </c>
      <c r="AR642" t="s">
        <v>4284</v>
      </c>
    </row>
    <row r="643" spans="1:44">
      <c r="A643">
        <v>11127128</v>
      </c>
      <c r="B643" t="s">
        <v>737</v>
      </c>
      <c r="C643" t="s">
        <v>1136</v>
      </c>
      <c r="D643" t="s">
        <v>1698</v>
      </c>
      <c r="E643" t="s">
        <v>1520</v>
      </c>
      <c r="F643" t="s">
        <v>1693</v>
      </c>
      <c r="G643" t="s">
        <v>1694</v>
      </c>
      <c r="H643" t="s">
        <v>2325</v>
      </c>
      <c r="I643" t="s">
        <v>4307</v>
      </c>
      <c r="J643" t="s">
        <v>3060</v>
      </c>
      <c r="K643" t="s">
        <v>3061</v>
      </c>
      <c r="M643">
        <v>55</v>
      </c>
      <c r="N643">
        <v>65</v>
      </c>
      <c r="O643" t="s">
        <v>2437</v>
      </c>
      <c r="P643" t="s">
        <v>2437</v>
      </c>
      <c r="R643" t="s">
        <v>89</v>
      </c>
      <c r="T643" t="s">
        <v>2437</v>
      </c>
      <c r="U643" t="s">
        <v>2437</v>
      </c>
      <c r="V643" t="s">
        <v>2557</v>
      </c>
      <c r="Y643" t="s">
        <v>6948</v>
      </c>
      <c r="Z643" t="s">
        <v>6949</v>
      </c>
      <c r="AA643" t="s">
        <v>6950</v>
      </c>
      <c r="AB643" t="s">
        <v>6951</v>
      </c>
      <c r="AC643" t="s">
        <v>6952</v>
      </c>
      <c r="AD643" t="s">
        <v>6953</v>
      </c>
      <c r="AE643" t="s">
        <v>6975</v>
      </c>
      <c r="AF643" t="s">
        <v>6974</v>
      </c>
      <c r="AR643" t="s">
        <v>4284</v>
      </c>
    </row>
    <row r="644" spans="1:44">
      <c r="A644">
        <v>11127137</v>
      </c>
      <c r="B644" t="s">
        <v>738</v>
      </c>
      <c r="C644" t="s">
        <v>1010</v>
      </c>
      <c r="D644" t="s">
        <v>1930</v>
      </c>
      <c r="E644" t="s">
        <v>1521</v>
      </c>
      <c r="F644" t="s">
        <v>1578</v>
      </c>
      <c r="G644" t="s">
        <v>1579</v>
      </c>
      <c r="H644" t="s">
        <v>2375</v>
      </c>
      <c r="I644" t="s">
        <v>4545</v>
      </c>
      <c r="J644" t="s">
        <v>3515</v>
      </c>
      <c r="K644" t="s">
        <v>3516</v>
      </c>
      <c r="M644">
        <v>50</v>
      </c>
      <c r="N644">
        <v>70</v>
      </c>
      <c r="O644" t="s">
        <v>2437</v>
      </c>
      <c r="P644" t="s">
        <v>2437</v>
      </c>
      <c r="R644" t="s">
        <v>89</v>
      </c>
      <c r="T644" t="s">
        <v>2437</v>
      </c>
      <c r="U644" t="s">
        <v>2437</v>
      </c>
      <c r="V644" t="s">
        <v>2559</v>
      </c>
      <c r="Y644" t="s">
        <v>6948</v>
      </c>
      <c r="Z644" t="s">
        <v>6949</v>
      </c>
      <c r="AA644" t="s">
        <v>6950</v>
      </c>
      <c r="AB644" t="s">
        <v>6951</v>
      </c>
      <c r="AC644" t="s">
        <v>6952</v>
      </c>
      <c r="AD644" t="s">
        <v>6953</v>
      </c>
      <c r="AE644" t="s">
        <v>6954</v>
      </c>
      <c r="AF644" t="s">
        <v>6955</v>
      </c>
      <c r="AG644" t="s">
        <v>6956</v>
      </c>
      <c r="AH644" t="s">
        <v>6957</v>
      </c>
      <c r="AI644" t="s">
        <v>6958</v>
      </c>
      <c r="AJ644" t="s">
        <v>6959</v>
      </c>
      <c r="AR644" t="s">
        <v>4284</v>
      </c>
    </row>
    <row r="645" spans="1:44">
      <c r="A645">
        <v>11127139</v>
      </c>
      <c r="B645" t="s">
        <v>739</v>
      </c>
      <c r="C645" t="s">
        <v>1225</v>
      </c>
      <c r="D645" t="s">
        <v>1935</v>
      </c>
      <c r="E645" t="s">
        <v>1936</v>
      </c>
      <c r="F645" t="s">
        <v>1810</v>
      </c>
      <c r="G645" t="s">
        <v>1811</v>
      </c>
      <c r="H645" t="s">
        <v>2380</v>
      </c>
      <c r="I645" t="s">
        <v>4469</v>
      </c>
      <c r="J645" t="s">
        <v>3531</v>
      </c>
      <c r="K645" t="s">
        <v>3532</v>
      </c>
      <c r="M645">
        <v>50</v>
      </c>
      <c r="N645">
        <v>70</v>
      </c>
      <c r="O645" t="s">
        <v>2437</v>
      </c>
      <c r="P645" t="s">
        <v>2437</v>
      </c>
      <c r="R645" t="s">
        <v>2437</v>
      </c>
      <c r="T645" t="s">
        <v>2444</v>
      </c>
      <c r="U645" t="s">
        <v>2437</v>
      </c>
      <c r="V645" t="s">
        <v>2559</v>
      </c>
      <c r="Y645" t="s">
        <v>6948</v>
      </c>
      <c r="Z645" t="s">
        <v>6949</v>
      </c>
      <c r="AA645" t="s">
        <v>6950</v>
      </c>
      <c r="AB645" t="s">
        <v>6951</v>
      </c>
      <c r="AC645" t="s">
        <v>6952</v>
      </c>
      <c r="AD645" t="s">
        <v>6953</v>
      </c>
      <c r="AE645" t="s">
        <v>6954</v>
      </c>
      <c r="AF645" t="s">
        <v>6955</v>
      </c>
      <c r="AG645" t="s">
        <v>6956</v>
      </c>
      <c r="AH645" t="s">
        <v>6957</v>
      </c>
      <c r="AI645" t="s">
        <v>6958</v>
      </c>
      <c r="AJ645" t="s">
        <v>6959</v>
      </c>
      <c r="AR645" t="s">
        <v>4284</v>
      </c>
    </row>
    <row r="646" spans="1:44">
      <c r="A646">
        <v>11127032</v>
      </c>
      <c r="B646" t="s">
        <v>740</v>
      </c>
      <c r="C646" t="s">
        <v>1195</v>
      </c>
      <c r="D646" t="s">
        <v>1943</v>
      </c>
      <c r="E646" t="s">
        <v>1944</v>
      </c>
      <c r="F646" t="s">
        <v>1945</v>
      </c>
      <c r="G646" t="s">
        <v>1946</v>
      </c>
      <c r="H646" t="s">
        <v>2381</v>
      </c>
      <c r="I646" t="s">
        <v>4550</v>
      </c>
      <c r="J646" t="s">
        <v>3587</v>
      </c>
      <c r="K646" t="s">
        <v>3588</v>
      </c>
      <c r="M646">
        <v>50</v>
      </c>
      <c r="N646">
        <v>70</v>
      </c>
      <c r="O646">
        <v>68</v>
      </c>
      <c r="P646">
        <v>105</v>
      </c>
      <c r="R646" t="s">
        <v>2437</v>
      </c>
      <c r="T646" t="s">
        <v>3589</v>
      </c>
      <c r="U646" t="s">
        <v>3590</v>
      </c>
      <c r="V646" t="s">
        <v>89</v>
      </c>
      <c r="Y646" t="s">
        <v>6948</v>
      </c>
      <c r="Z646" t="s">
        <v>6949</v>
      </c>
      <c r="AA646" t="s">
        <v>6950</v>
      </c>
      <c r="AB646" t="s">
        <v>6951</v>
      </c>
      <c r="AC646" t="s">
        <v>6952</v>
      </c>
      <c r="AD646" t="s">
        <v>6953</v>
      </c>
      <c r="AE646" t="s">
        <v>6954</v>
      </c>
      <c r="AF646" t="s">
        <v>6955</v>
      </c>
      <c r="AG646" t="s">
        <v>6956</v>
      </c>
      <c r="AH646" t="s">
        <v>6957</v>
      </c>
      <c r="AI646" t="s">
        <v>6958</v>
      </c>
      <c r="AJ646" t="s">
        <v>6959</v>
      </c>
      <c r="AK646" t="s">
        <v>6969</v>
      </c>
      <c r="AL646" t="s">
        <v>6970</v>
      </c>
      <c r="AM646" t="s">
        <v>6971</v>
      </c>
      <c r="AN646" t="s">
        <v>6972</v>
      </c>
      <c r="AR646" t="s">
        <v>4284</v>
      </c>
    </row>
    <row r="647" spans="1:44">
      <c r="A647">
        <v>11127033</v>
      </c>
      <c r="B647" t="s">
        <v>741</v>
      </c>
      <c r="C647" t="s">
        <v>1196</v>
      </c>
      <c r="D647" t="s">
        <v>1943</v>
      </c>
      <c r="E647" t="s">
        <v>1944</v>
      </c>
      <c r="F647" t="s">
        <v>1945</v>
      </c>
      <c r="G647" t="s">
        <v>1946</v>
      </c>
      <c r="H647" t="s">
        <v>2382</v>
      </c>
      <c r="I647" t="s">
        <v>4551</v>
      </c>
      <c r="J647" t="s">
        <v>3591</v>
      </c>
      <c r="K647" t="s">
        <v>3592</v>
      </c>
      <c r="M647">
        <v>50</v>
      </c>
      <c r="N647">
        <v>70</v>
      </c>
      <c r="O647">
        <v>68</v>
      </c>
      <c r="P647">
        <v>105</v>
      </c>
      <c r="R647" t="s">
        <v>2437</v>
      </c>
      <c r="T647" t="s">
        <v>3593</v>
      </c>
      <c r="U647" t="s">
        <v>3594</v>
      </c>
      <c r="V647" t="s">
        <v>89</v>
      </c>
      <c r="Y647" t="s">
        <v>6948</v>
      </c>
      <c r="Z647" t="s">
        <v>6949</v>
      </c>
      <c r="AA647" t="s">
        <v>6950</v>
      </c>
      <c r="AB647" t="s">
        <v>6951</v>
      </c>
      <c r="AC647" t="s">
        <v>6952</v>
      </c>
      <c r="AD647" t="s">
        <v>6953</v>
      </c>
      <c r="AE647" t="s">
        <v>6954</v>
      </c>
      <c r="AF647" t="s">
        <v>6955</v>
      </c>
      <c r="AG647" t="s">
        <v>6956</v>
      </c>
      <c r="AH647" t="s">
        <v>6957</v>
      </c>
      <c r="AI647" t="s">
        <v>6958</v>
      </c>
      <c r="AJ647" t="s">
        <v>6959</v>
      </c>
      <c r="AK647" t="s">
        <v>6969</v>
      </c>
      <c r="AL647" t="s">
        <v>6970</v>
      </c>
      <c r="AM647" t="s">
        <v>6971</v>
      </c>
      <c r="AN647" t="s">
        <v>6972</v>
      </c>
      <c r="AR647" t="s">
        <v>4284</v>
      </c>
    </row>
    <row r="648" spans="1:44">
      <c r="A648">
        <v>11127034</v>
      </c>
      <c r="B648" t="s">
        <v>742</v>
      </c>
      <c r="C648" t="s">
        <v>1177</v>
      </c>
      <c r="D648" t="s">
        <v>1947</v>
      </c>
      <c r="E648" t="s">
        <v>1948</v>
      </c>
      <c r="F648" t="s">
        <v>1818</v>
      </c>
      <c r="G648" t="s">
        <v>1819</v>
      </c>
      <c r="H648" t="s">
        <v>2383</v>
      </c>
      <c r="I648" t="s">
        <v>4552</v>
      </c>
      <c r="J648" t="s">
        <v>3595</v>
      </c>
      <c r="K648" t="s">
        <v>3596</v>
      </c>
      <c r="M648">
        <v>50</v>
      </c>
      <c r="N648">
        <v>70</v>
      </c>
      <c r="O648">
        <v>68</v>
      </c>
      <c r="P648">
        <v>105</v>
      </c>
      <c r="R648" t="s">
        <v>2437</v>
      </c>
      <c r="T648" t="s">
        <v>3597</v>
      </c>
      <c r="U648" t="s">
        <v>3598</v>
      </c>
      <c r="V648" t="s">
        <v>2437</v>
      </c>
      <c r="Y648" t="s">
        <v>6948</v>
      </c>
      <c r="Z648" t="s">
        <v>6949</v>
      </c>
      <c r="AA648" t="s">
        <v>6950</v>
      </c>
      <c r="AB648" t="s">
        <v>6951</v>
      </c>
      <c r="AC648" t="s">
        <v>6952</v>
      </c>
      <c r="AD648" t="s">
        <v>6953</v>
      </c>
      <c r="AE648" t="s">
        <v>6954</v>
      </c>
      <c r="AF648" t="s">
        <v>6955</v>
      </c>
      <c r="AG648" t="s">
        <v>6956</v>
      </c>
      <c r="AH648" t="s">
        <v>6957</v>
      </c>
      <c r="AI648" t="s">
        <v>6958</v>
      </c>
      <c r="AJ648" t="s">
        <v>6959</v>
      </c>
      <c r="AK648" t="s">
        <v>6969</v>
      </c>
      <c r="AL648" t="s">
        <v>6970</v>
      </c>
      <c r="AM648" t="s">
        <v>6971</v>
      </c>
      <c r="AN648" t="s">
        <v>6972</v>
      </c>
      <c r="AR648" t="s">
        <v>4284</v>
      </c>
    </row>
    <row r="649" spans="1:44">
      <c r="A649">
        <v>11127035</v>
      </c>
      <c r="B649" t="s">
        <v>743</v>
      </c>
      <c r="C649" t="s">
        <v>1081</v>
      </c>
      <c r="D649" t="s">
        <v>1947</v>
      </c>
      <c r="E649" t="s">
        <v>1948</v>
      </c>
      <c r="F649" t="s">
        <v>1818</v>
      </c>
      <c r="G649" t="s">
        <v>1819</v>
      </c>
      <c r="H649" t="s">
        <v>2384</v>
      </c>
      <c r="I649" t="s">
        <v>4553</v>
      </c>
      <c r="J649" t="s">
        <v>3599</v>
      </c>
      <c r="K649" t="s">
        <v>3600</v>
      </c>
      <c r="M649">
        <v>50</v>
      </c>
      <c r="N649">
        <v>70</v>
      </c>
      <c r="O649">
        <v>68</v>
      </c>
      <c r="P649">
        <v>105</v>
      </c>
      <c r="R649" t="s">
        <v>2437</v>
      </c>
      <c r="T649" t="s">
        <v>3601</v>
      </c>
      <c r="U649" t="s">
        <v>3602</v>
      </c>
      <c r="V649" t="s">
        <v>89</v>
      </c>
      <c r="Y649" t="s">
        <v>6948</v>
      </c>
      <c r="Z649" t="s">
        <v>6949</v>
      </c>
      <c r="AA649" t="s">
        <v>6950</v>
      </c>
      <c r="AB649" t="s">
        <v>6951</v>
      </c>
      <c r="AC649" t="s">
        <v>6952</v>
      </c>
      <c r="AD649" t="s">
        <v>6953</v>
      </c>
      <c r="AE649" t="s">
        <v>6954</v>
      </c>
      <c r="AF649" t="s">
        <v>6955</v>
      </c>
      <c r="AG649" t="s">
        <v>6956</v>
      </c>
      <c r="AH649" t="s">
        <v>6957</v>
      </c>
      <c r="AI649" t="s">
        <v>6958</v>
      </c>
      <c r="AJ649" t="s">
        <v>6959</v>
      </c>
      <c r="AK649" t="s">
        <v>6969</v>
      </c>
      <c r="AL649" t="s">
        <v>6970</v>
      </c>
      <c r="AM649" t="s">
        <v>6971</v>
      </c>
      <c r="AN649" t="s">
        <v>6972</v>
      </c>
      <c r="AR649" t="s">
        <v>4284</v>
      </c>
    </row>
    <row r="650" spans="1:44">
      <c r="A650">
        <v>11127036</v>
      </c>
      <c r="B650" t="s">
        <v>744</v>
      </c>
      <c r="C650" t="s">
        <v>1197</v>
      </c>
      <c r="D650" t="s">
        <v>1949</v>
      </c>
      <c r="E650" t="s">
        <v>1950</v>
      </c>
      <c r="F650" t="s">
        <v>1951</v>
      </c>
      <c r="G650" t="s">
        <v>1952</v>
      </c>
      <c r="H650" t="s">
        <v>2385</v>
      </c>
      <c r="I650" t="s">
        <v>4554</v>
      </c>
      <c r="J650" t="s">
        <v>3603</v>
      </c>
      <c r="K650" t="s">
        <v>3604</v>
      </c>
      <c r="M650">
        <v>50</v>
      </c>
      <c r="N650">
        <v>70</v>
      </c>
      <c r="O650">
        <v>68</v>
      </c>
      <c r="P650">
        <v>105</v>
      </c>
      <c r="R650" t="s">
        <v>2437</v>
      </c>
      <c r="T650" t="s">
        <v>3605</v>
      </c>
      <c r="U650" t="s">
        <v>3606</v>
      </c>
      <c r="V650" t="s">
        <v>89</v>
      </c>
      <c r="Y650" t="s">
        <v>6948</v>
      </c>
      <c r="Z650" t="s">
        <v>6949</v>
      </c>
      <c r="AA650" t="s">
        <v>6950</v>
      </c>
      <c r="AB650" t="s">
        <v>6951</v>
      </c>
      <c r="AC650" t="s">
        <v>6952</v>
      </c>
      <c r="AD650" t="s">
        <v>6953</v>
      </c>
      <c r="AE650" t="s">
        <v>6954</v>
      </c>
      <c r="AF650" t="s">
        <v>6955</v>
      </c>
      <c r="AG650" t="s">
        <v>6956</v>
      </c>
      <c r="AH650" t="s">
        <v>6957</v>
      </c>
      <c r="AI650" t="s">
        <v>6958</v>
      </c>
      <c r="AJ650" t="s">
        <v>6959</v>
      </c>
      <c r="AK650" t="s">
        <v>6969</v>
      </c>
      <c r="AL650" t="s">
        <v>6970</v>
      </c>
      <c r="AM650" t="s">
        <v>6971</v>
      </c>
      <c r="AN650" t="s">
        <v>6972</v>
      </c>
      <c r="AR650" t="s">
        <v>4284</v>
      </c>
    </row>
    <row r="651" spans="1:44">
      <c r="A651">
        <v>11127037</v>
      </c>
      <c r="B651" t="s">
        <v>745</v>
      </c>
      <c r="C651" t="s">
        <v>1006</v>
      </c>
      <c r="D651" t="s">
        <v>1949</v>
      </c>
      <c r="E651" t="s">
        <v>1950</v>
      </c>
      <c r="F651" t="s">
        <v>1951</v>
      </c>
      <c r="G651" t="s">
        <v>1952</v>
      </c>
      <c r="H651" t="s">
        <v>2386</v>
      </c>
      <c r="I651" t="s">
        <v>4555</v>
      </c>
      <c r="J651" t="s">
        <v>3607</v>
      </c>
      <c r="K651" t="s">
        <v>3608</v>
      </c>
      <c r="M651">
        <v>50</v>
      </c>
      <c r="N651">
        <v>70</v>
      </c>
      <c r="O651">
        <v>68</v>
      </c>
      <c r="P651">
        <v>105</v>
      </c>
      <c r="R651" t="s">
        <v>2437</v>
      </c>
      <c r="T651" t="s">
        <v>3609</v>
      </c>
      <c r="U651" t="s">
        <v>3610</v>
      </c>
      <c r="V651" t="s">
        <v>89</v>
      </c>
      <c r="Y651" t="s">
        <v>6948</v>
      </c>
      <c r="Z651" t="s">
        <v>6949</v>
      </c>
      <c r="AA651" t="s">
        <v>6950</v>
      </c>
      <c r="AB651" t="s">
        <v>6951</v>
      </c>
      <c r="AC651" t="s">
        <v>6952</v>
      </c>
      <c r="AD651" t="s">
        <v>6953</v>
      </c>
      <c r="AE651" t="s">
        <v>6954</v>
      </c>
      <c r="AF651" t="s">
        <v>6955</v>
      </c>
      <c r="AG651" t="s">
        <v>6956</v>
      </c>
      <c r="AH651" t="s">
        <v>6957</v>
      </c>
      <c r="AI651" t="s">
        <v>6958</v>
      </c>
      <c r="AJ651" t="s">
        <v>6959</v>
      </c>
      <c r="AK651" t="s">
        <v>6969</v>
      </c>
      <c r="AL651" t="s">
        <v>6970</v>
      </c>
      <c r="AM651" t="s">
        <v>6971</v>
      </c>
      <c r="AN651" t="s">
        <v>6972</v>
      </c>
      <c r="AR651" t="s">
        <v>4284</v>
      </c>
    </row>
    <row r="652" spans="1:44">
      <c r="A652">
        <v>11127038</v>
      </c>
      <c r="B652" t="s">
        <v>746</v>
      </c>
      <c r="C652" t="s">
        <v>1088</v>
      </c>
      <c r="D652" t="s">
        <v>1953</v>
      </c>
      <c r="E652" t="s">
        <v>1954</v>
      </c>
      <c r="F652" t="s">
        <v>1955</v>
      </c>
      <c r="G652" t="s">
        <v>1956</v>
      </c>
      <c r="H652" t="s">
        <v>2387</v>
      </c>
      <c r="I652" t="s">
        <v>4556</v>
      </c>
      <c r="J652" t="s">
        <v>3611</v>
      </c>
      <c r="K652" t="s">
        <v>3612</v>
      </c>
      <c r="M652">
        <v>50</v>
      </c>
      <c r="N652">
        <v>70</v>
      </c>
      <c r="O652">
        <v>68</v>
      </c>
      <c r="P652">
        <v>105</v>
      </c>
      <c r="R652" t="s">
        <v>2437</v>
      </c>
      <c r="T652" t="s">
        <v>3613</v>
      </c>
      <c r="U652" t="s">
        <v>3614</v>
      </c>
      <c r="V652" t="s">
        <v>2437</v>
      </c>
      <c r="Y652" t="s">
        <v>6948</v>
      </c>
      <c r="Z652" t="s">
        <v>6949</v>
      </c>
      <c r="AA652" t="s">
        <v>6950</v>
      </c>
      <c r="AB652" t="s">
        <v>6951</v>
      </c>
      <c r="AC652" t="s">
        <v>6952</v>
      </c>
      <c r="AD652" t="s">
        <v>6953</v>
      </c>
      <c r="AE652" t="s">
        <v>6954</v>
      </c>
      <c r="AF652" t="s">
        <v>6955</v>
      </c>
      <c r="AG652" t="s">
        <v>6956</v>
      </c>
      <c r="AH652" t="s">
        <v>6957</v>
      </c>
      <c r="AI652" t="s">
        <v>6958</v>
      </c>
      <c r="AJ652" t="s">
        <v>6959</v>
      </c>
      <c r="AK652" t="s">
        <v>6969</v>
      </c>
      <c r="AL652" t="s">
        <v>6970</v>
      </c>
      <c r="AM652" t="s">
        <v>6971</v>
      </c>
      <c r="AN652" t="s">
        <v>6972</v>
      </c>
      <c r="AR652" t="s">
        <v>4284</v>
      </c>
    </row>
    <row r="653" spans="1:44">
      <c r="A653">
        <v>11127043</v>
      </c>
      <c r="B653" t="s">
        <v>747</v>
      </c>
      <c r="C653" t="s">
        <v>996</v>
      </c>
      <c r="D653" t="s">
        <v>1957</v>
      </c>
      <c r="E653" t="s">
        <v>1553</v>
      </c>
      <c r="F653" t="s">
        <v>1958</v>
      </c>
      <c r="G653" t="s">
        <v>1959</v>
      </c>
      <c r="H653" t="s">
        <v>2388</v>
      </c>
      <c r="I653" t="s">
        <v>4557</v>
      </c>
      <c r="J653" t="s">
        <v>3615</v>
      </c>
      <c r="K653" t="s">
        <v>3616</v>
      </c>
      <c r="M653">
        <v>50</v>
      </c>
      <c r="N653">
        <v>70</v>
      </c>
      <c r="O653">
        <v>68</v>
      </c>
      <c r="P653">
        <v>105</v>
      </c>
      <c r="R653" t="s">
        <v>2437</v>
      </c>
      <c r="T653" t="s">
        <v>3617</v>
      </c>
      <c r="U653" t="s">
        <v>3618</v>
      </c>
      <c r="V653" t="s">
        <v>2437</v>
      </c>
      <c r="Y653" t="s">
        <v>6948</v>
      </c>
      <c r="Z653" t="s">
        <v>6949</v>
      </c>
      <c r="AA653" t="s">
        <v>6950</v>
      </c>
      <c r="AB653" t="s">
        <v>6951</v>
      </c>
      <c r="AC653" t="s">
        <v>6952</v>
      </c>
      <c r="AD653" t="s">
        <v>6953</v>
      </c>
      <c r="AE653" t="s">
        <v>6954</v>
      </c>
      <c r="AF653" t="s">
        <v>6955</v>
      </c>
      <c r="AG653" t="s">
        <v>6956</v>
      </c>
      <c r="AH653" t="s">
        <v>6957</v>
      </c>
      <c r="AI653" t="s">
        <v>6958</v>
      </c>
      <c r="AJ653" t="s">
        <v>6959</v>
      </c>
      <c r="AK653" t="s">
        <v>6969</v>
      </c>
      <c r="AL653" t="s">
        <v>6970</v>
      </c>
      <c r="AM653" t="s">
        <v>6971</v>
      </c>
      <c r="AN653" t="s">
        <v>6972</v>
      </c>
      <c r="AR653" t="s">
        <v>4284</v>
      </c>
    </row>
    <row r="654" spans="1:44">
      <c r="A654">
        <v>11127054</v>
      </c>
      <c r="B654" t="s">
        <v>748</v>
      </c>
      <c r="C654" t="s">
        <v>1285</v>
      </c>
      <c r="D654" t="s">
        <v>1960</v>
      </c>
      <c r="E654" t="s">
        <v>1961</v>
      </c>
      <c r="F654" t="s">
        <v>1962</v>
      </c>
      <c r="G654" t="s">
        <v>1963</v>
      </c>
      <c r="H654" t="s">
        <v>2389</v>
      </c>
      <c r="I654" t="s">
        <v>4558</v>
      </c>
      <c r="J654" t="s">
        <v>3619</v>
      </c>
      <c r="K654" t="s">
        <v>3620</v>
      </c>
      <c r="M654">
        <v>60</v>
      </c>
      <c r="N654">
        <v>70</v>
      </c>
      <c r="O654">
        <v>68</v>
      </c>
      <c r="P654">
        <v>105</v>
      </c>
      <c r="R654" t="s">
        <v>2437</v>
      </c>
      <c r="T654" t="s">
        <v>3621</v>
      </c>
      <c r="U654" t="s">
        <v>3622</v>
      </c>
      <c r="V654" t="s">
        <v>89</v>
      </c>
      <c r="Y654" t="s">
        <v>6948</v>
      </c>
      <c r="Z654" t="s">
        <v>6949</v>
      </c>
      <c r="AA654" t="s">
        <v>6950</v>
      </c>
      <c r="AB654" t="s">
        <v>6951</v>
      </c>
      <c r="AC654" t="s">
        <v>6952</v>
      </c>
      <c r="AD654" t="s">
        <v>6953</v>
      </c>
      <c r="AE654" t="s">
        <v>6961</v>
      </c>
      <c r="AF654" t="s">
        <v>6962</v>
      </c>
      <c r="AG654" t="s">
        <v>6963</v>
      </c>
      <c r="AH654" t="s">
        <v>6964</v>
      </c>
      <c r="AI654" t="s">
        <v>6965</v>
      </c>
      <c r="AJ654" t="s">
        <v>6966</v>
      </c>
      <c r="AK654" t="s">
        <v>6969</v>
      </c>
      <c r="AL654" t="s">
        <v>6970</v>
      </c>
      <c r="AM654" t="s">
        <v>6971</v>
      </c>
      <c r="AN654" t="s">
        <v>6972</v>
      </c>
      <c r="AR654" t="s">
        <v>4284</v>
      </c>
    </row>
    <row r="655" spans="1:44">
      <c r="A655">
        <v>11127066</v>
      </c>
      <c r="B655" t="s">
        <v>749</v>
      </c>
      <c r="C655" t="s">
        <v>1280</v>
      </c>
      <c r="D655" t="s">
        <v>1964</v>
      </c>
      <c r="E655" t="s">
        <v>1491</v>
      </c>
      <c r="F655" t="s">
        <v>1784</v>
      </c>
      <c r="G655" t="s">
        <v>1785</v>
      </c>
      <c r="H655" t="s">
        <v>2390</v>
      </c>
      <c r="I655" t="s">
        <v>4559</v>
      </c>
      <c r="J655" t="s">
        <v>3623</v>
      </c>
      <c r="K655" t="s">
        <v>3624</v>
      </c>
      <c r="M655">
        <v>60</v>
      </c>
      <c r="N655">
        <v>70</v>
      </c>
      <c r="O655">
        <v>68</v>
      </c>
      <c r="P655">
        <v>105</v>
      </c>
      <c r="R655" t="s">
        <v>2437</v>
      </c>
      <c r="T655" t="s">
        <v>3625</v>
      </c>
      <c r="U655" t="s">
        <v>3626</v>
      </c>
      <c r="V655" t="s">
        <v>2437</v>
      </c>
      <c r="Y655" t="s">
        <v>6948</v>
      </c>
      <c r="Z655" t="s">
        <v>6949</v>
      </c>
      <c r="AA655" t="s">
        <v>6950</v>
      </c>
      <c r="AB655" t="s">
        <v>6951</v>
      </c>
      <c r="AC655" t="s">
        <v>6952</v>
      </c>
      <c r="AD655" t="s">
        <v>6953</v>
      </c>
      <c r="AE655" t="s">
        <v>6961</v>
      </c>
      <c r="AF655" t="s">
        <v>6962</v>
      </c>
      <c r="AG655" t="s">
        <v>6963</v>
      </c>
      <c r="AH655" t="s">
        <v>6964</v>
      </c>
      <c r="AI655" t="s">
        <v>6965</v>
      </c>
      <c r="AJ655" t="s">
        <v>6966</v>
      </c>
      <c r="AK655" t="s">
        <v>6969</v>
      </c>
      <c r="AL655" t="s">
        <v>6970</v>
      </c>
      <c r="AM655" t="s">
        <v>6971</v>
      </c>
      <c r="AN655" t="s">
        <v>6972</v>
      </c>
      <c r="AR655" t="s">
        <v>4284</v>
      </c>
    </row>
    <row r="656" spans="1:44">
      <c r="A656">
        <v>11127067</v>
      </c>
      <c r="B656" t="s">
        <v>750</v>
      </c>
      <c r="C656" t="s">
        <v>1281</v>
      </c>
      <c r="D656" t="s">
        <v>1964</v>
      </c>
      <c r="E656" t="s">
        <v>1491</v>
      </c>
      <c r="F656" t="s">
        <v>1784</v>
      </c>
      <c r="G656" t="s">
        <v>1785</v>
      </c>
      <c r="H656" t="s">
        <v>2391</v>
      </c>
      <c r="I656" t="s">
        <v>4560</v>
      </c>
      <c r="J656" t="s">
        <v>3627</v>
      </c>
      <c r="K656" t="s">
        <v>3628</v>
      </c>
      <c r="M656">
        <v>60</v>
      </c>
      <c r="N656">
        <v>70</v>
      </c>
      <c r="O656">
        <v>68</v>
      </c>
      <c r="P656">
        <v>105</v>
      </c>
      <c r="R656" t="s">
        <v>2437</v>
      </c>
      <c r="T656" t="s">
        <v>3629</v>
      </c>
      <c r="U656" t="s">
        <v>3630</v>
      </c>
      <c r="V656" t="s">
        <v>2437</v>
      </c>
      <c r="Y656" t="s">
        <v>6948</v>
      </c>
      <c r="Z656" t="s">
        <v>6949</v>
      </c>
      <c r="AA656" t="s">
        <v>6950</v>
      </c>
      <c r="AB656" t="s">
        <v>6951</v>
      </c>
      <c r="AC656" t="s">
        <v>6952</v>
      </c>
      <c r="AD656" t="s">
        <v>6953</v>
      </c>
      <c r="AE656" t="s">
        <v>6961</v>
      </c>
      <c r="AF656" t="s">
        <v>6962</v>
      </c>
      <c r="AG656" t="s">
        <v>6963</v>
      </c>
      <c r="AH656" t="s">
        <v>6964</v>
      </c>
      <c r="AI656" t="s">
        <v>6965</v>
      </c>
      <c r="AJ656" t="s">
        <v>6966</v>
      </c>
      <c r="AK656" t="s">
        <v>6969</v>
      </c>
      <c r="AL656" t="s">
        <v>6970</v>
      </c>
      <c r="AM656" t="s">
        <v>6971</v>
      </c>
      <c r="AN656" t="s">
        <v>6972</v>
      </c>
      <c r="AR656" t="s">
        <v>4284</v>
      </c>
    </row>
    <row r="657" spans="1:44">
      <c r="A657">
        <v>11127073</v>
      </c>
      <c r="B657" t="s">
        <v>751</v>
      </c>
      <c r="C657" t="s">
        <v>1274</v>
      </c>
      <c r="D657" t="s">
        <v>1965</v>
      </c>
      <c r="E657" t="s">
        <v>1489</v>
      </c>
      <c r="F657" t="s">
        <v>1729</v>
      </c>
      <c r="G657" t="s">
        <v>1728</v>
      </c>
      <c r="H657" t="s">
        <v>2332</v>
      </c>
      <c r="I657" t="s">
        <v>4561</v>
      </c>
      <c r="J657" t="s">
        <v>2571</v>
      </c>
      <c r="K657" t="s">
        <v>2572</v>
      </c>
      <c r="M657">
        <v>60</v>
      </c>
      <c r="N657">
        <v>70</v>
      </c>
      <c r="O657">
        <v>68</v>
      </c>
      <c r="P657">
        <v>105</v>
      </c>
      <c r="R657" t="s">
        <v>2437</v>
      </c>
      <c r="T657" t="s">
        <v>2573</v>
      </c>
      <c r="U657" t="s">
        <v>2574</v>
      </c>
      <c r="V657" t="s">
        <v>89</v>
      </c>
      <c r="Y657" t="s">
        <v>6948</v>
      </c>
      <c r="Z657" t="s">
        <v>6949</v>
      </c>
      <c r="AA657" t="s">
        <v>6950</v>
      </c>
      <c r="AB657" t="s">
        <v>6951</v>
      </c>
      <c r="AC657" t="s">
        <v>6952</v>
      </c>
      <c r="AD657" t="s">
        <v>6953</v>
      </c>
      <c r="AE657" t="s">
        <v>6961</v>
      </c>
      <c r="AF657" t="s">
        <v>6962</v>
      </c>
      <c r="AG657" t="s">
        <v>6963</v>
      </c>
      <c r="AH657" t="s">
        <v>6964</v>
      </c>
      <c r="AI657" t="s">
        <v>6965</v>
      </c>
      <c r="AJ657" t="s">
        <v>6966</v>
      </c>
      <c r="AK657" t="s">
        <v>6969</v>
      </c>
      <c r="AL657" t="s">
        <v>6970</v>
      </c>
      <c r="AM657" t="s">
        <v>6971</v>
      </c>
      <c r="AN657" t="s">
        <v>6972</v>
      </c>
      <c r="AR657" t="s">
        <v>4284</v>
      </c>
    </row>
    <row r="658" spans="1:44">
      <c r="A658">
        <v>11126299</v>
      </c>
      <c r="B658" t="s">
        <v>752</v>
      </c>
      <c r="C658" t="s">
        <v>1344</v>
      </c>
      <c r="D658" t="s">
        <v>1966</v>
      </c>
      <c r="E658" t="s">
        <v>1967</v>
      </c>
      <c r="F658" t="s">
        <v>1968</v>
      </c>
      <c r="G658" t="s">
        <v>1969</v>
      </c>
      <c r="H658" t="s">
        <v>2392</v>
      </c>
      <c r="I658" t="s">
        <v>4562</v>
      </c>
      <c r="J658" t="s">
        <v>3631</v>
      </c>
      <c r="K658" t="s">
        <v>3632</v>
      </c>
      <c r="M658">
        <v>60</v>
      </c>
      <c r="N658">
        <v>70</v>
      </c>
      <c r="O658" t="s">
        <v>2437</v>
      </c>
      <c r="P658" t="s">
        <v>2437</v>
      </c>
      <c r="R658" t="s">
        <v>2437</v>
      </c>
      <c r="T658" t="s">
        <v>2437</v>
      </c>
      <c r="U658" t="s">
        <v>2437</v>
      </c>
      <c r="V658" t="s">
        <v>2437</v>
      </c>
      <c r="Y658" t="s">
        <v>6948</v>
      </c>
      <c r="Z658" t="s">
        <v>6949</v>
      </c>
      <c r="AA658" t="s">
        <v>6950</v>
      </c>
      <c r="AB658" t="s">
        <v>6951</v>
      </c>
      <c r="AC658" t="s">
        <v>6952</v>
      </c>
      <c r="AD658" t="s">
        <v>6953</v>
      </c>
      <c r="AE658" t="s">
        <v>6961</v>
      </c>
      <c r="AF658" t="s">
        <v>6962</v>
      </c>
      <c r="AG658" t="s">
        <v>6963</v>
      </c>
      <c r="AH658" t="s">
        <v>6964</v>
      </c>
      <c r="AI658" t="s">
        <v>6965</v>
      </c>
      <c r="AJ658" t="s">
        <v>6966</v>
      </c>
      <c r="AR658" t="s">
        <v>4284</v>
      </c>
    </row>
    <row r="659" spans="1:44">
      <c r="A659">
        <v>11126300</v>
      </c>
      <c r="B659" t="s">
        <v>753</v>
      </c>
      <c r="C659" t="s">
        <v>1345</v>
      </c>
      <c r="D659" t="s">
        <v>1966</v>
      </c>
      <c r="E659" t="s">
        <v>1967</v>
      </c>
      <c r="F659" t="s">
        <v>1968</v>
      </c>
      <c r="G659" t="s">
        <v>1969</v>
      </c>
      <c r="H659" t="s">
        <v>2393</v>
      </c>
      <c r="I659" t="s">
        <v>4563</v>
      </c>
      <c r="J659" t="s">
        <v>3633</v>
      </c>
      <c r="K659" t="s">
        <v>3634</v>
      </c>
      <c r="M659">
        <v>60</v>
      </c>
      <c r="N659">
        <v>70</v>
      </c>
      <c r="O659" t="s">
        <v>2437</v>
      </c>
      <c r="P659" t="s">
        <v>2437</v>
      </c>
      <c r="R659" t="s">
        <v>2437</v>
      </c>
      <c r="T659" t="s">
        <v>2437</v>
      </c>
      <c r="U659" t="s">
        <v>2437</v>
      </c>
      <c r="V659" t="s">
        <v>2437</v>
      </c>
      <c r="Y659" t="s">
        <v>6948</v>
      </c>
      <c r="Z659" t="s">
        <v>6949</v>
      </c>
      <c r="AA659" t="s">
        <v>6950</v>
      </c>
      <c r="AB659" t="s">
        <v>6951</v>
      </c>
      <c r="AC659" t="s">
        <v>6952</v>
      </c>
      <c r="AD659" t="s">
        <v>6953</v>
      </c>
      <c r="AE659" t="s">
        <v>6961</v>
      </c>
      <c r="AF659" t="s">
        <v>6962</v>
      </c>
      <c r="AG659" t="s">
        <v>6963</v>
      </c>
      <c r="AH659" t="s">
        <v>6964</v>
      </c>
      <c r="AI659" t="s">
        <v>6965</v>
      </c>
      <c r="AJ659" t="s">
        <v>6966</v>
      </c>
      <c r="AR659" t="s">
        <v>4284</v>
      </c>
    </row>
    <row r="660" spans="1:44">
      <c r="A660">
        <v>11126297</v>
      </c>
      <c r="B660" t="s">
        <v>754</v>
      </c>
      <c r="C660" t="s">
        <v>1346</v>
      </c>
      <c r="D660" t="s">
        <v>1966</v>
      </c>
      <c r="E660" t="s">
        <v>1967</v>
      </c>
      <c r="F660" t="s">
        <v>1968</v>
      </c>
      <c r="G660" t="s">
        <v>1969</v>
      </c>
      <c r="H660" t="s">
        <v>2394</v>
      </c>
      <c r="I660" t="s">
        <v>4564</v>
      </c>
      <c r="J660" t="s">
        <v>3635</v>
      </c>
      <c r="K660" t="s">
        <v>3636</v>
      </c>
      <c r="M660">
        <v>60</v>
      </c>
      <c r="N660">
        <v>70</v>
      </c>
      <c r="O660" t="s">
        <v>2437</v>
      </c>
      <c r="P660" t="s">
        <v>2437</v>
      </c>
      <c r="R660" t="s">
        <v>2437</v>
      </c>
      <c r="T660" t="s">
        <v>2437</v>
      </c>
      <c r="U660" t="s">
        <v>2437</v>
      </c>
      <c r="V660" t="s">
        <v>2437</v>
      </c>
      <c r="Y660" t="s">
        <v>6948</v>
      </c>
      <c r="Z660" t="s">
        <v>6949</v>
      </c>
      <c r="AA660" t="s">
        <v>6950</v>
      </c>
      <c r="AB660" t="s">
        <v>6951</v>
      </c>
      <c r="AC660" t="s">
        <v>6952</v>
      </c>
      <c r="AD660" t="s">
        <v>6953</v>
      </c>
      <c r="AE660" t="s">
        <v>6961</v>
      </c>
      <c r="AF660" t="s">
        <v>6962</v>
      </c>
      <c r="AG660" t="s">
        <v>6963</v>
      </c>
      <c r="AH660" t="s">
        <v>6964</v>
      </c>
      <c r="AI660" t="s">
        <v>6965</v>
      </c>
      <c r="AJ660" t="s">
        <v>6966</v>
      </c>
      <c r="AR660" t="s">
        <v>4284</v>
      </c>
    </row>
    <row r="661" spans="1:44">
      <c r="A661">
        <v>11126307</v>
      </c>
      <c r="B661" t="s">
        <v>755</v>
      </c>
      <c r="C661" t="s">
        <v>1347</v>
      </c>
      <c r="D661" t="s">
        <v>1970</v>
      </c>
      <c r="E661" t="s">
        <v>1971</v>
      </c>
      <c r="F661" t="s">
        <v>1972</v>
      </c>
      <c r="G661" t="s">
        <v>1973</v>
      </c>
      <c r="H661" t="s">
        <v>2395</v>
      </c>
      <c r="I661" t="s">
        <v>4565</v>
      </c>
      <c r="J661" t="s">
        <v>3637</v>
      </c>
      <c r="K661" t="s">
        <v>3638</v>
      </c>
      <c r="M661">
        <v>60</v>
      </c>
      <c r="N661">
        <v>70</v>
      </c>
      <c r="O661" t="s">
        <v>2437</v>
      </c>
      <c r="P661" t="s">
        <v>2437</v>
      </c>
      <c r="R661" t="s">
        <v>2437</v>
      </c>
      <c r="T661" t="s">
        <v>2437</v>
      </c>
      <c r="U661" t="s">
        <v>2437</v>
      </c>
      <c r="V661" t="s">
        <v>2437</v>
      </c>
      <c r="Y661" t="s">
        <v>6948</v>
      </c>
      <c r="Z661" t="s">
        <v>6949</v>
      </c>
      <c r="AA661" t="s">
        <v>6950</v>
      </c>
      <c r="AB661" t="s">
        <v>6951</v>
      </c>
      <c r="AC661" t="s">
        <v>6952</v>
      </c>
      <c r="AD661" t="s">
        <v>6953</v>
      </c>
      <c r="AE661" t="s">
        <v>6961</v>
      </c>
      <c r="AF661" t="s">
        <v>6962</v>
      </c>
      <c r="AG661" t="s">
        <v>6963</v>
      </c>
      <c r="AH661" t="s">
        <v>6964</v>
      </c>
      <c r="AI661" t="s">
        <v>6965</v>
      </c>
      <c r="AJ661" t="s">
        <v>6966</v>
      </c>
      <c r="AR661" t="s">
        <v>4284</v>
      </c>
    </row>
    <row r="662" spans="1:44">
      <c r="A662">
        <v>11126295</v>
      </c>
      <c r="B662" t="s">
        <v>756</v>
      </c>
      <c r="C662" t="s">
        <v>1348</v>
      </c>
      <c r="D662" t="s">
        <v>1966</v>
      </c>
      <c r="E662" t="s">
        <v>1967</v>
      </c>
      <c r="F662" t="s">
        <v>1968</v>
      </c>
      <c r="G662" t="s">
        <v>1969</v>
      </c>
      <c r="H662" t="s">
        <v>2396</v>
      </c>
      <c r="I662" t="s">
        <v>4566</v>
      </c>
      <c r="J662" t="s">
        <v>3639</v>
      </c>
      <c r="K662" t="s">
        <v>3640</v>
      </c>
      <c r="M662">
        <v>60</v>
      </c>
      <c r="N662">
        <v>70</v>
      </c>
      <c r="O662" t="s">
        <v>2437</v>
      </c>
      <c r="P662" t="s">
        <v>2437</v>
      </c>
      <c r="R662" t="s">
        <v>2437</v>
      </c>
      <c r="T662" t="s">
        <v>2437</v>
      </c>
      <c r="U662" t="s">
        <v>2437</v>
      </c>
      <c r="V662" t="s">
        <v>2437</v>
      </c>
      <c r="Y662" t="s">
        <v>6948</v>
      </c>
      <c r="Z662" t="s">
        <v>6949</v>
      </c>
      <c r="AA662" t="s">
        <v>6950</v>
      </c>
      <c r="AB662" t="s">
        <v>6951</v>
      </c>
      <c r="AC662" t="s">
        <v>6952</v>
      </c>
      <c r="AD662" t="s">
        <v>6953</v>
      </c>
      <c r="AE662" t="s">
        <v>6961</v>
      </c>
      <c r="AF662" t="s">
        <v>6962</v>
      </c>
      <c r="AG662" t="s">
        <v>6963</v>
      </c>
      <c r="AH662" t="s">
        <v>6964</v>
      </c>
      <c r="AI662" t="s">
        <v>6965</v>
      </c>
      <c r="AJ662" t="s">
        <v>6966</v>
      </c>
      <c r="AR662" t="s">
        <v>4284</v>
      </c>
    </row>
    <row r="663" spans="1:44">
      <c r="A663">
        <v>11125777</v>
      </c>
      <c r="B663" t="s">
        <v>757</v>
      </c>
      <c r="C663" t="s">
        <v>1207</v>
      </c>
      <c r="D663" t="s">
        <v>1815</v>
      </c>
      <c r="E663" t="s">
        <v>1516</v>
      </c>
      <c r="F663" t="s">
        <v>1517</v>
      </c>
      <c r="G663" t="s">
        <v>1518</v>
      </c>
      <c r="H663" t="s">
        <v>2212</v>
      </c>
      <c r="I663" t="s">
        <v>4406</v>
      </c>
      <c r="J663" t="s">
        <v>2549</v>
      </c>
      <c r="K663" t="s">
        <v>2550</v>
      </c>
      <c r="M663">
        <v>50</v>
      </c>
      <c r="N663">
        <v>70</v>
      </c>
      <c r="O663" t="s">
        <v>2437</v>
      </c>
      <c r="P663" t="s">
        <v>2437</v>
      </c>
      <c r="R663" t="s">
        <v>2437</v>
      </c>
      <c r="T663" t="s">
        <v>2437</v>
      </c>
      <c r="U663" t="s">
        <v>2437</v>
      </c>
      <c r="V663" t="s">
        <v>2437</v>
      </c>
      <c r="Y663" t="s">
        <v>6948</v>
      </c>
      <c r="Z663" t="s">
        <v>6949</v>
      </c>
      <c r="AA663" t="s">
        <v>6950</v>
      </c>
      <c r="AB663" t="s">
        <v>6951</v>
      </c>
      <c r="AC663" t="s">
        <v>6952</v>
      </c>
      <c r="AD663" t="s">
        <v>6953</v>
      </c>
      <c r="AE663" t="s">
        <v>6954</v>
      </c>
      <c r="AF663" t="s">
        <v>6955</v>
      </c>
      <c r="AG663" t="s">
        <v>6956</v>
      </c>
      <c r="AH663" t="s">
        <v>6957</v>
      </c>
      <c r="AI663" t="s">
        <v>6958</v>
      </c>
      <c r="AJ663" t="s">
        <v>6959</v>
      </c>
      <c r="AR663" t="s">
        <v>4284</v>
      </c>
    </row>
    <row r="664" spans="1:44">
      <c r="A664">
        <v>11127803</v>
      </c>
      <c r="B664" t="s">
        <v>758</v>
      </c>
      <c r="C664" t="s">
        <v>1244</v>
      </c>
      <c r="D664" t="s">
        <v>1974</v>
      </c>
      <c r="E664" t="s">
        <v>1975</v>
      </c>
      <c r="F664" t="s">
        <v>1712</v>
      </c>
      <c r="G664" t="s">
        <v>1713</v>
      </c>
      <c r="H664" t="s">
        <v>2300</v>
      </c>
      <c r="I664" t="s">
        <v>4486</v>
      </c>
      <c r="J664" t="s">
        <v>3641</v>
      </c>
      <c r="K664" t="s">
        <v>3642</v>
      </c>
      <c r="M664">
        <v>60</v>
      </c>
      <c r="N664">
        <v>70</v>
      </c>
      <c r="O664" t="s">
        <v>2437</v>
      </c>
      <c r="P664" t="s">
        <v>2437</v>
      </c>
      <c r="R664" t="s">
        <v>2437</v>
      </c>
      <c r="T664" t="s">
        <v>2437</v>
      </c>
      <c r="U664" t="s">
        <v>2437</v>
      </c>
      <c r="V664" t="s">
        <v>2437</v>
      </c>
      <c r="Y664" t="s">
        <v>6948</v>
      </c>
      <c r="Z664" t="s">
        <v>6949</v>
      </c>
      <c r="AA664" t="s">
        <v>6950</v>
      </c>
      <c r="AB664" t="s">
        <v>6951</v>
      </c>
      <c r="AC664" t="s">
        <v>6952</v>
      </c>
      <c r="AD664" t="s">
        <v>6953</v>
      </c>
      <c r="AE664" t="s">
        <v>6961</v>
      </c>
      <c r="AF664" t="s">
        <v>6962</v>
      </c>
      <c r="AG664" t="s">
        <v>6963</v>
      </c>
      <c r="AH664" t="s">
        <v>6964</v>
      </c>
      <c r="AI664" t="s">
        <v>6965</v>
      </c>
      <c r="AJ664" t="s">
        <v>6966</v>
      </c>
      <c r="AR664" t="s">
        <v>4284</v>
      </c>
    </row>
    <row r="665" spans="1:44">
      <c r="A665">
        <v>11127804</v>
      </c>
      <c r="B665" t="s">
        <v>759</v>
      </c>
      <c r="C665" t="s">
        <v>1349</v>
      </c>
      <c r="D665" t="s">
        <v>1974</v>
      </c>
      <c r="E665" t="s">
        <v>1975</v>
      </c>
      <c r="F665" t="s">
        <v>1712</v>
      </c>
      <c r="G665" t="s">
        <v>1713</v>
      </c>
      <c r="H665" t="s">
        <v>2301</v>
      </c>
      <c r="I665" t="s">
        <v>4487</v>
      </c>
      <c r="J665" t="s">
        <v>3643</v>
      </c>
      <c r="K665" t="s">
        <v>3644</v>
      </c>
      <c r="M665">
        <v>60</v>
      </c>
      <c r="N665">
        <v>70</v>
      </c>
      <c r="O665" t="s">
        <v>2437</v>
      </c>
      <c r="P665" t="s">
        <v>2437</v>
      </c>
      <c r="R665" t="s">
        <v>2437</v>
      </c>
      <c r="T665" t="s">
        <v>2437</v>
      </c>
      <c r="U665" t="s">
        <v>2437</v>
      </c>
      <c r="V665" t="s">
        <v>2437</v>
      </c>
      <c r="Y665" t="s">
        <v>6948</v>
      </c>
      <c r="Z665" t="s">
        <v>6949</v>
      </c>
      <c r="AA665" t="s">
        <v>6950</v>
      </c>
      <c r="AB665" t="s">
        <v>6951</v>
      </c>
      <c r="AC665" t="s">
        <v>6952</v>
      </c>
      <c r="AD665" t="s">
        <v>6953</v>
      </c>
      <c r="AE665" t="s">
        <v>6961</v>
      </c>
      <c r="AF665" t="s">
        <v>6962</v>
      </c>
      <c r="AG665" t="s">
        <v>6963</v>
      </c>
      <c r="AH665" t="s">
        <v>6964</v>
      </c>
      <c r="AI665" t="s">
        <v>6965</v>
      </c>
      <c r="AJ665" t="s">
        <v>6966</v>
      </c>
      <c r="AR665" t="s">
        <v>4284</v>
      </c>
    </row>
    <row r="666" spans="1:44">
      <c r="A666">
        <v>11127809</v>
      </c>
      <c r="B666" t="s">
        <v>760</v>
      </c>
      <c r="C666" t="s">
        <v>1244</v>
      </c>
      <c r="D666" t="s">
        <v>1976</v>
      </c>
      <c r="E666" t="s">
        <v>1977</v>
      </c>
      <c r="F666" t="s">
        <v>1716</v>
      </c>
      <c r="G666" t="s">
        <v>1717</v>
      </c>
      <c r="H666" t="s">
        <v>2306</v>
      </c>
      <c r="I666" t="s">
        <v>4492</v>
      </c>
      <c r="J666" t="s">
        <v>3645</v>
      </c>
      <c r="K666" t="s">
        <v>3646</v>
      </c>
      <c r="M666">
        <v>60</v>
      </c>
      <c r="N666">
        <v>70</v>
      </c>
      <c r="O666" t="s">
        <v>2437</v>
      </c>
      <c r="P666" t="s">
        <v>2437</v>
      </c>
      <c r="R666" t="s">
        <v>2437</v>
      </c>
      <c r="T666" t="s">
        <v>2437</v>
      </c>
      <c r="U666" t="s">
        <v>2437</v>
      </c>
      <c r="V666" t="s">
        <v>2437</v>
      </c>
      <c r="Y666" t="s">
        <v>6948</v>
      </c>
      <c r="Z666" t="s">
        <v>6949</v>
      </c>
      <c r="AA666" t="s">
        <v>6950</v>
      </c>
      <c r="AB666" t="s">
        <v>6951</v>
      </c>
      <c r="AC666" t="s">
        <v>6952</v>
      </c>
      <c r="AD666" t="s">
        <v>6953</v>
      </c>
      <c r="AE666" t="s">
        <v>6961</v>
      </c>
      <c r="AF666" t="s">
        <v>6962</v>
      </c>
      <c r="AG666" t="s">
        <v>6963</v>
      </c>
      <c r="AH666" t="s">
        <v>6964</v>
      </c>
      <c r="AI666" t="s">
        <v>6965</v>
      </c>
      <c r="AJ666" t="s">
        <v>6966</v>
      </c>
      <c r="AR666" t="s">
        <v>4284</v>
      </c>
    </row>
    <row r="667" spans="1:44">
      <c r="A667">
        <v>11127810</v>
      </c>
      <c r="B667" t="s">
        <v>761</v>
      </c>
      <c r="C667" t="s">
        <v>1349</v>
      </c>
      <c r="D667" t="s">
        <v>1976</v>
      </c>
      <c r="E667" t="s">
        <v>1977</v>
      </c>
      <c r="F667" t="s">
        <v>1716</v>
      </c>
      <c r="G667" t="s">
        <v>1717</v>
      </c>
      <c r="H667" t="s">
        <v>2307</v>
      </c>
      <c r="I667" t="s">
        <v>4493</v>
      </c>
      <c r="J667" t="s">
        <v>3647</v>
      </c>
      <c r="K667" t="s">
        <v>3648</v>
      </c>
      <c r="M667">
        <v>60</v>
      </c>
      <c r="N667">
        <v>70</v>
      </c>
      <c r="O667" t="s">
        <v>2437</v>
      </c>
      <c r="P667" t="s">
        <v>2437</v>
      </c>
      <c r="R667" t="s">
        <v>2437</v>
      </c>
      <c r="T667" t="s">
        <v>2437</v>
      </c>
      <c r="U667" t="s">
        <v>2437</v>
      </c>
      <c r="V667" t="s">
        <v>2437</v>
      </c>
      <c r="Y667" t="s">
        <v>6948</v>
      </c>
      <c r="Z667" t="s">
        <v>6949</v>
      </c>
      <c r="AA667" t="s">
        <v>6950</v>
      </c>
      <c r="AB667" t="s">
        <v>6951</v>
      </c>
      <c r="AC667" t="s">
        <v>6952</v>
      </c>
      <c r="AD667" t="s">
        <v>6953</v>
      </c>
      <c r="AE667" t="s">
        <v>6961</v>
      </c>
      <c r="AF667" t="s">
        <v>6962</v>
      </c>
      <c r="AG667" t="s">
        <v>6963</v>
      </c>
      <c r="AH667" t="s">
        <v>6964</v>
      </c>
      <c r="AI667" t="s">
        <v>6965</v>
      </c>
      <c r="AJ667" t="s">
        <v>6966</v>
      </c>
      <c r="AR667" t="s">
        <v>4284</v>
      </c>
    </row>
    <row r="668" spans="1:44">
      <c r="A668">
        <v>11127811</v>
      </c>
      <c r="B668" t="s">
        <v>762</v>
      </c>
      <c r="C668" t="s">
        <v>1246</v>
      </c>
      <c r="D668" t="s">
        <v>1976</v>
      </c>
      <c r="E668" t="s">
        <v>1977</v>
      </c>
      <c r="F668" t="s">
        <v>1716</v>
      </c>
      <c r="G668" t="s">
        <v>1717</v>
      </c>
      <c r="H668" t="s">
        <v>2308</v>
      </c>
      <c r="I668" t="s">
        <v>4494</v>
      </c>
      <c r="J668" t="s">
        <v>3649</v>
      </c>
      <c r="K668" t="s">
        <v>3650</v>
      </c>
      <c r="M668">
        <v>60</v>
      </c>
      <c r="N668">
        <v>70</v>
      </c>
      <c r="O668" t="s">
        <v>2437</v>
      </c>
      <c r="P668" t="s">
        <v>2437</v>
      </c>
      <c r="R668" t="s">
        <v>2437</v>
      </c>
      <c r="T668" t="s">
        <v>2437</v>
      </c>
      <c r="U668" t="s">
        <v>2437</v>
      </c>
      <c r="V668" t="s">
        <v>2437</v>
      </c>
      <c r="Y668" t="s">
        <v>6948</v>
      </c>
      <c r="Z668" t="s">
        <v>6949</v>
      </c>
      <c r="AA668" t="s">
        <v>6950</v>
      </c>
      <c r="AB668" t="s">
        <v>6951</v>
      </c>
      <c r="AC668" t="s">
        <v>6952</v>
      </c>
      <c r="AD668" t="s">
        <v>6953</v>
      </c>
      <c r="AE668" t="s">
        <v>6961</v>
      </c>
      <c r="AF668" t="s">
        <v>6962</v>
      </c>
      <c r="AG668" t="s">
        <v>6963</v>
      </c>
      <c r="AH668" t="s">
        <v>6964</v>
      </c>
      <c r="AI668" t="s">
        <v>6965</v>
      </c>
      <c r="AJ668" t="s">
        <v>6966</v>
      </c>
      <c r="AR668" t="s">
        <v>4284</v>
      </c>
    </row>
    <row r="669" spans="1:44">
      <c r="A669">
        <v>11127816</v>
      </c>
      <c r="B669" t="s">
        <v>763</v>
      </c>
      <c r="C669" t="s">
        <v>1346</v>
      </c>
      <c r="D669" t="s">
        <v>1978</v>
      </c>
      <c r="E669" t="s">
        <v>1979</v>
      </c>
      <c r="F669" t="s">
        <v>1968</v>
      </c>
      <c r="G669" t="s">
        <v>1969</v>
      </c>
      <c r="H669" t="s">
        <v>2397</v>
      </c>
      <c r="I669" t="s">
        <v>4567</v>
      </c>
      <c r="J669" t="s">
        <v>3651</v>
      </c>
      <c r="K669" t="s">
        <v>3652</v>
      </c>
      <c r="M669">
        <v>60</v>
      </c>
      <c r="N669">
        <v>70</v>
      </c>
      <c r="O669" t="s">
        <v>2437</v>
      </c>
      <c r="P669" t="s">
        <v>2437</v>
      </c>
      <c r="R669" t="s">
        <v>2437</v>
      </c>
      <c r="T669" t="s">
        <v>2437</v>
      </c>
      <c r="U669" t="s">
        <v>2437</v>
      </c>
      <c r="V669" t="s">
        <v>2437</v>
      </c>
      <c r="Y669" t="s">
        <v>6948</v>
      </c>
      <c r="Z669" t="s">
        <v>6949</v>
      </c>
      <c r="AA669" t="s">
        <v>6950</v>
      </c>
      <c r="AB669" t="s">
        <v>6951</v>
      </c>
      <c r="AC669" t="s">
        <v>6952</v>
      </c>
      <c r="AD669" t="s">
        <v>6953</v>
      </c>
      <c r="AE669" t="s">
        <v>6961</v>
      </c>
      <c r="AF669" t="s">
        <v>6962</v>
      </c>
      <c r="AG669" t="s">
        <v>6963</v>
      </c>
      <c r="AH669" t="s">
        <v>6964</v>
      </c>
      <c r="AI669" t="s">
        <v>6965</v>
      </c>
      <c r="AJ669" t="s">
        <v>6966</v>
      </c>
      <c r="AR669" t="s">
        <v>4284</v>
      </c>
    </row>
    <row r="670" spans="1:44">
      <c r="A670">
        <v>11127817</v>
      </c>
      <c r="B670" t="s">
        <v>764</v>
      </c>
      <c r="C670" t="s">
        <v>1350</v>
      </c>
      <c r="D670" t="s">
        <v>1978</v>
      </c>
      <c r="E670" t="s">
        <v>1979</v>
      </c>
      <c r="F670" t="s">
        <v>1968</v>
      </c>
      <c r="G670" t="s">
        <v>1969</v>
      </c>
      <c r="H670" t="s">
        <v>2398</v>
      </c>
      <c r="I670" t="s">
        <v>4568</v>
      </c>
      <c r="J670" t="s">
        <v>3653</v>
      </c>
      <c r="K670" t="s">
        <v>3654</v>
      </c>
      <c r="M670">
        <v>60</v>
      </c>
      <c r="N670">
        <v>70</v>
      </c>
      <c r="O670" t="s">
        <v>2437</v>
      </c>
      <c r="P670" t="s">
        <v>2437</v>
      </c>
      <c r="R670" t="s">
        <v>2437</v>
      </c>
      <c r="T670" t="s">
        <v>2437</v>
      </c>
      <c r="U670" t="s">
        <v>2437</v>
      </c>
      <c r="V670" t="s">
        <v>2437</v>
      </c>
      <c r="Y670" t="s">
        <v>6948</v>
      </c>
      <c r="Z670" t="s">
        <v>6949</v>
      </c>
      <c r="AA670" t="s">
        <v>6950</v>
      </c>
      <c r="AB670" t="s">
        <v>6951</v>
      </c>
      <c r="AC670" t="s">
        <v>6952</v>
      </c>
      <c r="AD670" t="s">
        <v>6953</v>
      </c>
      <c r="AE670" t="s">
        <v>6961</v>
      </c>
      <c r="AF670" t="s">
        <v>6962</v>
      </c>
      <c r="AG670" t="s">
        <v>6963</v>
      </c>
      <c r="AH670" t="s">
        <v>6964</v>
      </c>
      <c r="AI670" t="s">
        <v>6965</v>
      </c>
      <c r="AJ670" t="s">
        <v>6966</v>
      </c>
      <c r="AR670" t="s">
        <v>4284</v>
      </c>
    </row>
    <row r="671" spans="1:44">
      <c r="A671">
        <v>11127818</v>
      </c>
      <c r="B671" t="s">
        <v>765</v>
      </c>
      <c r="C671" t="s">
        <v>1344</v>
      </c>
      <c r="D671" t="s">
        <v>1978</v>
      </c>
      <c r="E671" t="s">
        <v>1979</v>
      </c>
      <c r="F671" t="s">
        <v>1968</v>
      </c>
      <c r="G671" t="s">
        <v>1969</v>
      </c>
      <c r="H671" t="s">
        <v>2399</v>
      </c>
      <c r="I671" t="s">
        <v>4569</v>
      </c>
      <c r="J671" t="s">
        <v>3655</v>
      </c>
      <c r="K671" t="s">
        <v>3656</v>
      </c>
      <c r="M671">
        <v>60</v>
      </c>
      <c r="N671">
        <v>70</v>
      </c>
      <c r="O671" t="s">
        <v>2437</v>
      </c>
      <c r="P671" t="s">
        <v>2437</v>
      </c>
      <c r="R671" t="s">
        <v>2437</v>
      </c>
      <c r="T671" t="s">
        <v>2437</v>
      </c>
      <c r="U671" t="s">
        <v>2437</v>
      </c>
      <c r="V671" t="s">
        <v>2437</v>
      </c>
      <c r="Y671" t="s">
        <v>6948</v>
      </c>
      <c r="Z671" t="s">
        <v>6949</v>
      </c>
      <c r="AA671" t="s">
        <v>6950</v>
      </c>
      <c r="AB671" t="s">
        <v>6951</v>
      </c>
      <c r="AC671" t="s">
        <v>6952</v>
      </c>
      <c r="AD671" t="s">
        <v>6953</v>
      </c>
      <c r="AE671" t="s">
        <v>6961</v>
      </c>
      <c r="AF671" t="s">
        <v>6962</v>
      </c>
      <c r="AG671" t="s">
        <v>6963</v>
      </c>
      <c r="AH671" t="s">
        <v>6964</v>
      </c>
      <c r="AI671" t="s">
        <v>6965</v>
      </c>
      <c r="AJ671" t="s">
        <v>6966</v>
      </c>
      <c r="AR671" t="s">
        <v>4284</v>
      </c>
    </row>
    <row r="672" spans="1:44">
      <c r="A672">
        <v>11127819</v>
      </c>
      <c r="B672" t="s">
        <v>766</v>
      </c>
      <c r="C672" t="s">
        <v>1351</v>
      </c>
      <c r="D672" t="s">
        <v>1978</v>
      </c>
      <c r="E672" t="s">
        <v>1979</v>
      </c>
      <c r="F672" t="s">
        <v>1968</v>
      </c>
      <c r="G672" t="s">
        <v>1969</v>
      </c>
      <c r="H672" t="s">
        <v>2400</v>
      </c>
      <c r="I672" t="s">
        <v>4570</v>
      </c>
      <c r="J672" t="s">
        <v>3657</v>
      </c>
      <c r="K672" t="s">
        <v>3658</v>
      </c>
      <c r="M672">
        <v>60</v>
      </c>
      <c r="N672">
        <v>70</v>
      </c>
      <c r="O672" t="s">
        <v>2437</v>
      </c>
      <c r="P672" t="s">
        <v>2437</v>
      </c>
      <c r="R672" t="s">
        <v>2437</v>
      </c>
      <c r="T672" t="s">
        <v>2437</v>
      </c>
      <c r="U672" t="s">
        <v>2437</v>
      </c>
      <c r="V672" t="s">
        <v>2437</v>
      </c>
      <c r="Y672" t="s">
        <v>6948</v>
      </c>
      <c r="Z672" t="s">
        <v>6949</v>
      </c>
      <c r="AA672" t="s">
        <v>6950</v>
      </c>
      <c r="AB672" t="s">
        <v>6951</v>
      </c>
      <c r="AC672" t="s">
        <v>6952</v>
      </c>
      <c r="AD672" t="s">
        <v>6953</v>
      </c>
      <c r="AE672" t="s">
        <v>6961</v>
      </c>
      <c r="AF672" t="s">
        <v>6962</v>
      </c>
      <c r="AG672" t="s">
        <v>6963</v>
      </c>
      <c r="AH672" t="s">
        <v>6964</v>
      </c>
      <c r="AI672" t="s">
        <v>6965</v>
      </c>
      <c r="AJ672" t="s">
        <v>6966</v>
      </c>
      <c r="AR672" t="s">
        <v>4284</v>
      </c>
    </row>
    <row r="673" spans="1:44">
      <c r="A673">
        <v>11127834</v>
      </c>
      <c r="B673" t="s">
        <v>767</v>
      </c>
      <c r="C673" t="s">
        <v>1195</v>
      </c>
      <c r="D673" t="s">
        <v>1980</v>
      </c>
      <c r="E673" t="s">
        <v>1944</v>
      </c>
      <c r="F673" t="s">
        <v>1945</v>
      </c>
      <c r="G673" t="s">
        <v>1946</v>
      </c>
      <c r="H673" t="s">
        <v>2381</v>
      </c>
      <c r="I673" t="s">
        <v>4550</v>
      </c>
      <c r="J673" t="s">
        <v>3587</v>
      </c>
      <c r="K673" t="s">
        <v>3588</v>
      </c>
      <c r="M673">
        <v>50</v>
      </c>
      <c r="N673">
        <v>70</v>
      </c>
      <c r="O673">
        <v>68</v>
      </c>
      <c r="P673">
        <v>105</v>
      </c>
      <c r="R673" t="s">
        <v>2437</v>
      </c>
      <c r="T673" t="s">
        <v>3589</v>
      </c>
      <c r="U673" t="s">
        <v>3590</v>
      </c>
      <c r="V673" t="s">
        <v>89</v>
      </c>
      <c r="Y673" t="s">
        <v>6948</v>
      </c>
      <c r="Z673" t="s">
        <v>6949</v>
      </c>
      <c r="AA673" t="s">
        <v>6950</v>
      </c>
      <c r="AB673" t="s">
        <v>6951</v>
      </c>
      <c r="AC673" t="s">
        <v>6952</v>
      </c>
      <c r="AD673" t="s">
        <v>6953</v>
      </c>
      <c r="AE673" t="s">
        <v>6954</v>
      </c>
      <c r="AF673" t="s">
        <v>6955</v>
      </c>
      <c r="AG673" t="s">
        <v>6956</v>
      </c>
      <c r="AH673" t="s">
        <v>6957</v>
      </c>
      <c r="AI673" t="s">
        <v>6958</v>
      </c>
      <c r="AJ673" t="s">
        <v>6959</v>
      </c>
      <c r="AK673" t="s">
        <v>6969</v>
      </c>
      <c r="AL673" t="s">
        <v>6970</v>
      </c>
      <c r="AM673" t="s">
        <v>6971</v>
      </c>
      <c r="AN673" t="s">
        <v>6972</v>
      </c>
      <c r="AR673" t="s">
        <v>4284</v>
      </c>
    </row>
    <row r="674" spans="1:44">
      <c r="A674">
        <v>11127833</v>
      </c>
      <c r="B674" t="s">
        <v>768</v>
      </c>
      <c r="C674" t="s">
        <v>1196</v>
      </c>
      <c r="D674" t="s">
        <v>1980</v>
      </c>
      <c r="E674" t="s">
        <v>1944</v>
      </c>
      <c r="F674" t="s">
        <v>1945</v>
      </c>
      <c r="G674" t="s">
        <v>1946</v>
      </c>
      <c r="H674" t="s">
        <v>2382</v>
      </c>
      <c r="I674" t="s">
        <v>4551</v>
      </c>
      <c r="J674" t="s">
        <v>3591</v>
      </c>
      <c r="K674" t="s">
        <v>3592</v>
      </c>
      <c r="M674">
        <v>50</v>
      </c>
      <c r="N674">
        <v>70</v>
      </c>
      <c r="O674">
        <v>68</v>
      </c>
      <c r="P674">
        <v>105</v>
      </c>
      <c r="R674" t="s">
        <v>2437</v>
      </c>
      <c r="T674" t="s">
        <v>3593</v>
      </c>
      <c r="U674" t="s">
        <v>3594</v>
      </c>
      <c r="V674" t="s">
        <v>89</v>
      </c>
      <c r="Y674" t="s">
        <v>6948</v>
      </c>
      <c r="Z674" t="s">
        <v>6949</v>
      </c>
      <c r="AA674" t="s">
        <v>6950</v>
      </c>
      <c r="AB674" t="s">
        <v>6951</v>
      </c>
      <c r="AC674" t="s">
        <v>6952</v>
      </c>
      <c r="AD674" t="s">
        <v>6953</v>
      </c>
      <c r="AE674" t="s">
        <v>6954</v>
      </c>
      <c r="AF674" t="s">
        <v>6955</v>
      </c>
      <c r="AG674" t="s">
        <v>6956</v>
      </c>
      <c r="AH674" t="s">
        <v>6957</v>
      </c>
      <c r="AI674" t="s">
        <v>6958</v>
      </c>
      <c r="AJ674" t="s">
        <v>6959</v>
      </c>
      <c r="AK674" t="s">
        <v>6969</v>
      </c>
      <c r="AL674" t="s">
        <v>6970</v>
      </c>
      <c r="AM674" t="s">
        <v>6971</v>
      </c>
      <c r="AN674" t="s">
        <v>6972</v>
      </c>
      <c r="AR674" t="s">
        <v>4284</v>
      </c>
    </row>
    <row r="675" spans="1:44">
      <c r="A675">
        <v>11127829</v>
      </c>
      <c r="B675" t="s">
        <v>769</v>
      </c>
      <c r="C675" t="s">
        <v>1177</v>
      </c>
      <c r="D675" t="s">
        <v>1981</v>
      </c>
      <c r="E675" t="s">
        <v>1948</v>
      </c>
      <c r="F675" t="s">
        <v>1818</v>
      </c>
      <c r="G675" t="s">
        <v>1819</v>
      </c>
      <c r="H675" t="s">
        <v>2383</v>
      </c>
      <c r="I675" t="s">
        <v>4552</v>
      </c>
      <c r="J675" t="s">
        <v>3595</v>
      </c>
      <c r="K675" t="s">
        <v>3596</v>
      </c>
      <c r="M675">
        <v>50</v>
      </c>
      <c r="N675">
        <v>70</v>
      </c>
      <c r="O675">
        <v>68</v>
      </c>
      <c r="P675">
        <v>105</v>
      </c>
      <c r="R675" t="s">
        <v>2437</v>
      </c>
      <c r="T675" t="s">
        <v>3597</v>
      </c>
      <c r="U675" t="s">
        <v>3598</v>
      </c>
      <c r="V675" t="s">
        <v>2437</v>
      </c>
      <c r="Y675" t="s">
        <v>6948</v>
      </c>
      <c r="Z675" t="s">
        <v>6949</v>
      </c>
      <c r="AA675" t="s">
        <v>6950</v>
      </c>
      <c r="AB675" t="s">
        <v>6951</v>
      </c>
      <c r="AC675" t="s">
        <v>6952</v>
      </c>
      <c r="AD675" t="s">
        <v>6953</v>
      </c>
      <c r="AE675" t="s">
        <v>6954</v>
      </c>
      <c r="AF675" t="s">
        <v>6955</v>
      </c>
      <c r="AG675" t="s">
        <v>6956</v>
      </c>
      <c r="AH675" t="s">
        <v>6957</v>
      </c>
      <c r="AI675" t="s">
        <v>6958</v>
      </c>
      <c r="AJ675" t="s">
        <v>6959</v>
      </c>
      <c r="AK675" t="s">
        <v>6969</v>
      </c>
      <c r="AL675" t="s">
        <v>6970</v>
      </c>
      <c r="AM675" t="s">
        <v>6971</v>
      </c>
      <c r="AN675" t="s">
        <v>6972</v>
      </c>
      <c r="AR675" t="s">
        <v>4284</v>
      </c>
    </row>
    <row r="676" spans="1:44">
      <c r="A676">
        <v>11127830</v>
      </c>
      <c r="B676" t="s">
        <v>770</v>
      </c>
      <c r="C676" t="s">
        <v>1081</v>
      </c>
      <c r="D676" t="s">
        <v>1981</v>
      </c>
      <c r="E676" t="s">
        <v>1948</v>
      </c>
      <c r="F676" t="s">
        <v>1818</v>
      </c>
      <c r="G676" t="s">
        <v>1819</v>
      </c>
      <c r="H676" t="s">
        <v>2384</v>
      </c>
      <c r="I676" t="s">
        <v>4553</v>
      </c>
      <c r="J676" t="s">
        <v>3599</v>
      </c>
      <c r="K676" t="s">
        <v>3600</v>
      </c>
      <c r="M676">
        <v>50</v>
      </c>
      <c r="N676">
        <v>70</v>
      </c>
      <c r="O676">
        <v>68</v>
      </c>
      <c r="P676">
        <v>105</v>
      </c>
      <c r="R676" t="s">
        <v>2437</v>
      </c>
      <c r="T676" t="s">
        <v>3601</v>
      </c>
      <c r="U676" t="s">
        <v>3602</v>
      </c>
      <c r="V676" t="s">
        <v>2437</v>
      </c>
      <c r="Y676" t="s">
        <v>6948</v>
      </c>
      <c r="Z676" t="s">
        <v>6949</v>
      </c>
      <c r="AA676" t="s">
        <v>6950</v>
      </c>
      <c r="AB676" t="s">
        <v>6951</v>
      </c>
      <c r="AC676" t="s">
        <v>6952</v>
      </c>
      <c r="AD676" t="s">
        <v>6953</v>
      </c>
      <c r="AE676" t="s">
        <v>6954</v>
      </c>
      <c r="AF676" t="s">
        <v>6955</v>
      </c>
      <c r="AG676" t="s">
        <v>6956</v>
      </c>
      <c r="AH676" t="s">
        <v>6957</v>
      </c>
      <c r="AI676" t="s">
        <v>6958</v>
      </c>
      <c r="AJ676" t="s">
        <v>6959</v>
      </c>
      <c r="AK676" t="s">
        <v>6969</v>
      </c>
      <c r="AL676" t="s">
        <v>6970</v>
      </c>
      <c r="AM676" t="s">
        <v>6971</v>
      </c>
      <c r="AN676" t="s">
        <v>6972</v>
      </c>
      <c r="AR676" t="s">
        <v>4284</v>
      </c>
    </row>
    <row r="677" spans="1:44">
      <c r="A677">
        <v>11127831</v>
      </c>
      <c r="B677" t="s">
        <v>771</v>
      </c>
      <c r="C677" t="s">
        <v>1197</v>
      </c>
      <c r="D677" t="s">
        <v>1982</v>
      </c>
      <c r="E677" t="s">
        <v>1950</v>
      </c>
      <c r="F677" t="s">
        <v>1951</v>
      </c>
      <c r="G677" t="s">
        <v>1952</v>
      </c>
      <c r="H677" t="s">
        <v>2385</v>
      </c>
      <c r="I677" t="s">
        <v>4554</v>
      </c>
      <c r="J677" t="s">
        <v>3603</v>
      </c>
      <c r="K677" t="s">
        <v>3604</v>
      </c>
      <c r="M677">
        <v>50</v>
      </c>
      <c r="N677">
        <v>70</v>
      </c>
      <c r="O677">
        <v>68</v>
      </c>
      <c r="P677">
        <v>105</v>
      </c>
      <c r="R677" t="s">
        <v>2437</v>
      </c>
      <c r="T677" t="s">
        <v>3605</v>
      </c>
      <c r="U677" t="s">
        <v>3606</v>
      </c>
      <c r="V677" t="s">
        <v>89</v>
      </c>
      <c r="Y677" t="s">
        <v>6948</v>
      </c>
      <c r="Z677" t="s">
        <v>6949</v>
      </c>
      <c r="AA677" t="s">
        <v>6950</v>
      </c>
      <c r="AB677" t="s">
        <v>6951</v>
      </c>
      <c r="AC677" t="s">
        <v>6952</v>
      </c>
      <c r="AD677" t="s">
        <v>6953</v>
      </c>
      <c r="AE677" t="s">
        <v>6954</v>
      </c>
      <c r="AF677" t="s">
        <v>6955</v>
      </c>
      <c r="AG677" t="s">
        <v>6956</v>
      </c>
      <c r="AH677" t="s">
        <v>6957</v>
      </c>
      <c r="AI677" t="s">
        <v>6958</v>
      </c>
      <c r="AJ677" t="s">
        <v>6959</v>
      </c>
      <c r="AK677" t="s">
        <v>6969</v>
      </c>
      <c r="AL677" t="s">
        <v>6970</v>
      </c>
      <c r="AM677" t="s">
        <v>6971</v>
      </c>
      <c r="AN677" t="s">
        <v>6972</v>
      </c>
      <c r="AR677" t="s">
        <v>4284</v>
      </c>
    </row>
    <row r="678" spans="1:44">
      <c r="A678">
        <v>11127832</v>
      </c>
      <c r="B678" t="s">
        <v>772</v>
      </c>
      <c r="C678" t="s">
        <v>1006</v>
      </c>
      <c r="D678" t="s">
        <v>1982</v>
      </c>
      <c r="E678" t="s">
        <v>1950</v>
      </c>
      <c r="F678" t="s">
        <v>1951</v>
      </c>
      <c r="G678" t="s">
        <v>1952</v>
      </c>
      <c r="H678" t="s">
        <v>2386</v>
      </c>
      <c r="I678" t="s">
        <v>4555</v>
      </c>
      <c r="J678" t="s">
        <v>3607</v>
      </c>
      <c r="K678" t="s">
        <v>3608</v>
      </c>
      <c r="M678">
        <v>50</v>
      </c>
      <c r="N678">
        <v>70</v>
      </c>
      <c r="O678">
        <v>68</v>
      </c>
      <c r="P678">
        <v>105</v>
      </c>
      <c r="R678" t="s">
        <v>2437</v>
      </c>
      <c r="T678" t="s">
        <v>3609</v>
      </c>
      <c r="U678" t="s">
        <v>3610</v>
      </c>
      <c r="V678" t="s">
        <v>89</v>
      </c>
      <c r="Y678" t="s">
        <v>6948</v>
      </c>
      <c r="Z678" t="s">
        <v>6949</v>
      </c>
      <c r="AA678" t="s">
        <v>6950</v>
      </c>
      <c r="AB678" t="s">
        <v>6951</v>
      </c>
      <c r="AC678" t="s">
        <v>6952</v>
      </c>
      <c r="AD678" t="s">
        <v>6953</v>
      </c>
      <c r="AE678" t="s">
        <v>6954</v>
      </c>
      <c r="AF678" t="s">
        <v>6955</v>
      </c>
      <c r="AG678" t="s">
        <v>6956</v>
      </c>
      <c r="AH678" t="s">
        <v>6957</v>
      </c>
      <c r="AI678" t="s">
        <v>6958</v>
      </c>
      <c r="AJ678" t="s">
        <v>6959</v>
      </c>
      <c r="AK678" t="s">
        <v>6969</v>
      </c>
      <c r="AL678" t="s">
        <v>6970</v>
      </c>
      <c r="AM678" t="s">
        <v>6971</v>
      </c>
      <c r="AN678" t="s">
        <v>6972</v>
      </c>
      <c r="AR678" t="s">
        <v>4284</v>
      </c>
    </row>
    <row r="679" spans="1:44">
      <c r="A679">
        <v>11126296</v>
      </c>
      <c r="B679" t="s">
        <v>773</v>
      </c>
      <c r="C679" t="s">
        <v>1352</v>
      </c>
      <c r="D679" t="s">
        <v>1966</v>
      </c>
      <c r="E679" t="s">
        <v>1967</v>
      </c>
      <c r="F679" t="s">
        <v>1968</v>
      </c>
      <c r="G679" t="s">
        <v>1969</v>
      </c>
      <c r="H679" t="s">
        <v>2401</v>
      </c>
      <c r="I679" t="s">
        <v>4571</v>
      </c>
      <c r="J679" t="s">
        <v>3659</v>
      </c>
      <c r="K679" t="s">
        <v>3660</v>
      </c>
      <c r="M679">
        <v>60</v>
      </c>
      <c r="N679">
        <v>70</v>
      </c>
      <c r="O679" t="s">
        <v>2437</v>
      </c>
      <c r="P679" t="s">
        <v>2437</v>
      </c>
      <c r="R679" t="s">
        <v>2437</v>
      </c>
      <c r="T679" t="s">
        <v>2437</v>
      </c>
      <c r="U679" t="s">
        <v>2437</v>
      </c>
      <c r="V679" t="s">
        <v>2437</v>
      </c>
      <c r="Y679" t="s">
        <v>6948</v>
      </c>
      <c r="Z679" t="s">
        <v>6949</v>
      </c>
      <c r="AA679" t="s">
        <v>6950</v>
      </c>
      <c r="AB679" t="s">
        <v>6951</v>
      </c>
      <c r="AC679" t="s">
        <v>6952</v>
      </c>
      <c r="AD679" t="s">
        <v>6953</v>
      </c>
      <c r="AE679" t="s">
        <v>6961</v>
      </c>
      <c r="AF679" t="s">
        <v>6962</v>
      </c>
      <c r="AG679" t="s">
        <v>6963</v>
      </c>
      <c r="AH679" t="s">
        <v>6964</v>
      </c>
      <c r="AI679" t="s">
        <v>6965</v>
      </c>
      <c r="AJ679" t="s">
        <v>6966</v>
      </c>
      <c r="AR679" t="s">
        <v>4284</v>
      </c>
    </row>
    <row r="680" spans="1:44">
      <c r="A680">
        <v>11126303</v>
      </c>
      <c r="B680" t="s">
        <v>774</v>
      </c>
      <c r="C680" t="s">
        <v>1133</v>
      </c>
      <c r="D680" t="s">
        <v>1983</v>
      </c>
      <c r="E680" t="s">
        <v>1503</v>
      </c>
      <c r="F680" t="s">
        <v>1500</v>
      </c>
      <c r="G680" t="s">
        <v>1501</v>
      </c>
      <c r="H680" t="s">
        <v>2102</v>
      </c>
      <c r="I680" t="s">
        <v>4326</v>
      </c>
      <c r="J680" t="s">
        <v>3661</v>
      </c>
      <c r="K680" t="s">
        <v>3662</v>
      </c>
      <c r="M680" t="e">
        <v>#N/A</v>
      </c>
      <c r="N680" t="e">
        <v>#N/A</v>
      </c>
      <c r="O680" t="e">
        <v>#N/A</v>
      </c>
      <c r="P680" t="e">
        <v>#N/A</v>
      </c>
      <c r="R680" t="e">
        <v>#N/A</v>
      </c>
      <c r="T680" t="s">
        <v>2437</v>
      </c>
      <c r="U680" t="s">
        <v>2437</v>
      </c>
      <c r="V680" t="s">
        <v>2437</v>
      </c>
      <c r="Y680" t="s">
        <v>6948</v>
      </c>
      <c r="Z680" t="s">
        <v>6949</v>
      </c>
      <c r="AA680" t="s">
        <v>6950</v>
      </c>
      <c r="AB680" t="s">
        <v>6951</v>
      </c>
      <c r="AC680" t="s">
        <v>6952</v>
      </c>
      <c r="AD680" t="s">
        <v>6953</v>
      </c>
      <c r="AR680" t="s">
        <v>4284</v>
      </c>
    </row>
    <row r="681" spans="1:44">
      <c r="A681">
        <v>11126302</v>
      </c>
      <c r="B681" t="s">
        <v>775</v>
      </c>
      <c r="C681" t="s">
        <v>1132</v>
      </c>
      <c r="D681" t="s">
        <v>1983</v>
      </c>
      <c r="E681" t="s">
        <v>1503</v>
      </c>
      <c r="F681" t="s">
        <v>1500</v>
      </c>
      <c r="G681" t="s">
        <v>1501</v>
      </c>
      <c r="H681" t="s">
        <v>2101</v>
      </c>
      <c r="I681" t="s">
        <v>4325</v>
      </c>
      <c r="J681" t="s">
        <v>3663</v>
      </c>
      <c r="K681" t="s">
        <v>3664</v>
      </c>
      <c r="M681" t="e">
        <v>#N/A</v>
      </c>
      <c r="N681" t="e">
        <v>#N/A</v>
      </c>
      <c r="O681" t="e">
        <v>#N/A</v>
      </c>
      <c r="P681" t="e">
        <v>#N/A</v>
      </c>
      <c r="R681" t="e">
        <v>#N/A</v>
      </c>
      <c r="T681" t="s">
        <v>2437</v>
      </c>
      <c r="U681" t="s">
        <v>2437</v>
      </c>
      <c r="V681" t="s">
        <v>2437</v>
      </c>
      <c r="Y681" t="s">
        <v>6948</v>
      </c>
      <c r="Z681" t="s">
        <v>6949</v>
      </c>
      <c r="AA681" t="s">
        <v>6950</v>
      </c>
      <c r="AB681" t="s">
        <v>6951</v>
      </c>
      <c r="AC681" t="s">
        <v>6952</v>
      </c>
      <c r="AD681" t="s">
        <v>6953</v>
      </c>
      <c r="AR681" t="s">
        <v>4284</v>
      </c>
    </row>
    <row r="682" spans="1:44">
      <c r="A682">
        <v>11131232</v>
      </c>
      <c r="B682" t="s">
        <v>776</v>
      </c>
      <c r="C682" t="s">
        <v>1353</v>
      </c>
      <c r="D682" t="s">
        <v>1984</v>
      </c>
      <c r="E682" t="s">
        <v>1985</v>
      </c>
      <c r="F682" t="s">
        <v>1986</v>
      </c>
      <c r="G682" t="s">
        <v>1725</v>
      </c>
      <c r="H682" t="s">
        <v>2402</v>
      </c>
      <c r="I682" t="s">
        <v>4572</v>
      </c>
      <c r="J682" t="s">
        <v>3665</v>
      </c>
      <c r="K682" t="s">
        <v>3666</v>
      </c>
      <c r="M682">
        <v>60</v>
      </c>
      <c r="N682">
        <v>70</v>
      </c>
      <c r="O682" t="s">
        <v>2437</v>
      </c>
      <c r="P682" t="s">
        <v>2437</v>
      </c>
      <c r="R682" t="s">
        <v>2437</v>
      </c>
      <c r="T682" t="s">
        <v>2437</v>
      </c>
      <c r="U682" t="s">
        <v>2437</v>
      </c>
      <c r="V682" t="s">
        <v>2437</v>
      </c>
      <c r="Y682" t="s">
        <v>6948</v>
      </c>
      <c r="Z682" t="s">
        <v>6949</v>
      </c>
      <c r="AA682" t="s">
        <v>6950</v>
      </c>
      <c r="AB682" t="s">
        <v>6951</v>
      </c>
      <c r="AC682" t="s">
        <v>6952</v>
      </c>
      <c r="AD682" t="s">
        <v>6953</v>
      </c>
      <c r="AE682" t="s">
        <v>6961</v>
      </c>
      <c r="AF682" t="s">
        <v>6962</v>
      </c>
      <c r="AG682" t="s">
        <v>6963</v>
      </c>
      <c r="AH682" t="s">
        <v>6964</v>
      </c>
      <c r="AI682" t="s">
        <v>6965</v>
      </c>
      <c r="AJ682" t="s">
        <v>6966</v>
      </c>
      <c r="AR682" t="s">
        <v>4284</v>
      </c>
    </row>
    <row r="683" spans="1:44">
      <c r="A683">
        <v>11131233</v>
      </c>
      <c r="B683" t="s">
        <v>777</v>
      </c>
      <c r="C683" t="s">
        <v>1354</v>
      </c>
      <c r="D683" t="s">
        <v>1984</v>
      </c>
      <c r="E683" t="s">
        <v>1985</v>
      </c>
      <c r="F683" t="s">
        <v>1986</v>
      </c>
      <c r="G683" t="s">
        <v>1725</v>
      </c>
      <c r="H683" t="s">
        <v>2403</v>
      </c>
      <c r="I683" t="s">
        <v>4573</v>
      </c>
      <c r="J683" t="s">
        <v>3667</v>
      </c>
      <c r="K683" t="s">
        <v>3668</v>
      </c>
      <c r="M683">
        <v>60</v>
      </c>
      <c r="N683">
        <v>70</v>
      </c>
      <c r="O683" t="s">
        <v>2437</v>
      </c>
      <c r="P683" t="s">
        <v>2437</v>
      </c>
      <c r="R683" t="s">
        <v>2437</v>
      </c>
      <c r="T683" t="s">
        <v>2437</v>
      </c>
      <c r="U683" t="s">
        <v>2437</v>
      </c>
      <c r="V683" t="s">
        <v>2437</v>
      </c>
      <c r="Y683" t="s">
        <v>6948</v>
      </c>
      <c r="Z683" t="s">
        <v>6949</v>
      </c>
      <c r="AA683" t="s">
        <v>6950</v>
      </c>
      <c r="AB683" t="s">
        <v>6951</v>
      </c>
      <c r="AC683" t="s">
        <v>6952</v>
      </c>
      <c r="AD683" t="s">
        <v>6953</v>
      </c>
      <c r="AE683" t="s">
        <v>6961</v>
      </c>
      <c r="AF683" t="s">
        <v>6962</v>
      </c>
      <c r="AG683" t="s">
        <v>6963</v>
      </c>
      <c r="AH683" t="s">
        <v>6964</v>
      </c>
      <c r="AI683" t="s">
        <v>6965</v>
      </c>
      <c r="AJ683" t="s">
        <v>6966</v>
      </c>
      <c r="AR683" t="s">
        <v>4284</v>
      </c>
    </row>
    <row r="684" spans="1:44">
      <c r="A684">
        <v>11131234</v>
      </c>
      <c r="B684" t="s">
        <v>778</v>
      </c>
      <c r="C684" t="s">
        <v>1355</v>
      </c>
      <c r="D684" t="s">
        <v>1987</v>
      </c>
      <c r="E684" t="s">
        <v>1988</v>
      </c>
      <c r="F684" t="s">
        <v>1986</v>
      </c>
      <c r="G684" t="s">
        <v>1725</v>
      </c>
      <c r="H684" t="s">
        <v>2404</v>
      </c>
      <c r="I684" t="s">
        <v>4574</v>
      </c>
      <c r="J684" t="s">
        <v>3669</v>
      </c>
      <c r="K684" t="s">
        <v>3670</v>
      </c>
      <c r="M684">
        <v>60</v>
      </c>
      <c r="N684">
        <v>70</v>
      </c>
      <c r="O684" t="s">
        <v>2437</v>
      </c>
      <c r="P684" t="s">
        <v>2437</v>
      </c>
      <c r="R684" t="s">
        <v>2437</v>
      </c>
      <c r="T684" t="s">
        <v>2437</v>
      </c>
      <c r="U684" t="s">
        <v>2437</v>
      </c>
      <c r="V684" t="s">
        <v>2437</v>
      </c>
      <c r="Y684" t="s">
        <v>6948</v>
      </c>
      <c r="Z684" t="s">
        <v>6949</v>
      </c>
      <c r="AA684" t="s">
        <v>6950</v>
      </c>
      <c r="AB684" t="s">
        <v>6951</v>
      </c>
      <c r="AC684" t="s">
        <v>6952</v>
      </c>
      <c r="AD684" t="s">
        <v>6953</v>
      </c>
      <c r="AE684" t="s">
        <v>6961</v>
      </c>
      <c r="AF684" t="s">
        <v>6962</v>
      </c>
      <c r="AG684" t="s">
        <v>6963</v>
      </c>
      <c r="AH684" t="s">
        <v>6964</v>
      </c>
      <c r="AI684" t="s">
        <v>6965</v>
      </c>
      <c r="AJ684" t="s">
        <v>6966</v>
      </c>
      <c r="AR684" t="s">
        <v>4284</v>
      </c>
    </row>
    <row r="685" spans="1:44">
      <c r="A685">
        <v>11131235</v>
      </c>
      <c r="B685" t="s">
        <v>779</v>
      </c>
      <c r="C685" t="s">
        <v>1356</v>
      </c>
      <c r="D685" t="s">
        <v>1987</v>
      </c>
      <c r="E685" t="s">
        <v>1988</v>
      </c>
      <c r="F685" t="s">
        <v>1986</v>
      </c>
      <c r="G685" t="s">
        <v>1725</v>
      </c>
      <c r="H685" t="s">
        <v>2405</v>
      </c>
      <c r="I685" t="s">
        <v>4575</v>
      </c>
      <c r="J685" t="s">
        <v>3671</v>
      </c>
      <c r="K685" t="s">
        <v>3672</v>
      </c>
      <c r="M685">
        <v>60</v>
      </c>
      <c r="N685">
        <v>70</v>
      </c>
      <c r="O685" t="s">
        <v>2437</v>
      </c>
      <c r="P685" t="s">
        <v>2437</v>
      </c>
      <c r="R685" t="s">
        <v>2437</v>
      </c>
      <c r="T685" t="s">
        <v>2437</v>
      </c>
      <c r="U685" t="s">
        <v>2437</v>
      </c>
      <c r="V685" t="s">
        <v>2437</v>
      </c>
      <c r="Y685" t="s">
        <v>6948</v>
      </c>
      <c r="Z685" t="s">
        <v>6949</v>
      </c>
      <c r="AA685" t="s">
        <v>6950</v>
      </c>
      <c r="AB685" t="s">
        <v>6951</v>
      </c>
      <c r="AC685" t="s">
        <v>6952</v>
      </c>
      <c r="AD685" t="s">
        <v>6953</v>
      </c>
      <c r="AE685" t="s">
        <v>6961</v>
      </c>
      <c r="AF685" t="s">
        <v>6962</v>
      </c>
      <c r="AG685" t="s">
        <v>6963</v>
      </c>
      <c r="AH685" t="s">
        <v>6964</v>
      </c>
      <c r="AI685" t="s">
        <v>6965</v>
      </c>
      <c r="AJ685" t="s">
        <v>6966</v>
      </c>
      <c r="AR685" t="s">
        <v>4284</v>
      </c>
    </row>
    <row r="686" spans="1:44">
      <c r="A686">
        <v>11131236</v>
      </c>
      <c r="B686" t="s">
        <v>780</v>
      </c>
      <c r="C686" t="s">
        <v>1250</v>
      </c>
      <c r="D686" t="s">
        <v>1987</v>
      </c>
      <c r="E686" t="s">
        <v>1988</v>
      </c>
      <c r="F686" t="s">
        <v>1986</v>
      </c>
      <c r="G686" t="s">
        <v>1725</v>
      </c>
      <c r="H686" t="s">
        <v>2406</v>
      </c>
      <c r="I686" t="s">
        <v>4576</v>
      </c>
      <c r="J686" t="s">
        <v>3673</v>
      </c>
      <c r="K686" t="s">
        <v>3674</v>
      </c>
      <c r="M686">
        <v>60</v>
      </c>
      <c r="N686">
        <v>70</v>
      </c>
      <c r="O686" t="s">
        <v>2437</v>
      </c>
      <c r="P686" t="s">
        <v>2437</v>
      </c>
      <c r="R686" t="s">
        <v>2437</v>
      </c>
      <c r="T686" t="s">
        <v>2437</v>
      </c>
      <c r="U686" t="s">
        <v>2437</v>
      </c>
      <c r="V686" t="s">
        <v>2437</v>
      </c>
      <c r="Y686" t="s">
        <v>6948</v>
      </c>
      <c r="Z686" t="s">
        <v>6949</v>
      </c>
      <c r="AA686" t="s">
        <v>6950</v>
      </c>
      <c r="AB686" t="s">
        <v>6951</v>
      </c>
      <c r="AC686" t="s">
        <v>6952</v>
      </c>
      <c r="AD686" t="s">
        <v>6953</v>
      </c>
      <c r="AE686" t="s">
        <v>6961</v>
      </c>
      <c r="AF686" t="s">
        <v>6962</v>
      </c>
      <c r="AG686" t="s">
        <v>6963</v>
      </c>
      <c r="AH686" t="s">
        <v>6964</v>
      </c>
      <c r="AI686" t="s">
        <v>6965</v>
      </c>
      <c r="AJ686" t="s">
        <v>6966</v>
      </c>
      <c r="AR686" t="s">
        <v>4284</v>
      </c>
    </row>
    <row r="687" spans="1:44">
      <c r="A687">
        <v>11131237</v>
      </c>
      <c r="B687" t="s">
        <v>781</v>
      </c>
      <c r="C687" t="s">
        <v>1297</v>
      </c>
      <c r="D687" t="s">
        <v>1987</v>
      </c>
      <c r="E687" t="s">
        <v>1988</v>
      </c>
      <c r="F687" t="s">
        <v>1986</v>
      </c>
      <c r="G687" t="s">
        <v>1725</v>
      </c>
      <c r="H687" t="s">
        <v>2407</v>
      </c>
      <c r="I687" t="s">
        <v>4577</v>
      </c>
      <c r="J687" t="s">
        <v>3675</v>
      </c>
      <c r="K687" t="s">
        <v>3676</v>
      </c>
      <c r="M687">
        <v>60</v>
      </c>
      <c r="N687">
        <v>70</v>
      </c>
      <c r="O687" t="s">
        <v>2437</v>
      </c>
      <c r="P687" t="s">
        <v>2437</v>
      </c>
      <c r="R687" t="s">
        <v>2437</v>
      </c>
      <c r="T687" t="s">
        <v>2437</v>
      </c>
      <c r="U687" t="s">
        <v>2437</v>
      </c>
      <c r="V687" t="s">
        <v>2437</v>
      </c>
      <c r="Y687" t="s">
        <v>6948</v>
      </c>
      <c r="Z687" t="s">
        <v>6949</v>
      </c>
      <c r="AA687" t="s">
        <v>6950</v>
      </c>
      <c r="AB687" t="s">
        <v>6951</v>
      </c>
      <c r="AC687" t="s">
        <v>6952</v>
      </c>
      <c r="AD687" t="s">
        <v>6953</v>
      </c>
      <c r="AE687" t="s">
        <v>6961</v>
      </c>
      <c r="AF687" t="s">
        <v>6962</v>
      </c>
      <c r="AG687" t="s">
        <v>6963</v>
      </c>
      <c r="AH687" t="s">
        <v>6964</v>
      </c>
      <c r="AI687" t="s">
        <v>6965</v>
      </c>
      <c r="AJ687" t="s">
        <v>6966</v>
      </c>
      <c r="AR687" t="s">
        <v>4284</v>
      </c>
    </row>
    <row r="688" spans="1:44">
      <c r="A688">
        <v>11131238</v>
      </c>
      <c r="B688" t="s">
        <v>782</v>
      </c>
      <c r="C688" t="s">
        <v>1251</v>
      </c>
      <c r="D688" t="s">
        <v>1987</v>
      </c>
      <c r="E688" t="s">
        <v>1988</v>
      </c>
      <c r="F688" t="s">
        <v>1986</v>
      </c>
      <c r="G688" t="s">
        <v>1725</v>
      </c>
      <c r="H688" t="s">
        <v>2408</v>
      </c>
      <c r="I688" t="s">
        <v>4578</v>
      </c>
      <c r="J688" t="s">
        <v>3677</v>
      </c>
      <c r="K688" t="s">
        <v>3678</v>
      </c>
      <c r="M688">
        <v>60</v>
      </c>
      <c r="N688">
        <v>70</v>
      </c>
      <c r="O688" t="s">
        <v>2437</v>
      </c>
      <c r="P688" t="s">
        <v>2437</v>
      </c>
      <c r="R688" t="s">
        <v>2437</v>
      </c>
      <c r="T688" t="s">
        <v>2437</v>
      </c>
      <c r="U688" t="s">
        <v>2437</v>
      </c>
      <c r="V688" t="s">
        <v>2437</v>
      </c>
      <c r="Y688" t="s">
        <v>6948</v>
      </c>
      <c r="Z688" t="s">
        <v>6949</v>
      </c>
      <c r="AA688" t="s">
        <v>6950</v>
      </c>
      <c r="AB688" t="s">
        <v>6951</v>
      </c>
      <c r="AC688" t="s">
        <v>6952</v>
      </c>
      <c r="AD688" t="s">
        <v>6953</v>
      </c>
      <c r="AE688" t="s">
        <v>6961</v>
      </c>
      <c r="AF688" t="s">
        <v>6962</v>
      </c>
      <c r="AG688" t="s">
        <v>6963</v>
      </c>
      <c r="AH688" t="s">
        <v>6964</v>
      </c>
      <c r="AI688" t="s">
        <v>6965</v>
      </c>
      <c r="AJ688" t="s">
        <v>6966</v>
      </c>
      <c r="AR688" t="s">
        <v>4284</v>
      </c>
    </row>
    <row r="689" spans="1:44">
      <c r="A689">
        <v>11131239</v>
      </c>
      <c r="B689" t="s">
        <v>783</v>
      </c>
      <c r="C689" t="s">
        <v>1298</v>
      </c>
      <c r="D689" t="s">
        <v>1987</v>
      </c>
      <c r="E689" t="s">
        <v>1988</v>
      </c>
      <c r="F689" t="s">
        <v>1986</v>
      </c>
      <c r="G689" t="s">
        <v>1725</v>
      </c>
      <c r="H689" t="s">
        <v>2409</v>
      </c>
      <c r="I689" t="s">
        <v>4579</v>
      </c>
      <c r="J689" t="s">
        <v>3679</v>
      </c>
      <c r="K689" t="s">
        <v>3680</v>
      </c>
      <c r="M689">
        <v>60</v>
      </c>
      <c r="N689">
        <v>70</v>
      </c>
      <c r="O689" t="s">
        <v>2437</v>
      </c>
      <c r="P689" t="s">
        <v>2437</v>
      </c>
      <c r="R689" t="s">
        <v>2437</v>
      </c>
      <c r="T689" t="s">
        <v>2437</v>
      </c>
      <c r="U689" t="s">
        <v>2437</v>
      </c>
      <c r="V689" t="s">
        <v>2437</v>
      </c>
      <c r="Y689" t="s">
        <v>6948</v>
      </c>
      <c r="Z689" t="s">
        <v>6949</v>
      </c>
      <c r="AA689" t="s">
        <v>6950</v>
      </c>
      <c r="AB689" t="s">
        <v>6951</v>
      </c>
      <c r="AC689" t="s">
        <v>6952</v>
      </c>
      <c r="AD689" t="s">
        <v>6953</v>
      </c>
      <c r="AE689" t="s">
        <v>6961</v>
      </c>
      <c r="AF689" t="s">
        <v>6962</v>
      </c>
      <c r="AG689" t="s">
        <v>6963</v>
      </c>
      <c r="AH689" t="s">
        <v>6964</v>
      </c>
      <c r="AI689" t="s">
        <v>6965</v>
      </c>
      <c r="AJ689" t="s">
        <v>6966</v>
      </c>
      <c r="AR689" t="s">
        <v>4284</v>
      </c>
    </row>
    <row r="690" spans="1:44">
      <c r="A690">
        <v>11127805</v>
      </c>
      <c r="B690" t="s">
        <v>784</v>
      </c>
      <c r="C690" t="s">
        <v>1246</v>
      </c>
      <c r="D690" t="s">
        <v>1974</v>
      </c>
      <c r="E690" t="s">
        <v>1975</v>
      </c>
      <c r="F690" t="s">
        <v>1712</v>
      </c>
      <c r="G690" t="s">
        <v>1713</v>
      </c>
      <c r="H690" t="s">
        <v>2302</v>
      </c>
      <c r="I690" t="s">
        <v>4488</v>
      </c>
      <c r="J690" t="s">
        <v>3681</v>
      </c>
      <c r="K690" t="s">
        <v>3682</v>
      </c>
      <c r="M690">
        <v>60</v>
      </c>
      <c r="N690">
        <v>70</v>
      </c>
      <c r="O690" t="s">
        <v>2437</v>
      </c>
      <c r="P690" t="s">
        <v>2437</v>
      </c>
      <c r="R690" t="s">
        <v>2437</v>
      </c>
      <c r="T690" t="s">
        <v>2437</v>
      </c>
      <c r="U690" t="s">
        <v>2437</v>
      </c>
      <c r="V690" t="s">
        <v>2437</v>
      </c>
      <c r="Y690" t="s">
        <v>6948</v>
      </c>
      <c r="Z690" t="s">
        <v>6949</v>
      </c>
      <c r="AA690" t="s">
        <v>6950</v>
      </c>
      <c r="AB690" t="s">
        <v>6951</v>
      </c>
      <c r="AC690" t="s">
        <v>6952</v>
      </c>
      <c r="AD690" t="s">
        <v>6953</v>
      </c>
      <c r="AE690" t="s">
        <v>6961</v>
      </c>
      <c r="AF690" t="s">
        <v>6962</v>
      </c>
      <c r="AG690" t="s">
        <v>6963</v>
      </c>
      <c r="AH690" t="s">
        <v>6964</v>
      </c>
      <c r="AI690" t="s">
        <v>6965</v>
      </c>
      <c r="AJ690" t="s">
        <v>6966</v>
      </c>
      <c r="AR690" t="s">
        <v>4284</v>
      </c>
    </row>
    <row r="691" spans="1:44">
      <c r="A691">
        <v>11125044</v>
      </c>
      <c r="B691" t="s">
        <v>785</v>
      </c>
      <c r="C691" t="s">
        <v>1007</v>
      </c>
      <c r="D691" t="s">
        <v>1754</v>
      </c>
      <c r="E691" t="s">
        <v>1755</v>
      </c>
      <c r="F691" t="s">
        <v>1806</v>
      </c>
      <c r="G691" t="s">
        <v>1807</v>
      </c>
      <c r="H691" t="s">
        <v>2241</v>
      </c>
      <c r="I691" t="s">
        <v>4432</v>
      </c>
      <c r="J691" t="s">
        <v>3683</v>
      </c>
      <c r="K691" t="s">
        <v>3684</v>
      </c>
      <c r="M691">
        <v>50</v>
      </c>
      <c r="N691">
        <v>70</v>
      </c>
      <c r="O691" t="s">
        <v>2437</v>
      </c>
      <c r="P691" t="s">
        <v>2437</v>
      </c>
      <c r="R691" t="s">
        <v>2437</v>
      </c>
      <c r="T691" t="s">
        <v>2437</v>
      </c>
      <c r="U691" t="s">
        <v>2437</v>
      </c>
      <c r="V691" t="s">
        <v>2437</v>
      </c>
      <c r="Y691" t="s">
        <v>6948</v>
      </c>
      <c r="Z691" t="s">
        <v>6949</v>
      </c>
      <c r="AA691" t="s">
        <v>6950</v>
      </c>
      <c r="AB691" t="s">
        <v>6951</v>
      </c>
      <c r="AC691" t="s">
        <v>6952</v>
      </c>
      <c r="AD691" t="s">
        <v>6953</v>
      </c>
      <c r="AE691" t="s">
        <v>6954</v>
      </c>
      <c r="AF691" t="s">
        <v>6955</v>
      </c>
      <c r="AG691" t="s">
        <v>6956</v>
      </c>
      <c r="AH691" t="s">
        <v>6957</v>
      </c>
      <c r="AI691" t="s">
        <v>6958</v>
      </c>
      <c r="AJ691" t="s">
        <v>6959</v>
      </c>
      <c r="AR691" t="s">
        <v>4284</v>
      </c>
    </row>
    <row r="692" spans="1:44">
      <c r="A692">
        <v>11131158</v>
      </c>
      <c r="B692" t="s">
        <v>786</v>
      </c>
      <c r="C692" t="s">
        <v>1001</v>
      </c>
      <c r="D692" t="s">
        <v>1989</v>
      </c>
      <c r="E692" t="s">
        <v>1990</v>
      </c>
      <c r="F692" t="s">
        <v>1512</v>
      </c>
      <c r="G692" t="s">
        <v>1513</v>
      </c>
      <c r="H692" t="s">
        <v>2236</v>
      </c>
      <c r="I692" t="s">
        <v>4427</v>
      </c>
      <c r="J692" t="s">
        <v>3685</v>
      </c>
      <c r="K692" t="s">
        <v>3686</v>
      </c>
      <c r="M692">
        <v>50</v>
      </c>
      <c r="N692">
        <v>70</v>
      </c>
      <c r="O692" t="s">
        <v>2437</v>
      </c>
      <c r="P692" t="s">
        <v>2437</v>
      </c>
      <c r="R692" t="s">
        <v>2437</v>
      </c>
      <c r="T692" t="s">
        <v>2437</v>
      </c>
      <c r="U692" t="s">
        <v>2437</v>
      </c>
      <c r="V692" t="s">
        <v>3687</v>
      </c>
      <c r="Y692" t="s">
        <v>6948</v>
      </c>
      <c r="Z692" t="s">
        <v>6949</v>
      </c>
      <c r="AA692" t="s">
        <v>6950</v>
      </c>
      <c r="AB692" t="s">
        <v>6951</v>
      </c>
      <c r="AC692" t="s">
        <v>6952</v>
      </c>
      <c r="AD692" t="s">
        <v>6953</v>
      </c>
      <c r="AE692" t="s">
        <v>6954</v>
      </c>
      <c r="AF692" t="s">
        <v>6955</v>
      </c>
      <c r="AG692" t="s">
        <v>6956</v>
      </c>
      <c r="AH692" t="s">
        <v>6957</v>
      </c>
      <c r="AI692" t="s">
        <v>6958</v>
      </c>
      <c r="AJ692" t="s">
        <v>6959</v>
      </c>
      <c r="AR692" t="s">
        <v>4284</v>
      </c>
    </row>
    <row r="693" spans="1:44">
      <c r="A693">
        <v>11131159</v>
      </c>
      <c r="B693" t="s">
        <v>787</v>
      </c>
      <c r="C693" t="s">
        <v>1104</v>
      </c>
      <c r="D693" t="s">
        <v>1989</v>
      </c>
      <c r="E693" t="s">
        <v>1990</v>
      </c>
      <c r="F693" t="s">
        <v>1512</v>
      </c>
      <c r="G693" t="s">
        <v>1513</v>
      </c>
      <c r="H693" t="s">
        <v>2235</v>
      </c>
      <c r="I693" t="s">
        <v>4426</v>
      </c>
      <c r="J693" t="s">
        <v>3688</v>
      </c>
      <c r="K693" t="s">
        <v>3689</v>
      </c>
      <c r="M693">
        <v>50</v>
      </c>
      <c r="N693">
        <v>70</v>
      </c>
      <c r="O693" t="s">
        <v>2437</v>
      </c>
      <c r="P693" t="s">
        <v>2437</v>
      </c>
      <c r="R693" t="s">
        <v>2437</v>
      </c>
      <c r="T693" t="s">
        <v>2437</v>
      </c>
      <c r="U693" t="s">
        <v>2437</v>
      </c>
      <c r="V693" t="s">
        <v>3687</v>
      </c>
      <c r="Y693" t="s">
        <v>6948</v>
      </c>
      <c r="Z693" t="s">
        <v>6949</v>
      </c>
      <c r="AA693" t="s">
        <v>6950</v>
      </c>
      <c r="AB693" t="s">
        <v>6951</v>
      </c>
      <c r="AC693" t="s">
        <v>6952</v>
      </c>
      <c r="AD693" t="s">
        <v>6953</v>
      </c>
      <c r="AE693" t="s">
        <v>6954</v>
      </c>
      <c r="AF693" t="s">
        <v>6955</v>
      </c>
      <c r="AG693" t="s">
        <v>6956</v>
      </c>
      <c r="AH693" t="s">
        <v>6957</v>
      </c>
      <c r="AI693" t="s">
        <v>6958</v>
      </c>
      <c r="AJ693" t="s">
        <v>6959</v>
      </c>
      <c r="AR693" t="s">
        <v>4284</v>
      </c>
    </row>
    <row r="694" spans="1:44">
      <c r="A694">
        <v>11131161</v>
      </c>
      <c r="B694" t="s">
        <v>788</v>
      </c>
      <c r="C694" t="s">
        <v>1002</v>
      </c>
      <c r="D694" t="s">
        <v>1989</v>
      </c>
      <c r="E694" t="s">
        <v>1990</v>
      </c>
      <c r="F694" t="s">
        <v>1512</v>
      </c>
      <c r="G694" t="s">
        <v>1513</v>
      </c>
      <c r="H694" t="s">
        <v>2237</v>
      </c>
      <c r="I694" t="s">
        <v>4428</v>
      </c>
      <c r="J694" t="s">
        <v>3690</v>
      </c>
      <c r="K694" t="s">
        <v>3691</v>
      </c>
      <c r="M694">
        <v>50</v>
      </c>
      <c r="N694">
        <v>70</v>
      </c>
      <c r="O694" t="s">
        <v>2437</v>
      </c>
      <c r="P694" t="s">
        <v>2437</v>
      </c>
      <c r="R694" t="s">
        <v>2437</v>
      </c>
      <c r="T694" t="s">
        <v>2437</v>
      </c>
      <c r="U694" t="s">
        <v>2437</v>
      </c>
      <c r="V694" t="s">
        <v>3687</v>
      </c>
      <c r="Y694" t="s">
        <v>6948</v>
      </c>
      <c r="Z694" t="s">
        <v>6949</v>
      </c>
      <c r="AA694" t="s">
        <v>6950</v>
      </c>
      <c r="AB694" t="s">
        <v>6951</v>
      </c>
      <c r="AC694" t="s">
        <v>6952</v>
      </c>
      <c r="AD694" t="s">
        <v>6953</v>
      </c>
      <c r="AE694" t="s">
        <v>6954</v>
      </c>
      <c r="AF694" t="s">
        <v>6955</v>
      </c>
      <c r="AG694" t="s">
        <v>6956</v>
      </c>
      <c r="AH694" t="s">
        <v>6957</v>
      </c>
      <c r="AI694" t="s">
        <v>6958</v>
      </c>
      <c r="AJ694" t="s">
        <v>6959</v>
      </c>
      <c r="AR694" t="s">
        <v>4284</v>
      </c>
    </row>
    <row r="695" spans="1:44">
      <c r="A695">
        <v>11132412</v>
      </c>
      <c r="B695" t="s">
        <v>789</v>
      </c>
      <c r="C695" t="s">
        <v>1358</v>
      </c>
      <c r="D695" t="s">
        <v>1993</v>
      </c>
      <c r="E695" t="s">
        <v>1994</v>
      </c>
      <c r="F695" t="s">
        <v>1991</v>
      </c>
      <c r="G695" t="s">
        <v>1992</v>
      </c>
      <c r="H695" t="s">
        <v>2411</v>
      </c>
      <c r="I695" t="s">
        <v>4580</v>
      </c>
      <c r="J695" t="s">
        <v>3692</v>
      </c>
      <c r="K695" t="s">
        <v>3693</v>
      </c>
      <c r="M695">
        <v>60</v>
      </c>
      <c r="N695">
        <v>70</v>
      </c>
      <c r="O695" t="s">
        <v>2437</v>
      </c>
      <c r="P695" t="s">
        <v>2437</v>
      </c>
      <c r="R695" t="s">
        <v>2437</v>
      </c>
      <c r="T695" t="s">
        <v>2437</v>
      </c>
      <c r="U695" t="s">
        <v>2437</v>
      </c>
      <c r="V695" t="s">
        <v>2437</v>
      </c>
      <c r="Y695" t="s">
        <v>6948</v>
      </c>
      <c r="Z695" t="s">
        <v>6949</v>
      </c>
      <c r="AA695" t="s">
        <v>6950</v>
      </c>
      <c r="AB695" t="s">
        <v>6951</v>
      </c>
      <c r="AC695" t="s">
        <v>6952</v>
      </c>
      <c r="AD695" t="s">
        <v>6953</v>
      </c>
      <c r="AE695" t="s">
        <v>6961</v>
      </c>
      <c r="AF695" t="s">
        <v>6962</v>
      </c>
      <c r="AG695" t="s">
        <v>6963</v>
      </c>
      <c r="AH695" t="s">
        <v>6964</v>
      </c>
      <c r="AI695" t="s">
        <v>6965</v>
      </c>
      <c r="AJ695" t="s">
        <v>6966</v>
      </c>
      <c r="AR695" t="s">
        <v>4284</v>
      </c>
    </row>
    <row r="696" spans="1:44">
      <c r="A696">
        <v>11132413</v>
      </c>
      <c r="B696" t="s">
        <v>790</v>
      </c>
      <c r="C696" t="s">
        <v>1359</v>
      </c>
      <c r="D696" t="s">
        <v>1993</v>
      </c>
      <c r="E696" t="s">
        <v>1994</v>
      </c>
      <c r="F696" t="s">
        <v>1991</v>
      </c>
      <c r="G696" t="s">
        <v>1992</v>
      </c>
      <c r="H696" t="s">
        <v>2412</v>
      </c>
      <c r="I696" t="s">
        <v>4581</v>
      </c>
      <c r="J696" t="s">
        <v>3694</v>
      </c>
      <c r="K696" t="s">
        <v>3695</v>
      </c>
      <c r="M696">
        <v>60</v>
      </c>
      <c r="N696">
        <v>70</v>
      </c>
      <c r="O696" t="s">
        <v>2437</v>
      </c>
      <c r="P696" t="s">
        <v>2437</v>
      </c>
      <c r="R696" t="s">
        <v>2437</v>
      </c>
      <c r="T696" t="s">
        <v>2437</v>
      </c>
      <c r="U696" t="s">
        <v>2437</v>
      </c>
      <c r="V696" t="s">
        <v>2437</v>
      </c>
      <c r="Y696" t="s">
        <v>6948</v>
      </c>
      <c r="Z696" t="s">
        <v>6949</v>
      </c>
      <c r="AA696" t="s">
        <v>6950</v>
      </c>
      <c r="AB696" t="s">
        <v>6951</v>
      </c>
      <c r="AC696" t="s">
        <v>6952</v>
      </c>
      <c r="AD696" t="s">
        <v>6953</v>
      </c>
      <c r="AE696" t="s">
        <v>6961</v>
      </c>
      <c r="AF696" t="s">
        <v>6962</v>
      </c>
      <c r="AG696" t="s">
        <v>6963</v>
      </c>
      <c r="AH696" t="s">
        <v>6964</v>
      </c>
      <c r="AI696" t="s">
        <v>6965</v>
      </c>
      <c r="AJ696" t="s">
        <v>6966</v>
      </c>
      <c r="AR696" t="s">
        <v>4284</v>
      </c>
    </row>
    <row r="697" spans="1:44">
      <c r="A697">
        <v>11132416</v>
      </c>
      <c r="B697" t="s">
        <v>791</v>
      </c>
      <c r="C697" t="s">
        <v>1360</v>
      </c>
      <c r="D697" t="s">
        <v>1993</v>
      </c>
      <c r="E697" t="s">
        <v>1994</v>
      </c>
      <c r="F697" t="s">
        <v>1991</v>
      </c>
      <c r="G697" t="s">
        <v>1992</v>
      </c>
      <c r="H697" t="s">
        <v>2413</v>
      </c>
      <c r="I697" t="s">
        <v>4582</v>
      </c>
      <c r="J697" t="s">
        <v>3696</v>
      </c>
      <c r="K697" t="s">
        <v>3697</v>
      </c>
      <c r="M697">
        <v>60</v>
      </c>
      <c r="N697">
        <v>70</v>
      </c>
      <c r="O697" t="s">
        <v>2437</v>
      </c>
      <c r="P697" t="s">
        <v>2437</v>
      </c>
      <c r="R697" t="s">
        <v>2437</v>
      </c>
      <c r="T697" t="s">
        <v>2437</v>
      </c>
      <c r="U697" t="s">
        <v>2437</v>
      </c>
      <c r="V697" t="s">
        <v>2437</v>
      </c>
      <c r="Y697" t="s">
        <v>6948</v>
      </c>
      <c r="Z697" t="s">
        <v>6949</v>
      </c>
      <c r="AA697" t="s">
        <v>6950</v>
      </c>
      <c r="AB697" t="s">
        <v>6951</v>
      </c>
      <c r="AC697" t="s">
        <v>6952</v>
      </c>
      <c r="AD697" t="s">
        <v>6953</v>
      </c>
      <c r="AE697" t="s">
        <v>6961</v>
      </c>
      <c r="AF697" t="s">
        <v>6962</v>
      </c>
      <c r="AG697" t="s">
        <v>6963</v>
      </c>
      <c r="AH697" t="s">
        <v>6964</v>
      </c>
      <c r="AI697" t="s">
        <v>6965</v>
      </c>
      <c r="AJ697" t="s">
        <v>6966</v>
      </c>
      <c r="AR697" t="s">
        <v>4284</v>
      </c>
    </row>
    <row r="698" spans="1:44">
      <c r="A698">
        <v>11132417</v>
      </c>
      <c r="B698" t="s">
        <v>792</v>
      </c>
      <c r="C698" t="s">
        <v>1361</v>
      </c>
      <c r="D698" t="s">
        <v>1993</v>
      </c>
      <c r="E698" t="s">
        <v>1994</v>
      </c>
      <c r="F698" t="s">
        <v>1991</v>
      </c>
      <c r="G698" t="s">
        <v>1992</v>
      </c>
      <c r="H698" t="s">
        <v>2414</v>
      </c>
      <c r="I698" t="s">
        <v>4583</v>
      </c>
      <c r="J698" t="s">
        <v>3698</v>
      </c>
      <c r="K698" t="s">
        <v>3699</v>
      </c>
      <c r="M698">
        <v>60</v>
      </c>
      <c r="N698">
        <v>70</v>
      </c>
      <c r="O698" t="s">
        <v>2437</v>
      </c>
      <c r="P698" t="s">
        <v>2437</v>
      </c>
      <c r="R698" t="s">
        <v>2437</v>
      </c>
      <c r="T698" t="s">
        <v>2437</v>
      </c>
      <c r="U698" t="s">
        <v>2437</v>
      </c>
      <c r="V698" t="s">
        <v>2437</v>
      </c>
      <c r="Y698" t="s">
        <v>6948</v>
      </c>
      <c r="Z698" t="s">
        <v>6949</v>
      </c>
      <c r="AA698" t="s">
        <v>6950</v>
      </c>
      <c r="AB698" t="s">
        <v>6951</v>
      </c>
      <c r="AC698" t="s">
        <v>6952</v>
      </c>
      <c r="AD698" t="s">
        <v>6953</v>
      </c>
      <c r="AE698" t="s">
        <v>6961</v>
      </c>
      <c r="AF698" t="s">
        <v>6962</v>
      </c>
      <c r="AG698" t="s">
        <v>6963</v>
      </c>
      <c r="AH698" t="s">
        <v>6964</v>
      </c>
      <c r="AI698" t="s">
        <v>6965</v>
      </c>
      <c r="AJ698" t="s">
        <v>6966</v>
      </c>
      <c r="AR698" t="s">
        <v>4284</v>
      </c>
    </row>
    <row r="699" spans="1:44">
      <c r="A699">
        <v>11132354</v>
      </c>
      <c r="B699" t="s">
        <v>793</v>
      </c>
      <c r="C699" t="s">
        <v>1229</v>
      </c>
      <c r="D699" t="s">
        <v>1995</v>
      </c>
      <c r="E699" t="s">
        <v>1996</v>
      </c>
      <c r="F699" t="s">
        <v>1574</v>
      </c>
      <c r="G699" t="s">
        <v>1575</v>
      </c>
      <c r="H699" t="s">
        <v>2287</v>
      </c>
      <c r="I699" t="s">
        <v>4474</v>
      </c>
      <c r="J699" t="s">
        <v>3700</v>
      </c>
      <c r="K699" t="s">
        <v>3701</v>
      </c>
      <c r="M699">
        <v>60</v>
      </c>
      <c r="N699">
        <v>70</v>
      </c>
      <c r="O699" t="s">
        <v>2437</v>
      </c>
      <c r="P699" t="s">
        <v>2437</v>
      </c>
      <c r="R699" t="s">
        <v>2437</v>
      </c>
      <c r="T699" t="s">
        <v>2437</v>
      </c>
      <c r="U699" t="s">
        <v>2437</v>
      </c>
      <c r="V699" t="s">
        <v>2437</v>
      </c>
      <c r="Y699" t="s">
        <v>6948</v>
      </c>
      <c r="Z699" t="s">
        <v>6949</v>
      </c>
      <c r="AA699" t="s">
        <v>6950</v>
      </c>
      <c r="AB699" t="s">
        <v>6951</v>
      </c>
      <c r="AC699" t="s">
        <v>6952</v>
      </c>
      <c r="AD699" t="s">
        <v>6953</v>
      </c>
      <c r="AE699" t="s">
        <v>6961</v>
      </c>
      <c r="AF699" t="s">
        <v>6962</v>
      </c>
      <c r="AG699" t="s">
        <v>6963</v>
      </c>
      <c r="AH699" t="s">
        <v>6964</v>
      </c>
      <c r="AI699" t="s">
        <v>6965</v>
      </c>
      <c r="AJ699" t="s">
        <v>6966</v>
      </c>
      <c r="AR699" t="s">
        <v>4284</v>
      </c>
    </row>
    <row r="700" spans="1:44">
      <c r="A700">
        <v>11132355</v>
      </c>
      <c r="B700" t="s">
        <v>794</v>
      </c>
      <c r="C700" t="s">
        <v>1231</v>
      </c>
      <c r="D700" t="s">
        <v>1995</v>
      </c>
      <c r="E700" t="s">
        <v>1996</v>
      </c>
      <c r="F700" t="s">
        <v>1574</v>
      </c>
      <c r="G700" t="s">
        <v>1575</v>
      </c>
      <c r="H700" t="s">
        <v>2289</v>
      </c>
      <c r="I700" t="s">
        <v>4476</v>
      </c>
      <c r="J700" t="s">
        <v>3702</v>
      </c>
      <c r="K700" t="s">
        <v>3703</v>
      </c>
      <c r="M700">
        <v>60</v>
      </c>
      <c r="N700">
        <v>70</v>
      </c>
      <c r="O700" t="s">
        <v>2437</v>
      </c>
      <c r="P700" t="s">
        <v>2437</v>
      </c>
      <c r="R700" t="s">
        <v>2437</v>
      </c>
      <c r="T700" t="s">
        <v>2437</v>
      </c>
      <c r="U700" t="s">
        <v>2437</v>
      </c>
      <c r="V700" t="s">
        <v>2437</v>
      </c>
      <c r="Y700" t="s">
        <v>6948</v>
      </c>
      <c r="Z700" t="s">
        <v>6949</v>
      </c>
      <c r="AA700" t="s">
        <v>6950</v>
      </c>
      <c r="AB700" t="s">
        <v>6951</v>
      </c>
      <c r="AC700" t="s">
        <v>6952</v>
      </c>
      <c r="AD700" t="s">
        <v>6953</v>
      </c>
      <c r="AE700" t="s">
        <v>6961</v>
      </c>
      <c r="AF700" t="s">
        <v>6962</v>
      </c>
      <c r="AG700" t="s">
        <v>6963</v>
      </c>
      <c r="AH700" t="s">
        <v>6964</v>
      </c>
      <c r="AI700" t="s">
        <v>6965</v>
      </c>
      <c r="AJ700" t="s">
        <v>6966</v>
      </c>
      <c r="AR700" t="s">
        <v>4284</v>
      </c>
    </row>
    <row r="701" spans="1:44">
      <c r="A701">
        <v>11132356</v>
      </c>
      <c r="B701" t="s">
        <v>795</v>
      </c>
      <c r="C701" t="s">
        <v>1232</v>
      </c>
      <c r="D701" t="s">
        <v>1995</v>
      </c>
      <c r="E701" t="s">
        <v>1996</v>
      </c>
      <c r="F701" t="s">
        <v>1574</v>
      </c>
      <c r="G701" t="s">
        <v>1575</v>
      </c>
      <c r="H701" t="s">
        <v>2290</v>
      </c>
      <c r="I701" t="s">
        <v>4477</v>
      </c>
      <c r="J701" t="s">
        <v>3704</v>
      </c>
      <c r="K701" t="s">
        <v>3705</v>
      </c>
      <c r="M701">
        <v>60</v>
      </c>
      <c r="N701">
        <v>70</v>
      </c>
      <c r="O701" t="s">
        <v>2437</v>
      </c>
      <c r="P701" t="s">
        <v>2437</v>
      </c>
      <c r="R701" t="s">
        <v>2437</v>
      </c>
      <c r="T701" t="s">
        <v>2437</v>
      </c>
      <c r="U701" t="s">
        <v>2437</v>
      </c>
      <c r="V701" t="s">
        <v>2437</v>
      </c>
      <c r="Y701" t="s">
        <v>6948</v>
      </c>
      <c r="Z701" t="s">
        <v>6949</v>
      </c>
      <c r="AA701" t="s">
        <v>6950</v>
      </c>
      <c r="AB701" t="s">
        <v>6951</v>
      </c>
      <c r="AC701" t="s">
        <v>6952</v>
      </c>
      <c r="AD701" t="s">
        <v>6953</v>
      </c>
      <c r="AE701" t="s">
        <v>6961</v>
      </c>
      <c r="AF701" t="s">
        <v>6962</v>
      </c>
      <c r="AG701" t="s">
        <v>6963</v>
      </c>
      <c r="AH701" t="s">
        <v>6964</v>
      </c>
      <c r="AI701" t="s">
        <v>6965</v>
      </c>
      <c r="AJ701" t="s">
        <v>6966</v>
      </c>
      <c r="AR701" t="s">
        <v>4284</v>
      </c>
    </row>
    <row r="702" spans="1:44">
      <c r="A702">
        <v>11132404</v>
      </c>
      <c r="B702" t="s">
        <v>796</v>
      </c>
      <c r="C702" t="s">
        <v>1358</v>
      </c>
      <c r="D702" t="s">
        <v>1997</v>
      </c>
      <c r="E702" t="s">
        <v>1998</v>
      </c>
      <c r="F702" t="s">
        <v>1991</v>
      </c>
      <c r="G702" t="s">
        <v>1992</v>
      </c>
      <c r="H702" t="s">
        <v>2411</v>
      </c>
      <c r="I702" t="s">
        <v>4580</v>
      </c>
      <c r="J702" t="s">
        <v>3706</v>
      </c>
      <c r="K702" t="s">
        <v>3707</v>
      </c>
      <c r="M702">
        <v>60</v>
      </c>
      <c r="N702">
        <v>70</v>
      </c>
      <c r="O702" t="s">
        <v>2437</v>
      </c>
      <c r="P702" t="s">
        <v>2437</v>
      </c>
      <c r="R702" t="s">
        <v>2437</v>
      </c>
      <c r="T702" t="s">
        <v>2437</v>
      </c>
      <c r="U702" t="s">
        <v>2437</v>
      </c>
      <c r="V702" t="s">
        <v>2437</v>
      </c>
      <c r="Y702" t="s">
        <v>6948</v>
      </c>
      <c r="Z702" t="s">
        <v>6949</v>
      </c>
      <c r="AA702" t="s">
        <v>6950</v>
      </c>
      <c r="AB702" t="s">
        <v>6951</v>
      </c>
      <c r="AC702" t="s">
        <v>6952</v>
      </c>
      <c r="AD702" t="s">
        <v>6953</v>
      </c>
      <c r="AE702" t="s">
        <v>6961</v>
      </c>
      <c r="AF702" t="s">
        <v>6962</v>
      </c>
      <c r="AG702" t="s">
        <v>6963</v>
      </c>
      <c r="AH702" t="s">
        <v>6964</v>
      </c>
      <c r="AI702" t="s">
        <v>6965</v>
      </c>
      <c r="AJ702" t="s">
        <v>6966</v>
      </c>
      <c r="AR702" t="s">
        <v>4284</v>
      </c>
    </row>
    <row r="703" spans="1:44">
      <c r="A703">
        <v>11132405</v>
      </c>
      <c r="B703" t="s">
        <v>797</v>
      </c>
      <c r="C703" t="s">
        <v>1359</v>
      </c>
      <c r="D703" t="s">
        <v>1997</v>
      </c>
      <c r="E703" t="s">
        <v>1998</v>
      </c>
      <c r="F703" t="s">
        <v>1991</v>
      </c>
      <c r="G703" t="s">
        <v>1992</v>
      </c>
      <c r="H703" t="s">
        <v>2412</v>
      </c>
      <c r="I703" t="s">
        <v>4581</v>
      </c>
      <c r="J703" t="s">
        <v>3708</v>
      </c>
      <c r="K703" t="s">
        <v>3709</v>
      </c>
      <c r="M703">
        <v>60</v>
      </c>
      <c r="N703">
        <v>70</v>
      </c>
      <c r="O703" t="s">
        <v>2437</v>
      </c>
      <c r="P703" t="s">
        <v>2437</v>
      </c>
      <c r="R703" t="s">
        <v>2437</v>
      </c>
      <c r="T703" t="s">
        <v>2437</v>
      </c>
      <c r="U703" t="s">
        <v>2437</v>
      </c>
      <c r="V703" t="s">
        <v>2437</v>
      </c>
      <c r="Y703" t="s">
        <v>6948</v>
      </c>
      <c r="Z703" t="s">
        <v>6949</v>
      </c>
      <c r="AA703" t="s">
        <v>6950</v>
      </c>
      <c r="AB703" t="s">
        <v>6951</v>
      </c>
      <c r="AC703" t="s">
        <v>6952</v>
      </c>
      <c r="AD703" t="s">
        <v>6953</v>
      </c>
      <c r="AE703" t="s">
        <v>6961</v>
      </c>
      <c r="AF703" t="s">
        <v>6962</v>
      </c>
      <c r="AG703" t="s">
        <v>6963</v>
      </c>
      <c r="AH703" t="s">
        <v>6964</v>
      </c>
      <c r="AI703" t="s">
        <v>6965</v>
      </c>
      <c r="AJ703" t="s">
        <v>6966</v>
      </c>
      <c r="AR703" t="s">
        <v>4284</v>
      </c>
    </row>
    <row r="704" spans="1:44">
      <c r="A704">
        <v>11132406</v>
      </c>
      <c r="B704" t="s">
        <v>798</v>
      </c>
      <c r="C704" t="s">
        <v>1363</v>
      </c>
      <c r="D704" t="s">
        <v>1997</v>
      </c>
      <c r="E704" t="s">
        <v>1998</v>
      </c>
      <c r="F704" t="s">
        <v>1991</v>
      </c>
      <c r="G704" t="s">
        <v>1992</v>
      </c>
      <c r="H704" t="s">
        <v>2416</v>
      </c>
      <c r="I704" t="s">
        <v>4584</v>
      </c>
      <c r="J704" t="s">
        <v>3710</v>
      </c>
      <c r="K704" t="s">
        <v>3711</v>
      </c>
      <c r="M704">
        <v>60</v>
      </c>
      <c r="N704">
        <v>70</v>
      </c>
      <c r="O704" t="s">
        <v>2437</v>
      </c>
      <c r="P704" t="s">
        <v>2437</v>
      </c>
      <c r="R704" t="s">
        <v>2437</v>
      </c>
      <c r="T704" t="s">
        <v>2437</v>
      </c>
      <c r="U704" t="s">
        <v>2437</v>
      </c>
      <c r="V704" t="s">
        <v>2437</v>
      </c>
      <c r="Y704" t="s">
        <v>6948</v>
      </c>
      <c r="Z704" t="s">
        <v>6949</v>
      </c>
      <c r="AA704" t="s">
        <v>6950</v>
      </c>
      <c r="AB704" t="s">
        <v>6951</v>
      </c>
      <c r="AC704" t="s">
        <v>6952</v>
      </c>
      <c r="AD704" t="s">
        <v>6953</v>
      </c>
      <c r="AE704" t="s">
        <v>6961</v>
      </c>
      <c r="AF704" t="s">
        <v>6962</v>
      </c>
      <c r="AG704" t="s">
        <v>6963</v>
      </c>
      <c r="AH704" t="s">
        <v>6964</v>
      </c>
      <c r="AI704" t="s">
        <v>6965</v>
      </c>
      <c r="AJ704" t="s">
        <v>6966</v>
      </c>
      <c r="AR704" t="s">
        <v>4284</v>
      </c>
    </row>
    <row r="705" spans="1:44">
      <c r="A705">
        <v>11132407</v>
      </c>
      <c r="B705" t="s">
        <v>799</v>
      </c>
      <c r="C705" t="s">
        <v>1364</v>
      </c>
      <c r="D705" t="s">
        <v>1997</v>
      </c>
      <c r="E705" t="s">
        <v>1998</v>
      </c>
      <c r="F705" t="s">
        <v>1991</v>
      </c>
      <c r="G705" t="s">
        <v>1992</v>
      </c>
      <c r="H705" t="s">
        <v>2417</v>
      </c>
      <c r="I705" t="s">
        <v>4585</v>
      </c>
      <c r="J705" t="s">
        <v>3712</v>
      </c>
      <c r="K705" t="s">
        <v>3713</v>
      </c>
      <c r="M705">
        <v>60</v>
      </c>
      <c r="N705">
        <v>70</v>
      </c>
      <c r="O705" t="s">
        <v>2437</v>
      </c>
      <c r="P705" t="s">
        <v>2437</v>
      </c>
      <c r="R705" t="s">
        <v>2437</v>
      </c>
      <c r="T705" t="s">
        <v>2437</v>
      </c>
      <c r="U705" t="s">
        <v>2437</v>
      </c>
      <c r="V705" t="s">
        <v>2437</v>
      </c>
      <c r="Y705" t="s">
        <v>6948</v>
      </c>
      <c r="Z705" t="s">
        <v>6949</v>
      </c>
      <c r="AA705" t="s">
        <v>6950</v>
      </c>
      <c r="AB705" t="s">
        <v>6951</v>
      </c>
      <c r="AC705" t="s">
        <v>6952</v>
      </c>
      <c r="AD705" t="s">
        <v>6953</v>
      </c>
      <c r="AE705" t="s">
        <v>6961</v>
      </c>
      <c r="AF705" t="s">
        <v>6962</v>
      </c>
      <c r="AG705" t="s">
        <v>6963</v>
      </c>
      <c r="AH705" t="s">
        <v>6964</v>
      </c>
      <c r="AI705" t="s">
        <v>6965</v>
      </c>
      <c r="AJ705" t="s">
        <v>6966</v>
      </c>
      <c r="AR705" t="s">
        <v>4284</v>
      </c>
    </row>
    <row r="706" spans="1:44">
      <c r="A706">
        <v>11132408</v>
      </c>
      <c r="B706" t="s">
        <v>800</v>
      </c>
      <c r="C706" t="s">
        <v>1360</v>
      </c>
      <c r="D706" t="s">
        <v>1997</v>
      </c>
      <c r="E706" t="s">
        <v>1998</v>
      </c>
      <c r="F706" t="s">
        <v>1991</v>
      </c>
      <c r="G706" t="s">
        <v>1992</v>
      </c>
      <c r="H706" t="s">
        <v>2413</v>
      </c>
      <c r="I706" t="s">
        <v>4582</v>
      </c>
      <c r="J706" t="s">
        <v>3714</v>
      </c>
      <c r="K706" t="s">
        <v>3715</v>
      </c>
      <c r="M706">
        <v>60</v>
      </c>
      <c r="N706">
        <v>70</v>
      </c>
      <c r="O706" t="s">
        <v>2437</v>
      </c>
      <c r="P706" t="s">
        <v>2437</v>
      </c>
      <c r="R706" t="s">
        <v>2437</v>
      </c>
      <c r="T706" t="s">
        <v>2437</v>
      </c>
      <c r="U706" t="s">
        <v>2437</v>
      </c>
      <c r="V706" t="s">
        <v>2437</v>
      </c>
      <c r="Y706" t="s">
        <v>6948</v>
      </c>
      <c r="Z706" t="s">
        <v>6949</v>
      </c>
      <c r="AA706" t="s">
        <v>6950</v>
      </c>
      <c r="AB706" t="s">
        <v>6951</v>
      </c>
      <c r="AC706" t="s">
        <v>6952</v>
      </c>
      <c r="AD706" t="s">
        <v>6953</v>
      </c>
      <c r="AE706" t="s">
        <v>6961</v>
      </c>
      <c r="AF706" t="s">
        <v>6962</v>
      </c>
      <c r="AG706" t="s">
        <v>6963</v>
      </c>
      <c r="AH706" t="s">
        <v>6964</v>
      </c>
      <c r="AI706" t="s">
        <v>6965</v>
      </c>
      <c r="AJ706" t="s">
        <v>6966</v>
      </c>
      <c r="AR706" t="s">
        <v>4284</v>
      </c>
    </row>
    <row r="707" spans="1:44">
      <c r="A707">
        <v>11132409</v>
      </c>
      <c r="B707" t="s">
        <v>801</v>
      </c>
      <c r="C707" t="s">
        <v>1361</v>
      </c>
      <c r="D707" t="s">
        <v>1997</v>
      </c>
      <c r="E707" t="s">
        <v>1998</v>
      </c>
      <c r="F707" t="s">
        <v>1991</v>
      </c>
      <c r="G707" t="s">
        <v>1992</v>
      </c>
      <c r="H707" t="s">
        <v>2414</v>
      </c>
      <c r="I707" t="s">
        <v>4583</v>
      </c>
      <c r="J707" t="s">
        <v>3716</v>
      </c>
      <c r="K707" t="s">
        <v>3717</v>
      </c>
      <c r="M707">
        <v>60</v>
      </c>
      <c r="N707">
        <v>70</v>
      </c>
      <c r="O707" t="s">
        <v>2437</v>
      </c>
      <c r="P707" t="s">
        <v>2437</v>
      </c>
      <c r="R707" t="s">
        <v>2437</v>
      </c>
      <c r="T707" t="s">
        <v>2437</v>
      </c>
      <c r="U707" t="s">
        <v>2437</v>
      </c>
      <c r="V707" t="s">
        <v>2437</v>
      </c>
      <c r="Y707" t="s">
        <v>6948</v>
      </c>
      <c r="Z707" t="s">
        <v>6949</v>
      </c>
      <c r="AA707" t="s">
        <v>6950</v>
      </c>
      <c r="AB707" t="s">
        <v>6951</v>
      </c>
      <c r="AC707" t="s">
        <v>6952</v>
      </c>
      <c r="AD707" t="s">
        <v>6953</v>
      </c>
      <c r="AE707" t="s">
        <v>6961</v>
      </c>
      <c r="AF707" t="s">
        <v>6962</v>
      </c>
      <c r="AG707" t="s">
        <v>6963</v>
      </c>
      <c r="AH707" t="s">
        <v>6964</v>
      </c>
      <c r="AI707" t="s">
        <v>6965</v>
      </c>
      <c r="AJ707" t="s">
        <v>6966</v>
      </c>
      <c r="AR707" t="s">
        <v>4284</v>
      </c>
    </row>
    <row r="708" spans="1:44">
      <c r="A708">
        <v>11132410</v>
      </c>
      <c r="B708" t="s">
        <v>802</v>
      </c>
      <c r="C708" t="s">
        <v>1357</v>
      </c>
      <c r="D708" t="s">
        <v>1999</v>
      </c>
      <c r="E708" t="s">
        <v>2000</v>
      </c>
      <c r="F708" t="s">
        <v>1991</v>
      </c>
      <c r="G708" t="s">
        <v>1992</v>
      </c>
      <c r="H708" t="s">
        <v>2410</v>
      </c>
      <c r="I708" t="s">
        <v>4586</v>
      </c>
      <c r="J708" t="s">
        <v>3718</v>
      </c>
      <c r="K708" t="s">
        <v>3719</v>
      </c>
      <c r="M708">
        <v>60</v>
      </c>
      <c r="N708">
        <v>70</v>
      </c>
      <c r="O708" t="s">
        <v>2437</v>
      </c>
      <c r="P708" t="s">
        <v>2437</v>
      </c>
      <c r="R708" t="s">
        <v>2437</v>
      </c>
      <c r="T708" t="s">
        <v>2437</v>
      </c>
      <c r="U708" t="s">
        <v>2437</v>
      </c>
      <c r="V708" t="s">
        <v>2437</v>
      </c>
      <c r="Y708" t="s">
        <v>6948</v>
      </c>
      <c r="Z708" t="s">
        <v>6949</v>
      </c>
      <c r="AA708" t="s">
        <v>6950</v>
      </c>
      <c r="AB708" t="s">
        <v>6951</v>
      </c>
      <c r="AC708" t="s">
        <v>6952</v>
      </c>
      <c r="AD708" t="s">
        <v>6953</v>
      </c>
      <c r="AE708" t="s">
        <v>6961</v>
      </c>
      <c r="AF708" t="s">
        <v>6962</v>
      </c>
      <c r="AG708" t="s">
        <v>6963</v>
      </c>
      <c r="AH708" t="s">
        <v>6964</v>
      </c>
      <c r="AI708" t="s">
        <v>6965</v>
      </c>
      <c r="AJ708" t="s">
        <v>6966</v>
      </c>
      <c r="AR708" t="s">
        <v>4284</v>
      </c>
    </row>
    <row r="709" spans="1:44">
      <c r="A709">
        <v>11132411</v>
      </c>
      <c r="B709" t="s">
        <v>803</v>
      </c>
      <c r="C709" t="s">
        <v>1362</v>
      </c>
      <c r="D709" t="s">
        <v>1999</v>
      </c>
      <c r="E709" t="s">
        <v>2000</v>
      </c>
      <c r="F709" t="s">
        <v>1991</v>
      </c>
      <c r="G709" t="s">
        <v>1992</v>
      </c>
      <c r="H709" t="s">
        <v>2415</v>
      </c>
      <c r="I709" t="s">
        <v>4587</v>
      </c>
      <c r="J709" t="s">
        <v>3720</v>
      </c>
      <c r="K709" t="s">
        <v>3721</v>
      </c>
      <c r="M709">
        <v>60</v>
      </c>
      <c r="N709">
        <v>70</v>
      </c>
      <c r="O709" t="s">
        <v>2437</v>
      </c>
      <c r="P709" t="s">
        <v>2437</v>
      </c>
      <c r="R709" t="s">
        <v>2437</v>
      </c>
      <c r="T709" t="s">
        <v>2437</v>
      </c>
      <c r="U709" t="s">
        <v>2437</v>
      </c>
      <c r="V709" t="s">
        <v>2437</v>
      </c>
      <c r="Y709" t="s">
        <v>6948</v>
      </c>
      <c r="Z709" t="s">
        <v>6949</v>
      </c>
      <c r="AA709" t="s">
        <v>6950</v>
      </c>
      <c r="AB709" t="s">
        <v>6951</v>
      </c>
      <c r="AC709" t="s">
        <v>6952</v>
      </c>
      <c r="AD709" t="s">
        <v>6953</v>
      </c>
      <c r="AE709" t="s">
        <v>6961</v>
      </c>
      <c r="AF709" t="s">
        <v>6962</v>
      </c>
      <c r="AG709" t="s">
        <v>6963</v>
      </c>
      <c r="AH709" t="s">
        <v>6964</v>
      </c>
      <c r="AI709" t="s">
        <v>6965</v>
      </c>
      <c r="AJ709" t="s">
        <v>6966</v>
      </c>
      <c r="AR709" t="s">
        <v>4284</v>
      </c>
    </row>
    <row r="710" spans="1:44">
      <c r="A710">
        <v>11132414</v>
      </c>
      <c r="B710" t="s">
        <v>804</v>
      </c>
      <c r="C710" t="s">
        <v>1363</v>
      </c>
      <c r="D710" t="s">
        <v>1993</v>
      </c>
      <c r="E710" t="s">
        <v>1994</v>
      </c>
      <c r="F710" t="s">
        <v>1991</v>
      </c>
      <c r="G710" t="s">
        <v>1992</v>
      </c>
      <c r="H710" t="s">
        <v>2416</v>
      </c>
      <c r="I710" t="s">
        <v>4584</v>
      </c>
      <c r="J710" t="s">
        <v>3722</v>
      </c>
      <c r="K710" t="s">
        <v>3723</v>
      </c>
      <c r="M710">
        <v>60</v>
      </c>
      <c r="N710">
        <v>70</v>
      </c>
      <c r="O710" t="s">
        <v>2437</v>
      </c>
      <c r="P710" t="s">
        <v>2437</v>
      </c>
      <c r="R710" t="s">
        <v>2437</v>
      </c>
      <c r="T710" t="s">
        <v>2437</v>
      </c>
      <c r="U710" t="s">
        <v>2437</v>
      </c>
      <c r="V710" t="s">
        <v>2437</v>
      </c>
      <c r="Y710" t="s">
        <v>6948</v>
      </c>
      <c r="Z710" t="s">
        <v>6949</v>
      </c>
      <c r="AA710" t="s">
        <v>6950</v>
      </c>
      <c r="AB710" t="s">
        <v>6951</v>
      </c>
      <c r="AC710" t="s">
        <v>6952</v>
      </c>
      <c r="AD710" t="s">
        <v>6953</v>
      </c>
      <c r="AE710" t="s">
        <v>6961</v>
      </c>
      <c r="AF710" t="s">
        <v>6962</v>
      </c>
      <c r="AG710" t="s">
        <v>6963</v>
      </c>
      <c r="AH710" t="s">
        <v>6964</v>
      </c>
      <c r="AI710" t="s">
        <v>6965</v>
      </c>
      <c r="AJ710" t="s">
        <v>6966</v>
      </c>
      <c r="AR710" t="s">
        <v>4284</v>
      </c>
    </row>
    <row r="711" spans="1:44">
      <c r="A711">
        <v>11132415</v>
      </c>
      <c r="B711" t="s">
        <v>805</v>
      </c>
      <c r="C711" t="s">
        <v>1364</v>
      </c>
      <c r="D711" t="s">
        <v>1993</v>
      </c>
      <c r="E711" t="s">
        <v>1994</v>
      </c>
      <c r="F711" t="s">
        <v>1991</v>
      </c>
      <c r="G711" t="s">
        <v>1992</v>
      </c>
      <c r="H711" t="s">
        <v>2417</v>
      </c>
      <c r="I711" t="s">
        <v>4585</v>
      </c>
      <c r="J711" t="s">
        <v>3724</v>
      </c>
      <c r="K711" t="s">
        <v>3725</v>
      </c>
      <c r="M711">
        <v>60</v>
      </c>
      <c r="N711">
        <v>70</v>
      </c>
      <c r="O711" t="s">
        <v>2437</v>
      </c>
      <c r="P711" t="s">
        <v>2437</v>
      </c>
      <c r="R711" t="s">
        <v>2437</v>
      </c>
      <c r="T711" t="s">
        <v>2437</v>
      </c>
      <c r="U711" t="s">
        <v>2437</v>
      </c>
      <c r="V711" t="s">
        <v>2437</v>
      </c>
      <c r="Y711" t="s">
        <v>6948</v>
      </c>
      <c r="Z711" t="s">
        <v>6949</v>
      </c>
      <c r="AA711" t="s">
        <v>6950</v>
      </c>
      <c r="AB711" t="s">
        <v>6951</v>
      </c>
      <c r="AC711" t="s">
        <v>6952</v>
      </c>
      <c r="AD711" t="s">
        <v>6953</v>
      </c>
      <c r="AE711" t="s">
        <v>6961</v>
      </c>
      <c r="AF711" t="s">
        <v>6962</v>
      </c>
      <c r="AG711" t="s">
        <v>6963</v>
      </c>
      <c r="AH711" t="s">
        <v>6964</v>
      </c>
      <c r="AI711" t="s">
        <v>6965</v>
      </c>
      <c r="AJ711" t="s">
        <v>6966</v>
      </c>
      <c r="AR711" t="s">
        <v>4284</v>
      </c>
    </row>
    <row r="712" spans="1:44">
      <c r="A712">
        <v>11132360</v>
      </c>
      <c r="B712" t="s">
        <v>806</v>
      </c>
      <c r="C712" t="s">
        <v>1365</v>
      </c>
      <c r="D712" t="s">
        <v>2001</v>
      </c>
      <c r="E712" t="s">
        <v>2002</v>
      </c>
      <c r="F712" t="s">
        <v>1654</v>
      </c>
      <c r="G712" t="s">
        <v>1655</v>
      </c>
      <c r="H712" t="s">
        <v>2239</v>
      </c>
      <c r="I712" t="s">
        <v>4430</v>
      </c>
      <c r="J712" t="s">
        <v>3726</v>
      </c>
      <c r="K712" t="s">
        <v>3727</v>
      </c>
      <c r="M712">
        <v>50</v>
      </c>
      <c r="N712">
        <v>70</v>
      </c>
      <c r="O712" t="s">
        <v>2437</v>
      </c>
      <c r="P712" t="s">
        <v>2437</v>
      </c>
      <c r="R712" t="s">
        <v>2437</v>
      </c>
      <c r="T712" t="s">
        <v>2437</v>
      </c>
      <c r="U712" t="s">
        <v>2437</v>
      </c>
      <c r="V712" t="s">
        <v>2437</v>
      </c>
      <c r="Y712" t="s">
        <v>6948</v>
      </c>
      <c r="Z712" t="s">
        <v>6949</v>
      </c>
      <c r="AA712" t="s">
        <v>6950</v>
      </c>
      <c r="AB712" t="s">
        <v>6951</v>
      </c>
      <c r="AC712" t="s">
        <v>6952</v>
      </c>
      <c r="AD712" t="s">
        <v>6953</v>
      </c>
      <c r="AE712" t="s">
        <v>6954</v>
      </c>
      <c r="AF712" t="s">
        <v>6955</v>
      </c>
      <c r="AG712" t="s">
        <v>6956</v>
      </c>
      <c r="AH712" t="s">
        <v>6957</v>
      </c>
      <c r="AI712" t="s">
        <v>6958</v>
      </c>
      <c r="AJ712" t="s">
        <v>6959</v>
      </c>
      <c r="AR712" t="s">
        <v>4284</v>
      </c>
    </row>
    <row r="713" spans="1:44">
      <c r="A713">
        <v>11132361</v>
      </c>
      <c r="B713" t="s">
        <v>807</v>
      </c>
      <c r="C713" t="s">
        <v>1366</v>
      </c>
      <c r="D713" t="s">
        <v>2001</v>
      </c>
      <c r="E713" t="s">
        <v>2002</v>
      </c>
      <c r="F713" t="s">
        <v>1654</v>
      </c>
      <c r="G713" t="s">
        <v>1655</v>
      </c>
      <c r="H713" t="s">
        <v>2240</v>
      </c>
      <c r="I713" t="s">
        <v>4431</v>
      </c>
      <c r="J713" t="s">
        <v>3728</v>
      </c>
      <c r="K713" t="s">
        <v>3729</v>
      </c>
      <c r="M713">
        <v>50</v>
      </c>
      <c r="N713">
        <v>70</v>
      </c>
      <c r="O713" t="s">
        <v>2437</v>
      </c>
      <c r="P713" t="s">
        <v>2437</v>
      </c>
      <c r="R713" t="s">
        <v>2437</v>
      </c>
      <c r="T713" t="s">
        <v>2437</v>
      </c>
      <c r="U713" t="s">
        <v>2437</v>
      </c>
      <c r="V713" t="s">
        <v>2437</v>
      </c>
      <c r="Y713" t="s">
        <v>6948</v>
      </c>
      <c r="Z713" t="s">
        <v>6949</v>
      </c>
      <c r="AA713" t="s">
        <v>6950</v>
      </c>
      <c r="AB713" t="s">
        <v>6951</v>
      </c>
      <c r="AC713" t="s">
        <v>6952</v>
      </c>
      <c r="AD713" t="s">
        <v>6953</v>
      </c>
      <c r="AE713" t="s">
        <v>6954</v>
      </c>
      <c r="AF713" t="s">
        <v>6955</v>
      </c>
      <c r="AG713" t="s">
        <v>6956</v>
      </c>
      <c r="AH713" t="s">
        <v>6957</v>
      </c>
      <c r="AI713" t="s">
        <v>6958</v>
      </c>
      <c r="AJ713" t="s">
        <v>6959</v>
      </c>
      <c r="AR713" t="s">
        <v>4284</v>
      </c>
    </row>
    <row r="714" spans="1:44">
      <c r="A714">
        <v>11132362</v>
      </c>
      <c r="B714" t="s">
        <v>808</v>
      </c>
      <c r="C714" t="s">
        <v>1367</v>
      </c>
      <c r="D714" t="s">
        <v>2003</v>
      </c>
      <c r="E714" t="s">
        <v>1617</v>
      </c>
      <c r="F714" t="s">
        <v>1772</v>
      </c>
      <c r="G714" t="s">
        <v>1773</v>
      </c>
      <c r="H714" t="s">
        <v>2323</v>
      </c>
      <c r="I714" t="s">
        <v>4360</v>
      </c>
      <c r="J714" t="s">
        <v>3730</v>
      </c>
      <c r="K714" t="s">
        <v>3731</v>
      </c>
      <c r="M714">
        <v>50</v>
      </c>
      <c r="N714">
        <v>70</v>
      </c>
      <c r="O714" t="s">
        <v>2437</v>
      </c>
      <c r="P714" t="s">
        <v>2437</v>
      </c>
      <c r="R714" t="s">
        <v>2444</v>
      </c>
      <c r="T714" t="s">
        <v>2437</v>
      </c>
      <c r="U714" t="s">
        <v>2437</v>
      </c>
      <c r="V714" t="s">
        <v>2437</v>
      </c>
      <c r="Y714" t="s">
        <v>6948</v>
      </c>
      <c r="Z714" t="s">
        <v>6949</v>
      </c>
      <c r="AA714" t="s">
        <v>6950</v>
      </c>
      <c r="AB714" t="s">
        <v>6951</v>
      </c>
      <c r="AC714" t="s">
        <v>6952</v>
      </c>
      <c r="AD714" t="s">
        <v>6953</v>
      </c>
      <c r="AE714" t="s">
        <v>6954</v>
      </c>
      <c r="AF714" t="s">
        <v>6955</v>
      </c>
      <c r="AG714" t="s">
        <v>6956</v>
      </c>
      <c r="AH714" t="s">
        <v>6957</v>
      </c>
      <c r="AI714" t="s">
        <v>6958</v>
      </c>
      <c r="AJ714" t="s">
        <v>6959</v>
      </c>
      <c r="AR714" t="s">
        <v>4284</v>
      </c>
    </row>
    <row r="715" spans="1:44">
      <c r="A715">
        <v>11132363</v>
      </c>
      <c r="B715" t="s">
        <v>809</v>
      </c>
      <c r="C715" t="s">
        <v>1368</v>
      </c>
      <c r="D715" t="s">
        <v>2003</v>
      </c>
      <c r="E715" t="s">
        <v>1617</v>
      </c>
      <c r="F715" t="s">
        <v>1772</v>
      </c>
      <c r="G715" t="s">
        <v>1773</v>
      </c>
      <c r="H715" t="s">
        <v>2217</v>
      </c>
      <c r="I715" t="s">
        <v>4358</v>
      </c>
      <c r="J715" t="s">
        <v>2750</v>
      </c>
      <c r="K715" t="s">
        <v>2751</v>
      </c>
      <c r="M715">
        <v>50</v>
      </c>
      <c r="N715">
        <v>70</v>
      </c>
      <c r="O715" t="s">
        <v>2437</v>
      </c>
      <c r="P715" t="s">
        <v>2437</v>
      </c>
      <c r="R715" t="s">
        <v>2444</v>
      </c>
      <c r="T715" t="s">
        <v>2437</v>
      </c>
      <c r="U715" t="s">
        <v>2437</v>
      </c>
      <c r="V715" t="s">
        <v>2437</v>
      </c>
      <c r="Y715" t="s">
        <v>6948</v>
      </c>
      <c r="Z715" t="s">
        <v>6949</v>
      </c>
      <c r="AA715" t="s">
        <v>6950</v>
      </c>
      <c r="AB715" t="s">
        <v>6951</v>
      </c>
      <c r="AC715" t="s">
        <v>6952</v>
      </c>
      <c r="AD715" t="s">
        <v>6953</v>
      </c>
      <c r="AE715" t="s">
        <v>6954</v>
      </c>
      <c r="AF715" t="s">
        <v>6955</v>
      </c>
      <c r="AG715" t="s">
        <v>6956</v>
      </c>
      <c r="AH715" t="s">
        <v>6957</v>
      </c>
      <c r="AI715" t="s">
        <v>6958</v>
      </c>
      <c r="AJ715" t="s">
        <v>6959</v>
      </c>
      <c r="AR715" t="s">
        <v>4284</v>
      </c>
    </row>
    <row r="716" spans="1:44">
      <c r="A716">
        <v>11132364</v>
      </c>
      <c r="B716" t="s">
        <v>810</v>
      </c>
      <c r="C716" t="s">
        <v>1369</v>
      </c>
      <c r="D716" t="s">
        <v>2004</v>
      </c>
      <c r="E716" t="s">
        <v>2005</v>
      </c>
      <c r="F716" t="s">
        <v>1792</v>
      </c>
      <c r="G716" t="s">
        <v>1793</v>
      </c>
      <c r="H716" t="s">
        <v>2268</v>
      </c>
      <c r="I716" t="s">
        <v>4459</v>
      </c>
      <c r="J716" t="s">
        <v>3732</v>
      </c>
      <c r="K716" t="s">
        <v>3733</v>
      </c>
      <c r="M716">
        <v>50</v>
      </c>
      <c r="N716">
        <v>70</v>
      </c>
      <c r="O716" t="s">
        <v>2437</v>
      </c>
      <c r="P716" t="s">
        <v>2437</v>
      </c>
      <c r="R716" t="s">
        <v>2437</v>
      </c>
      <c r="T716" t="s">
        <v>2437</v>
      </c>
      <c r="U716" t="s">
        <v>2437</v>
      </c>
      <c r="V716" t="s">
        <v>2437</v>
      </c>
      <c r="Y716" t="s">
        <v>6948</v>
      </c>
      <c r="Z716" t="s">
        <v>6949</v>
      </c>
      <c r="AA716" t="s">
        <v>6950</v>
      </c>
      <c r="AB716" t="s">
        <v>6951</v>
      </c>
      <c r="AC716" t="s">
        <v>6952</v>
      </c>
      <c r="AD716" t="s">
        <v>6953</v>
      </c>
      <c r="AE716" t="s">
        <v>6954</v>
      </c>
      <c r="AF716" t="s">
        <v>6955</v>
      </c>
      <c r="AG716" t="s">
        <v>6956</v>
      </c>
      <c r="AH716" t="s">
        <v>6957</v>
      </c>
      <c r="AI716" t="s">
        <v>6958</v>
      </c>
      <c r="AJ716" t="s">
        <v>6959</v>
      </c>
      <c r="AR716" t="s">
        <v>4284</v>
      </c>
    </row>
    <row r="717" spans="1:44">
      <c r="A717">
        <v>11132365</v>
      </c>
      <c r="B717" t="s">
        <v>811</v>
      </c>
      <c r="C717" t="s">
        <v>1370</v>
      </c>
      <c r="D717" t="s">
        <v>2004</v>
      </c>
      <c r="E717" t="s">
        <v>2005</v>
      </c>
      <c r="F717" t="s">
        <v>1792</v>
      </c>
      <c r="G717" t="s">
        <v>1793</v>
      </c>
      <c r="H717" t="s">
        <v>2269</v>
      </c>
      <c r="I717" t="s">
        <v>4460</v>
      </c>
      <c r="J717" t="s">
        <v>3734</v>
      </c>
      <c r="K717" t="s">
        <v>3735</v>
      </c>
      <c r="M717">
        <v>50</v>
      </c>
      <c r="N717">
        <v>70</v>
      </c>
      <c r="O717" t="s">
        <v>2437</v>
      </c>
      <c r="P717" t="s">
        <v>2437</v>
      </c>
      <c r="R717" t="s">
        <v>2437</v>
      </c>
      <c r="T717" t="s">
        <v>2437</v>
      </c>
      <c r="U717" t="s">
        <v>2437</v>
      </c>
      <c r="V717" t="s">
        <v>2437</v>
      </c>
      <c r="Y717" t="s">
        <v>6948</v>
      </c>
      <c r="Z717" t="s">
        <v>6949</v>
      </c>
      <c r="AA717" t="s">
        <v>6950</v>
      </c>
      <c r="AB717" t="s">
        <v>6951</v>
      </c>
      <c r="AC717" t="s">
        <v>6952</v>
      </c>
      <c r="AD717" t="s">
        <v>6953</v>
      </c>
      <c r="AE717" t="s">
        <v>6954</v>
      </c>
      <c r="AF717" t="s">
        <v>6955</v>
      </c>
      <c r="AG717" t="s">
        <v>6956</v>
      </c>
      <c r="AH717" t="s">
        <v>6957</v>
      </c>
      <c r="AI717" t="s">
        <v>6958</v>
      </c>
      <c r="AJ717" t="s">
        <v>6959</v>
      </c>
      <c r="AR717" t="s">
        <v>4284</v>
      </c>
    </row>
    <row r="718" spans="1:44">
      <c r="A718">
        <v>11132366</v>
      </c>
      <c r="B718" t="s">
        <v>812</v>
      </c>
      <c r="C718" t="s">
        <v>1371</v>
      </c>
      <c r="D718" t="s">
        <v>2001</v>
      </c>
      <c r="E718" t="s">
        <v>2002</v>
      </c>
      <c r="F718" t="s">
        <v>1806</v>
      </c>
      <c r="G718" t="s">
        <v>1807</v>
      </c>
      <c r="H718" t="s">
        <v>2241</v>
      </c>
      <c r="I718" t="s">
        <v>4432</v>
      </c>
      <c r="J718" t="s">
        <v>3736</v>
      </c>
      <c r="K718" t="s">
        <v>3737</v>
      </c>
      <c r="M718">
        <v>50</v>
      </c>
      <c r="N718">
        <v>70</v>
      </c>
      <c r="O718" t="s">
        <v>2437</v>
      </c>
      <c r="P718" t="s">
        <v>2437</v>
      </c>
      <c r="R718" t="s">
        <v>2437</v>
      </c>
      <c r="T718" t="s">
        <v>2437</v>
      </c>
      <c r="U718" t="s">
        <v>2437</v>
      </c>
      <c r="V718" t="s">
        <v>2437</v>
      </c>
      <c r="Y718" t="s">
        <v>6948</v>
      </c>
      <c r="Z718" t="s">
        <v>6949</v>
      </c>
      <c r="AA718" t="s">
        <v>6950</v>
      </c>
      <c r="AB718" t="s">
        <v>6951</v>
      </c>
      <c r="AC718" t="s">
        <v>6952</v>
      </c>
      <c r="AD718" t="s">
        <v>6953</v>
      </c>
      <c r="AE718" t="s">
        <v>6954</v>
      </c>
      <c r="AF718" t="s">
        <v>6955</v>
      </c>
      <c r="AG718" t="s">
        <v>6956</v>
      </c>
      <c r="AH718" t="s">
        <v>6957</v>
      </c>
      <c r="AI718" t="s">
        <v>6958</v>
      </c>
      <c r="AJ718" t="s">
        <v>6959</v>
      </c>
      <c r="AR718" t="s">
        <v>4284</v>
      </c>
    </row>
    <row r="719" spans="1:44">
      <c r="A719">
        <v>11132367</v>
      </c>
      <c r="B719" t="s">
        <v>813</v>
      </c>
      <c r="C719" t="s">
        <v>1372</v>
      </c>
      <c r="D719" t="s">
        <v>2001</v>
      </c>
      <c r="E719" t="s">
        <v>2002</v>
      </c>
      <c r="F719" t="s">
        <v>1806</v>
      </c>
      <c r="G719" t="s">
        <v>1807</v>
      </c>
      <c r="H719" t="s">
        <v>2242</v>
      </c>
      <c r="I719" t="s">
        <v>4433</v>
      </c>
      <c r="J719" t="s">
        <v>3738</v>
      </c>
      <c r="K719" t="s">
        <v>3739</v>
      </c>
      <c r="M719">
        <v>50</v>
      </c>
      <c r="N719">
        <v>70</v>
      </c>
      <c r="O719" t="s">
        <v>2437</v>
      </c>
      <c r="P719" t="s">
        <v>2437</v>
      </c>
      <c r="R719" t="s">
        <v>2437</v>
      </c>
      <c r="T719" t="s">
        <v>2437</v>
      </c>
      <c r="U719" t="s">
        <v>2437</v>
      </c>
      <c r="V719" t="s">
        <v>2437</v>
      </c>
      <c r="Y719" t="s">
        <v>6948</v>
      </c>
      <c r="Z719" t="s">
        <v>6949</v>
      </c>
      <c r="AA719" t="s">
        <v>6950</v>
      </c>
      <c r="AB719" t="s">
        <v>6951</v>
      </c>
      <c r="AC719" t="s">
        <v>6952</v>
      </c>
      <c r="AD719" t="s">
        <v>6953</v>
      </c>
      <c r="AE719" t="s">
        <v>6954</v>
      </c>
      <c r="AF719" t="s">
        <v>6955</v>
      </c>
      <c r="AG719" t="s">
        <v>6956</v>
      </c>
      <c r="AH719" t="s">
        <v>6957</v>
      </c>
      <c r="AI719" t="s">
        <v>6958</v>
      </c>
      <c r="AJ719" t="s">
        <v>6959</v>
      </c>
      <c r="AR719" t="s">
        <v>4284</v>
      </c>
    </row>
    <row r="720" spans="1:44">
      <c r="A720">
        <v>11132368</v>
      </c>
      <c r="B720" t="s">
        <v>814</v>
      </c>
      <c r="C720" t="s">
        <v>1373</v>
      </c>
      <c r="D720" t="s">
        <v>2004</v>
      </c>
      <c r="E720" t="s">
        <v>2005</v>
      </c>
      <c r="F720" t="s">
        <v>1578</v>
      </c>
      <c r="G720" t="s">
        <v>1579</v>
      </c>
      <c r="H720" t="s">
        <v>2375</v>
      </c>
      <c r="I720" t="s">
        <v>4545</v>
      </c>
      <c r="J720" t="s">
        <v>3740</v>
      </c>
      <c r="K720" t="s">
        <v>3741</v>
      </c>
      <c r="M720">
        <v>50</v>
      </c>
      <c r="N720">
        <v>70</v>
      </c>
      <c r="O720" t="s">
        <v>2437</v>
      </c>
      <c r="P720" t="s">
        <v>2437</v>
      </c>
      <c r="R720" t="s">
        <v>2437</v>
      </c>
      <c r="T720" t="s">
        <v>2437</v>
      </c>
      <c r="U720" t="s">
        <v>2437</v>
      </c>
      <c r="V720" t="s">
        <v>2437</v>
      </c>
      <c r="Y720" t="s">
        <v>6948</v>
      </c>
      <c r="Z720" t="s">
        <v>6949</v>
      </c>
      <c r="AA720" t="s">
        <v>6950</v>
      </c>
      <c r="AB720" t="s">
        <v>6951</v>
      </c>
      <c r="AC720" t="s">
        <v>6952</v>
      </c>
      <c r="AD720" t="s">
        <v>6953</v>
      </c>
      <c r="AE720" t="s">
        <v>6954</v>
      </c>
      <c r="AF720" t="s">
        <v>6955</v>
      </c>
      <c r="AG720" t="s">
        <v>6956</v>
      </c>
      <c r="AH720" t="s">
        <v>6957</v>
      </c>
      <c r="AI720" t="s">
        <v>6958</v>
      </c>
      <c r="AJ720" t="s">
        <v>6959</v>
      </c>
      <c r="AR720" t="s">
        <v>4284</v>
      </c>
    </row>
    <row r="721" spans="1:44">
      <c r="A721">
        <v>11132369</v>
      </c>
      <c r="B721" t="s">
        <v>815</v>
      </c>
      <c r="C721" t="s">
        <v>1374</v>
      </c>
      <c r="D721" t="s">
        <v>2004</v>
      </c>
      <c r="E721" t="s">
        <v>2005</v>
      </c>
      <c r="F721" t="s">
        <v>1578</v>
      </c>
      <c r="G721" t="s">
        <v>1579</v>
      </c>
      <c r="H721" t="s">
        <v>2376</v>
      </c>
      <c r="I721" t="s">
        <v>4546</v>
      </c>
      <c r="J721" t="s">
        <v>3742</v>
      </c>
      <c r="K721" t="s">
        <v>3743</v>
      </c>
      <c r="M721">
        <v>50</v>
      </c>
      <c r="N721">
        <v>70</v>
      </c>
      <c r="O721" t="s">
        <v>2437</v>
      </c>
      <c r="P721" t="s">
        <v>2437</v>
      </c>
      <c r="R721" t="s">
        <v>2437</v>
      </c>
      <c r="T721" t="s">
        <v>2437</v>
      </c>
      <c r="U721" t="s">
        <v>2437</v>
      </c>
      <c r="V721" t="s">
        <v>2437</v>
      </c>
      <c r="Y721" t="s">
        <v>6948</v>
      </c>
      <c r="Z721" t="s">
        <v>6949</v>
      </c>
      <c r="AA721" t="s">
        <v>6950</v>
      </c>
      <c r="AB721" t="s">
        <v>6951</v>
      </c>
      <c r="AC721" t="s">
        <v>6952</v>
      </c>
      <c r="AD721" t="s">
        <v>6953</v>
      </c>
      <c r="AE721" t="s">
        <v>6954</v>
      </c>
      <c r="AF721" t="s">
        <v>6955</v>
      </c>
      <c r="AG721" t="s">
        <v>6956</v>
      </c>
      <c r="AH721" t="s">
        <v>6957</v>
      </c>
      <c r="AI721" t="s">
        <v>6958</v>
      </c>
      <c r="AJ721" t="s">
        <v>6959</v>
      </c>
      <c r="AR721" t="s">
        <v>4284</v>
      </c>
    </row>
    <row r="722" spans="1:44">
      <c r="A722">
        <v>11132370</v>
      </c>
      <c r="B722" t="s">
        <v>816</v>
      </c>
      <c r="C722" t="s">
        <v>1375</v>
      </c>
      <c r="D722" t="s">
        <v>2006</v>
      </c>
      <c r="E722" t="s">
        <v>1613</v>
      </c>
      <c r="F722" t="s">
        <v>1596</v>
      </c>
      <c r="G722" t="s">
        <v>1597</v>
      </c>
      <c r="H722" t="s">
        <v>2215</v>
      </c>
      <c r="I722" t="s">
        <v>4408</v>
      </c>
      <c r="J722" t="s">
        <v>2742</v>
      </c>
      <c r="K722" t="s">
        <v>2743</v>
      </c>
      <c r="M722">
        <v>60</v>
      </c>
      <c r="N722">
        <v>70</v>
      </c>
      <c r="O722" t="s">
        <v>2437</v>
      </c>
      <c r="P722" t="s">
        <v>2437</v>
      </c>
      <c r="R722" t="s">
        <v>2437</v>
      </c>
      <c r="T722" t="s">
        <v>2437</v>
      </c>
      <c r="U722" t="s">
        <v>2437</v>
      </c>
      <c r="V722" t="s">
        <v>2437</v>
      </c>
      <c r="Y722" t="s">
        <v>6948</v>
      </c>
      <c r="Z722" t="s">
        <v>6949</v>
      </c>
      <c r="AA722" t="s">
        <v>6950</v>
      </c>
      <c r="AB722" t="s">
        <v>6951</v>
      </c>
      <c r="AC722" t="s">
        <v>6952</v>
      </c>
      <c r="AD722" t="s">
        <v>6953</v>
      </c>
      <c r="AE722" t="s">
        <v>6961</v>
      </c>
      <c r="AF722" t="s">
        <v>6962</v>
      </c>
      <c r="AG722" t="s">
        <v>6963</v>
      </c>
      <c r="AH722" t="s">
        <v>6964</v>
      </c>
      <c r="AI722" t="s">
        <v>6965</v>
      </c>
      <c r="AJ722" t="s">
        <v>6966</v>
      </c>
      <c r="AR722" t="s">
        <v>4284</v>
      </c>
    </row>
    <row r="723" spans="1:44">
      <c r="A723">
        <v>11132371</v>
      </c>
      <c r="B723" t="s">
        <v>817</v>
      </c>
      <c r="C723" t="s">
        <v>1376</v>
      </c>
      <c r="D723" t="s">
        <v>2006</v>
      </c>
      <c r="E723" t="s">
        <v>1613</v>
      </c>
      <c r="F723" t="s">
        <v>1596</v>
      </c>
      <c r="G723" t="s">
        <v>1597</v>
      </c>
      <c r="H723" t="s">
        <v>2185</v>
      </c>
      <c r="I723" t="s">
        <v>4389</v>
      </c>
      <c r="J723" t="s">
        <v>3744</v>
      </c>
      <c r="K723" t="s">
        <v>3745</v>
      </c>
      <c r="M723">
        <v>60</v>
      </c>
      <c r="N723">
        <v>70</v>
      </c>
      <c r="O723" t="s">
        <v>2437</v>
      </c>
      <c r="P723" t="s">
        <v>2437</v>
      </c>
      <c r="R723" t="s">
        <v>2437</v>
      </c>
      <c r="T723" t="s">
        <v>2437</v>
      </c>
      <c r="U723" t="s">
        <v>2437</v>
      </c>
      <c r="V723" t="s">
        <v>2437</v>
      </c>
      <c r="Y723" t="s">
        <v>6948</v>
      </c>
      <c r="Z723" t="s">
        <v>6949</v>
      </c>
      <c r="AA723" t="s">
        <v>6950</v>
      </c>
      <c r="AB723" t="s">
        <v>6951</v>
      </c>
      <c r="AC723" t="s">
        <v>6952</v>
      </c>
      <c r="AD723" t="s">
        <v>6953</v>
      </c>
      <c r="AE723" t="s">
        <v>6961</v>
      </c>
      <c r="AF723" t="s">
        <v>6962</v>
      </c>
      <c r="AG723" t="s">
        <v>6963</v>
      </c>
      <c r="AH723" t="s">
        <v>6964</v>
      </c>
      <c r="AI723" t="s">
        <v>6965</v>
      </c>
      <c r="AJ723" t="s">
        <v>6966</v>
      </c>
      <c r="AR723" t="s">
        <v>4284</v>
      </c>
    </row>
    <row r="724" spans="1:44">
      <c r="A724">
        <v>11132372</v>
      </c>
      <c r="B724" t="s">
        <v>818</v>
      </c>
      <c r="C724" t="s">
        <v>1377</v>
      </c>
      <c r="D724" t="s">
        <v>2006</v>
      </c>
      <c r="E724" t="s">
        <v>1613</v>
      </c>
      <c r="F724" t="s">
        <v>1596</v>
      </c>
      <c r="G724" t="s">
        <v>1597</v>
      </c>
      <c r="H724" t="s">
        <v>2279</v>
      </c>
      <c r="I724" t="s">
        <v>4465</v>
      </c>
      <c r="J724" t="s">
        <v>3746</v>
      </c>
      <c r="K724" t="s">
        <v>3747</v>
      </c>
      <c r="M724">
        <v>60</v>
      </c>
      <c r="N724">
        <v>70</v>
      </c>
      <c r="O724" t="s">
        <v>2437</v>
      </c>
      <c r="P724" t="s">
        <v>2437</v>
      </c>
      <c r="R724" t="s">
        <v>2437</v>
      </c>
      <c r="T724" t="s">
        <v>2437</v>
      </c>
      <c r="U724" t="s">
        <v>2437</v>
      </c>
      <c r="V724" t="s">
        <v>2437</v>
      </c>
      <c r="Y724" t="s">
        <v>6948</v>
      </c>
      <c r="Z724" t="s">
        <v>6949</v>
      </c>
      <c r="AA724" t="s">
        <v>6950</v>
      </c>
      <c r="AB724" t="s">
        <v>6951</v>
      </c>
      <c r="AC724" t="s">
        <v>6952</v>
      </c>
      <c r="AD724" t="s">
        <v>6953</v>
      </c>
      <c r="AE724" t="s">
        <v>6961</v>
      </c>
      <c r="AF724" t="s">
        <v>6962</v>
      </c>
      <c r="AG724" t="s">
        <v>6963</v>
      </c>
      <c r="AH724" t="s">
        <v>6964</v>
      </c>
      <c r="AI724" t="s">
        <v>6965</v>
      </c>
      <c r="AJ724" t="s">
        <v>6966</v>
      </c>
      <c r="AR724" t="s">
        <v>4284</v>
      </c>
    </row>
    <row r="725" spans="1:44">
      <c r="A725">
        <v>11132373</v>
      </c>
      <c r="B725" t="s">
        <v>819</v>
      </c>
      <c r="C725" t="s">
        <v>1378</v>
      </c>
      <c r="D725" t="s">
        <v>2006</v>
      </c>
      <c r="E725" t="s">
        <v>1613</v>
      </c>
      <c r="F725" t="s">
        <v>1596</v>
      </c>
      <c r="G725" t="s">
        <v>1597</v>
      </c>
      <c r="H725" t="s">
        <v>2186</v>
      </c>
      <c r="I725" t="s">
        <v>4390</v>
      </c>
      <c r="J725" t="s">
        <v>3748</v>
      </c>
      <c r="K725" t="s">
        <v>3749</v>
      </c>
      <c r="M725">
        <v>60</v>
      </c>
      <c r="N725">
        <v>70</v>
      </c>
      <c r="O725" t="s">
        <v>2437</v>
      </c>
      <c r="P725" t="s">
        <v>2437</v>
      </c>
      <c r="R725" t="s">
        <v>2437</v>
      </c>
      <c r="T725" t="s">
        <v>2437</v>
      </c>
      <c r="U725" t="s">
        <v>2437</v>
      </c>
      <c r="V725" t="s">
        <v>2437</v>
      </c>
      <c r="Y725" t="s">
        <v>6948</v>
      </c>
      <c r="Z725" t="s">
        <v>6949</v>
      </c>
      <c r="AA725" t="s">
        <v>6950</v>
      </c>
      <c r="AB725" t="s">
        <v>6951</v>
      </c>
      <c r="AC725" t="s">
        <v>6952</v>
      </c>
      <c r="AD725" t="s">
        <v>6953</v>
      </c>
      <c r="AE725" t="s">
        <v>6961</v>
      </c>
      <c r="AF725" t="s">
        <v>6962</v>
      </c>
      <c r="AG725" t="s">
        <v>6963</v>
      </c>
      <c r="AH725" t="s">
        <v>6964</v>
      </c>
      <c r="AI725" t="s">
        <v>6965</v>
      </c>
      <c r="AJ725" t="s">
        <v>6966</v>
      </c>
      <c r="AR725" t="s">
        <v>4284</v>
      </c>
    </row>
    <row r="726" spans="1:44">
      <c r="A726">
        <v>11132374</v>
      </c>
      <c r="B726" t="s">
        <v>820</v>
      </c>
      <c r="C726" t="s">
        <v>1379</v>
      </c>
      <c r="D726" t="s">
        <v>2006</v>
      </c>
      <c r="E726" t="s">
        <v>1613</v>
      </c>
      <c r="F726" t="s">
        <v>1596</v>
      </c>
      <c r="G726" t="s">
        <v>1597</v>
      </c>
      <c r="H726" t="s">
        <v>2216</v>
      </c>
      <c r="I726" t="s">
        <v>4409</v>
      </c>
      <c r="J726" t="s">
        <v>2744</v>
      </c>
      <c r="K726" t="s">
        <v>2745</v>
      </c>
      <c r="M726">
        <v>60</v>
      </c>
      <c r="N726">
        <v>70</v>
      </c>
      <c r="O726" t="s">
        <v>2437</v>
      </c>
      <c r="P726" t="s">
        <v>2437</v>
      </c>
      <c r="R726" t="s">
        <v>2437</v>
      </c>
      <c r="T726" t="s">
        <v>2437</v>
      </c>
      <c r="U726" t="s">
        <v>2437</v>
      </c>
      <c r="V726" t="s">
        <v>2437</v>
      </c>
      <c r="Y726" t="s">
        <v>6948</v>
      </c>
      <c r="Z726" t="s">
        <v>6949</v>
      </c>
      <c r="AA726" t="s">
        <v>6950</v>
      </c>
      <c r="AB726" t="s">
        <v>6951</v>
      </c>
      <c r="AC726" t="s">
        <v>6952</v>
      </c>
      <c r="AD726" t="s">
        <v>6953</v>
      </c>
      <c r="AE726" t="s">
        <v>6961</v>
      </c>
      <c r="AF726" t="s">
        <v>6962</v>
      </c>
      <c r="AG726" t="s">
        <v>6963</v>
      </c>
      <c r="AH726" t="s">
        <v>6964</v>
      </c>
      <c r="AI726" t="s">
        <v>6965</v>
      </c>
      <c r="AJ726" t="s">
        <v>6966</v>
      </c>
      <c r="AR726" t="s">
        <v>4284</v>
      </c>
    </row>
    <row r="727" spans="1:44">
      <c r="A727">
        <v>11132375</v>
      </c>
      <c r="B727" t="s">
        <v>821</v>
      </c>
      <c r="C727" t="s">
        <v>1380</v>
      </c>
      <c r="D727" t="s">
        <v>2006</v>
      </c>
      <c r="E727" t="s">
        <v>1613</v>
      </c>
      <c r="F727" t="s">
        <v>1596</v>
      </c>
      <c r="G727" t="s">
        <v>1597</v>
      </c>
      <c r="H727" t="s">
        <v>2280</v>
      </c>
      <c r="I727" t="s">
        <v>4466</v>
      </c>
      <c r="J727" t="s">
        <v>3750</v>
      </c>
      <c r="K727" t="s">
        <v>3751</v>
      </c>
      <c r="M727">
        <v>60</v>
      </c>
      <c r="N727">
        <v>70</v>
      </c>
      <c r="O727" t="s">
        <v>2437</v>
      </c>
      <c r="P727" t="s">
        <v>2437</v>
      </c>
      <c r="R727" t="s">
        <v>2437</v>
      </c>
      <c r="T727" t="s">
        <v>2437</v>
      </c>
      <c r="U727" t="s">
        <v>2437</v>
      </c>
      <c r="V727" t="s">
        <v>2437</v>
      </c>
      <c r="Y727" t="s">
        <v>6948</v>
      </c>
      <c r="Z727" t="s">
        <v>6949</v>
      </c>
      <c r="AA727" t="s">
        <v>6950</v>
      </c>
      <c r="AB727" t="s">
        <v>6951</v>
      </c>
      <c r="AC727" t="s">
        <v>6952</v>
      </c>
      <c r="AD727" t="s">
        <v>6953</v>
      </c>
      <c r="AE727" t="s">
        <v>6961</v>
      </c>
      <c r="AF727" t="s">
        <v>6962</v>
      </c>
      <c r="AG727" t="s">
        <v>6963</v>
      </c>
      <c r="AH727" t="s">
        <v>6964</v>
      </c>
      <c r="AI727" t="s">
        <v>6965</v>
      </c>
      <c r="AJ727" t="s">
        <v>6966</v>
      </c>
      <c r="AR727" t="s">
        <v>4284</v>
      </c>
    </row>
    <row r="728" spans="1:44">
      <c r="A728">
        <v>11132376</v>
      </c>
      <c r="B728" t="s">
        <v>822</v>
      </c>
      <c r="C728" t="s">
        <v>1381</v>
      </c>
      <c r="D728" t="s">
        <v>2007</v>
      </c>
      <c r="E728" t="s">
        <v>1615</v>
      </c>
      <c r="F728" t="s">
        <v>1688</v>
      </c>
      <c r="G728" t="s">
        <v>1689</v>
      </c>
      <c r="H728" t="s">
        <v>2190</v>
      </c>
      <c r="I728" t="s">
        <v>4410</v>
      </c>
      <c r="J728" t="s">
        <v>2746</v>
      </c>
      <c r="K728" t="s">
        <v>2747</v>
      </c>
      <c r="M728">
        <v>60</v>
      </c>
      <c r="N728">
        <v>70</v>
      </c>
      <c r="O728" t="s">
        <v>2437</v>
      </c>
      <c r="P728" t="s">
        <v>2437</v>
      </c>
      <c r="R728" t="s">
        <v>2437</v>
      </c>
      <c r="T728" t="s">
        <v>2437</v>
      </c>
      <c r="U728" t="s">
        <v>2437</v>
      </c>
      <c r="V728" t="s">
        <v>2437</v>
      </c>
      <c r="Y728" t="s">
        <v>6948</v>
      </c>
      <c r="Z728" t="s">
        <v>6949</v>
      </c>
      <c r="AA728" t="s">
        <v>6950</v>
      </c>
      <c r="AB728" t="s">
        <v>6951</v>
      </c>
      <c r="AC728" t="s">
        <v>6952</v>
      </c>
      <c r="AD728" t="s">
        <v>6953</v>
      </c>
      <c r="AE728" t="s">
        <v>6961</v>
      </c>
      <c r="AF728" t="s">
        <v>6962</v>
      </c>
      <c r="AG728" t="s">
        <v>6963</v>
      </c>
      <c r="AH728" t="s">
        <v>6964</v>
      </c>
      <c r="AI728" t="s">
        <v>6965</v>
      </c>
      <c r="AJ728" t="s">
        <v>6966</v>
      </c>
      <c r="AR728" t="s">
        <v>4284</v>
      </c>
    </row>
    <row r="729" spans="1:44">
      <c r="A729">
        <v>11132377</v>
      </c>
      <c r="B729" t="s">
        <v>823</v>
      </c>
      <c r="C729" t="s">
        <v>1382</v>
      </c>
      <c r="D729" t="s">
        <v>2007</v>
      </c>
      <c r="E729" t="s">
        <v>1615</v>
      </c>
      <c r="F729" t="s">
        <v>1688</v>
      </c>
      <c r="G729" t="s">
        <v>1689</v>
      </c>
      <c r="H729" t="s">
        <v>2187</v>
      </c>
      <c r="I729" t="s">
        <v>4467</v>
      </c>
      <c r="J729" t="s">
        <v>3752</v>
      </c>
      <c r="K729" t="s">
        <v>3753</v>
      </c>
      <c r="M729">
        <v>60</v>
      </c>
      <c r="N729">
        <v>70</v>
      </c>
      <c r="O729" t="s">
        <v>2437</v>
      </c>
      <c r="P729" t="s">
        <v>2437</v>
      </c>
      <c r="R729" t="s">
        <v>2437</v>
      </c>
      <c r="T729" t="s">
        <v>2437</v>
      </c>
      <c r="U729" t="s">
        <v>2437</v>
      </c>
      <c r="V729" t="s">
        <v>2437</v>
      </c>
      <c r="Y729" t="s">
        <v>6948</v>
      </c>
      <c r="Z729" t="s">
        <v>6949</v>
      </c>
      <c r="AA729" t="s">
        <v>6950</v>
      </c>
      <c r="AB729" t="s">
        <v>6951</v>
      </c>
      <c r="AC729" t="s">
        <v>6952</v>
      </c>
      <c r="AD729" t="s">
        <v>6953</v>
      </c>
      <c r="AE729" t="s">
        <v>6961</v>
      </c>
      <c r="AF729" t="s">
        <v>6962</v>
      </c>
      <c r="AG729" t="s">
        <v>6963</v>
      </c>
      <c r="AH729" t="s">
        <v>6964</v>
      </c>
      <c r="AI729" t="s">
        <v>6965</v>
      </c>
      <c r="AJ729" t="s">
        <v>6966</v>
      </c>
      <c r="AR729" t="s">
        <v>4284</v>
      </c>
    </row>
    <row r="730" spans="1:44">
      <c r="A730">
        <v>11132378</v>
      </c>
      <c r="B730" t="s">
        <v>824</v>
      </c>
      <c r="C730" t="s">
        <v>1383</v>
      </c>
      <c r="D730" t="s">
        <v>2007</v>
      </c>
      <c r="E730" t="s">
        <v>1615</v>
      </c>
      <c r="F730" t="s">
        <v>1688</v>
      </c>
      <c r="G730" t="s">
        <v>1689</v>
      </c>
      <c r="H730" t="s">
        <v>2191</v>
      </c>
      <c r="I730" t="s">
        <v>4379</v>
      </c>
      <c r="J730" t="s">
        <v>3754</v>
      </c>
      <c r="K730" t="s">
        <v>3755</v>
      </c>
      <c r="M730">
        <v>60</v>
      </c>
      <c r="N730">
        <v>70</v>
      </c>
      <c r="O730" t="s">
        <v>2437</v>
      </c>
      <c r="P730" t="s">
        <v>2437</v>
      </c>
      <c r="R730" t="s">
        <v>2437</v>
      </c>
      <c r="T730" t="s">
        <v>2437</v>
      </c>
      <c r="U730" t="s">
        <v>2437</v>
      </c>
      <c r="V730" t="s">
        <v>2437</v>
      </c>
      <c r="Y730" t="s">
        <v>6948</v>
      </c>
      <c r="Z730" t="s">
        <v>6949</v>
      </c>
      <c r="AA730" t="s">
        <v>6950</v>
      </c>
      <c r="AB730" t="s">
        <v>6951</v>
      </c>
      <c r="AC730" t="s">
        <v>6952</v>
      </c>
      <c r="AD730" t="s">
        <v>6953</v>
      </c>
      <c r="AE730" t="s">
        <v>6961</v>
      </c>
      <c r="AF730" t="s">
        <v>6962</v>
      </c>
      <c r="AG730" t="s">
        <v>6963</v>
      </c>
      <c r="AH730" t="s">
        <v>6964</v>
      </c>
      <c r="AI730" t="s">
        <v>6965</v>
      </c>
      <c r="AJ730" t="s">
        <v>6966</v>
      </c>
      <c r="AR730" t="s">
        <v>4284</v>
      </c>
    </row>
    <row r="731" spans="1:44">
      <c r="A731">
        <v>11132379</v>
      </c>
      <c r="B731" t="s">
        <v>825</v>
      </c>
      <c r="C731" t="s">
        <v>1384</v>
      </c>
      <c r="D731" t="s">
        <v>2007</v>
      </c>
      <c r="E731" t="s">
        <v>1615</v>
      </c>
      <c r="F731" t="s">
        <v>1688</v>
      </c>
      <c r="G731" t="s">
        <v>1689</v>
      </c>
      <c r="H731" t="s">
        <v>2188</v>
      </c>
      <c r="I731" t="s">
        <v>4378</v>
      </c>
      <c r="J731" t="s">
        <v>3756</v>
      </c>
      <c r="K731" t="s">
        <v>3757</v>
      </c>
      <c r="M731">
        <v>60</v>
      </c>
      <c r="N731">
        <v>70</v>
      </c>
      <c r="O731" t="s">
        <v>2437</v>
      </c>
      <c r="P731" t="s">
        <v>2437</v>
      </c>
      <c r="R731" t="s">
        <v>2437</v>
      </c>
      <c r="T731" t="s">
        <v>2437</v>
      </c>
      <c r="U731" t="s">
        <v>2437</v>
      </c>
      <c r="V731" t="s">
        <v>2437</v>
      </c>
      <c r="Y731" t="s">
        <v>6948</v>
      </c>
      <c r="Z731" t="s">
        <v>6949</v>
      </c>
      <c r="AA731" t="s">
        <v>6950</v>
      </c>
      <c r="AB731" t="s">
        <v>6951</v>
      </c>
      <c r="AC731" t="s">
        <v>6952</v>
      </c>
      <c r="AD731" t="s">
        <v>6953</v>
      </c>
      <c r="AE731" t="s">
        <v>6961</v>
      </c>
      <c r="AF731" t="s">
        <v>6962</v>
      </c>
      <c r="AG731" t="s">
        <v>6963</v>
      </c>
      <c r="AH731" t="s">
        <v>6964</v>
      </c>
      <c r="AI731" t="s">
        <v>6965</v>
      </c>
      <c r="AJ731" t="s">
        <v>6966</v>
      </c>
      <c r="AR731" t="s">
        <v>4284</v>
      </c>
    </row>
    <row r="732" spans="1:44">
      <c r="A732">
        <v>11132380</v>
      </c>
      <c r="B732" t="s">
        <v>826</v>
      </c>
      <c r="C732" t="s">
        <v>1385</v>
      </c>
      <c r="D732" t="s">
        <v>2007</v>
      </c>
      <c r="E732" t="s">
        <v>1615</v>
      </c>
      <c r="F732" t="s">
        <v>1688</v>
      </c>
      <c r="G732" t="s">
        <v>1689</v>
      </c>
      <c r="H732" t="s">
        <v>2192</v>
      </c>
      <c r="I732" t="s">
        <v>4411</v>
      </c>
      <c r="J732" t="s">
        <v>2748</v>
      </c>
      <c r="K732" t="s">
        <v>2749</v>
      </c>
      <c r="M732">
        <v>60</v>
      </c>
      <c r="N732">
        <v>70</v>
      </c>
      <c r="O732" t="s">
        <v>2437</v>
      </c>
      <c r="P732" t="s">
        <v>2437</v>
      </c>
      <c r="R732" t="s">
        <v>2437</v>
      </c>
      <c r="T732" t="s">
        <v>2437</v>
      </c>
      <c r="U732" t="s">
        <v>2437</v>
      </c>
      <c r="V732" t="s">
        <v>2437</v>
      </c>
      <c r="Y732" t="s">
        <v>6948</v>
      </c>
      <c r="Z732" t="s">
        <v>6949</v>
      </c>
      <c r="AA732" t="s">
        <v>6950</v>
      </c>
      <c r="AB732" t="s">
        <v>6951</v>
      </c>
      <c r="AC732" t="s">
        <v>6952</v>
      </c>
      <c r="AD732" t="s">
        <v>6953</v>
      </c>
      <c r="AE732" t="s">
        <v>6961</v>
      </c>
      <c r="AF732" t="s">
        <v>6962</v>
      </c>
      <c r="AG732" t="s">
        <v>6963</v>
      </c>
      <c r="AH732" t="s">
        <v>6964</v>
      </c>
      <c r="AI732" t="s">
        <v>6965</v>
      </c>
      <c r="AJ732" t="s">
        <v>6966</v>
      </c>
      <c r="AR732" t="s">
        <v>4284</v>
      </c>
    </row>
    <row r="733" spans="1:44">
      <c r="A733">
        <v>11132381</v>
      </c>
      <c r="B733" t="s">
        <v>827</v>
      </c>
      <c r="C733" t="s">
        <v>1386</v>
      </c>
      <c r="D733" t="s">
        <v>2007</v>
      </c>
      <c r="E733" t="s">
        <v>1615</v>
      </c>
      <c r="F733" t="s">
        <v>1688</v>
      </c>
      <c r="G733" t="s">
        <v>1689</v>
      </c>
      <c r="H733" t="s">
        <v>2189</v>
      </c>
      <c r="I733" t="s">
        <v>4468</v>
      </c>
      <c r="J733" t="s">
        <v>3758</v>
      </c>
      <c r="K733" t="s">
        <v>3759</v>
      </c>
      <c r="M733">
        <v>60</v>
      </c>
      <c r="N733">
        <v>70</v>
      </c>
      <c r="O733" t="s">
        <v>2437</v>
      </c>
      <c r="P733" t="s">
        <v>2437</v>
      </c>
      <c r="R733" t="s">
        <v>2437</v>
      </c>
      <c r="T733" t="s">
        <v>2437</v>
      </c>
      <c r="U733" t="s">
        <v>2437</v>
      </c>
      <c r="V733" t="s">
        <v>2437</v>
      </c>
      <c r="Y733" t="s">
        <v>6948</v>
      </c>
      <c r="Z733" t="s">
        <v>6949</v>
      </c>
      <c r="AA733" t="s">
        <v>6950</v>
      </c>
      <c r="AB733" t="s">
        <v>6951</v>
      </c>
      <c r="AC733" t="s">
        <v>6952</v>
      </c>
      <c r="AD733" t="s">
        <v>6953</v>
      </c>
      <c r="AE733" t="s">
        <v>6961</v>
      </c>
      <c r="AF733" t="s">
        <v>6962</v>
      </c>
      <c r="AG733" t="s">
        <v>6963</v>
      </c>
      <c r="AH733" t="s">
        <v>6964</v>
      </c>
      <c r="AI733" t="s">
        <v>6965</v>
      </c>
      <c r="AJ733" t="s">
        <v>6966</v>
      </c>
      <c r="AR733" t="s">
        <v>4284</v>
      </c>
    </row>
    <row r="734" spans="1:44">
      <c r="A734">
        <v>11132382</v>
      </c>
      <c r="B734" t="s">
        <v>828</v>
      </c>
      <c r="C734" t="s">
        <v>1387</v>
      </c>
      <c r="D734" t="s">
        <v>2008</v>
      </c>
      <c r="E734" t="s">
        <v>2009</v>
      </c>
      <c r="F734" t="s">
        <v>1526</v>
      </c>
      <c r="G734" t="s">
        <v>1527</v>
      </c>
      <c r="H734" t="s">
        <v>2270</v>
      </c>
      <c r="I734" t="s">
        <v>4461</v>
      </c>
      <c r="J734" t="s">
        <v>3760</v>
      </c>
      <c r="K734" t="s">
        <v>3761</v>
      </c>
      <c r="M734">
        <v>60</v>
      </c>
      <c r="N734">
        <v>70</v>
      </c>
      <c r="O734" t="s">
        <v>2437</v>
      </c>
      <c r="P734" t="s">
        <v>2437</v>
      </c>
      <c r="R734" t="s">
        <v>2437</v>
      </c>
      <c r="T734" t="s">
        <v>2437</v>
      </c>
      <c r="U734" t="s">
        <v>2437</v>
      </c>
      <c r="V734" t="s">
        <v>2437</v>
      </c>
      <c r="Y734" t="s">
        <v>6948</v>
      </c>
      <c r="Z734" t="s">
        <v>6949</v>
      </c>
      <c r="AA734" t="s">
        <v>6950</v>
      </c>
      <c r="AB734" t="s">
        <v>6951</v>
      </c>
      <c r="AC734" t="s">
        <v>6952</v>
      </c>
      <c r="AD734" t="s">
        <v>6953</v>
      </c>
      <c r="AE734" t="s">
        <v>6961</v>
      </c>
      <c r="AF734" t="s">
        <v>6962</v>
      </c>
      <c r="AG734" t="s">
        <v>6963</v>
      </c>
      <c r="AH734" t="s">
        <v>6964</v>
      </c>
      <c r="AI734" t="s">
        <v>6965</v>
      </c>
      <c r="AJ734" t="s">
        <v>6966</v>
      </c>
      <c r="AR734" t="s">
        <v>4284</v>
      </c>
    </row>
    <row r="735" spans="1:44">
      <c r="A735">
        <v>11132383</v>
      </c>
      <c r="B735" t="s">
        <v>829</v>
      </c>
      <c r="C735" t="s">
        <v>1388</v>
      </c>
      <c r="D735" t="s">
        <v>2008</v>
      </c>
      <c r="E735" t="s">
        <v>2009</v>
      </c>
      <c r="F735" t="s">
        <v>1526</v>
      </c>
      <c r="G735" t="s">
        <v>1527</v>
      </c>
      <c r="H735" t="s">
        <v>2271</v>
      </c>
      <c r="I735" t="s">
        <v>4380</v>
      </c>
      <c r="J735" t="s">
        <v>3762</v>
      </c>
      <c r="K735" t="s">
        <v>3763</v>
      </c>
      <c r="M735">
        <v>60</v>
      </c>
      <c r="N735">
        <v>70</v>
      </c>
      <c r="O735" t="s">
        <v>2437</v>
      </c>
      <c r="P735" t="s">
        <v>2437</v>
      </c>
      <c r="R735" t="s">
        <v>2437</v>
      </c>
      <c r="T735" t="s">
        <v>2437</v>
      </c>
      <c r="U735" t="s">
        <v>2437</v>
      </c>
      <c r="V735" t="s">
        <v>2437</v>
      </c>
      <c r="Y735" t="s">
        <v>6948</v>
      </c>
      <c r="Z735" t="s">
        <v>6949</v>
      </c>
      <c r="AA735" t="s">
        <v>6950</v>
      </c>
      <c r="AB735" t="s">
        <v>6951</v>
      </c>
      <c r="AC735" t="s">
        <v>6952</v>
      </c>
      <c r="AD735" t="s">
        <v>6953</v>
      </c>
      <c r="AE735" t="s">
        <v>6961</v>
      </c>
      <c r="AF735" t="s">
        <v>6962</v>
      </c>
      <c r="AG735" t="s">
        <v>6963</v>
      </c>
      <c r="AH735" t="s">
        <v>6964</v>
      </c>
      <c r="AI735" t="s">
        <v>6965</v>
      </c>
      <c r="AJ735" t="s">
        <v>6966</v>
      </c>
      <c r="AR735" t="s">
        <v>4284</v>
      </c>
    </row>
    <row r="736" spans="1:44">
      <c r="A736">
        <v>11132384</v>
      </c>
      <c r="B736" t="s">
        <v>830</v>
      </c>
      <c r="C736" t="s">
        <v>1389</v>
      </c>
      <c r="D736" t="s">
        <v>2008</v>
      </c>
      <c r="E736" t="s">
        <v>2009</v>
      </c>
      <c r="F736" t="s">
        <v>1526</v>
      </c>
      <c r="G736" t="s">
        <v>1527</v>
      </c>
      <c r="H736" t="s">
        <v>2272</v>
      </c>
      <c r="I736" t="s">
        <v>4462</v>
      </c>
      <c r="J736" t="s">
        <v>3764</v>
      </c>
      <c r="K736" t="s">
        <v>3765</v>
      </c>
      <c r="M736">
        <v>60</v>
      </c>
      <c r="N736">
        <v>70</v>
      </c>
      <c r="O736" t="s">
        <v>2437</v>
      </c>
      <c r="P736" t="s">
        <v>2437</v>
      </c>
      <c r="R736" t="s">
        <v>2437</v>
      </c>
      <c r="T736" t="s">
        <v>2437</v>
      </c>
      <c r="U736" t="s">
        <v>2437</v>
      </c>
      <c r="V736" t="s">
        <v>2437</v>
      </c>
      <c r="Y736" t="s">
        <v>6948</v>
      </c>
      <c r="Z736" t="s">
        <v>6949</v>
      </c>
      <c r="AA736" t="s">
        <v>6950</v>
      </c>
      <c r="AB736" t="s">
        <v>6951</v>
      </c>
      <c r="AC736" t="s">
        <v>6952</v>
      </c>
      <c r="AD736" t="s">
        <v>6953</v>
      </c>
      <c r="AE736" t="s">
        <v>6961</v>
      </c>
      <c r="AF736" t="s">
        <v>6962</v>
      </c>
      <c r="AG736" t="s">
        <v>6963</v>
      </c>
      <c r="AH736" t="s">
        <v>6964</v>
      </c>
      <c r="AI736" t="s">
        <v>6965</v>
      </c>
      <c r="AJ736" t="s">
        <v>6966</v>
      </c>
      <c r="AR736" t="s">
        <v>4284</v>
      </c>
    </row>
    <row r="737" spans="1:44">
      <c r="A737">
        <v>11132385</v>
      </c>
      <c r="B737" t="s">
        <v>831</v>
      </c>
      <c r="C737" t="s">
        <v>1390</v>
      </c>
      <c r="D737" t="s">
        <v>2008</v>
      </c>
      <c r="E737" t="s">
        <v>2009</v>
      </c>
      <c r="F737" t="s">
        <v>1526</v>
      </c>
      <c r="G737" t="s">
        <v>1527</v>
      </c>
      <c r="H737" t="s">
        <v>2273</v>
      </c>
      <c r="I737" t="s">
        <v>4463</v>
      </c>
      <c r="J737" t="s">
        <v>3766</v>
      </c>
      <c r="K737" t="s">
        <v>3767</v>
      </c>
      <c r="M737">
        <v>60</v>
      </c>
      <c r="N737">
        <v>70</v>
      </c>
      <c r="O737" t="s">
        <v>2437</v>
      </c>
      <c r="P737" t="s">
        <v>2437</v>
      </c>
      <c r="R737" t="s">
        <v>2437</v>
      </c>
      <c r="T737" t="s">
        <v>2437</v>
      </c>
      <c r="U737" t="s">
        <v>2437</v>
      </c>
      <c r="V737" t="s">
        <v>2437</v>
      </c>
      <c r="Y737" t="s">
        <v>6948</v>
      </c>
      <c r="Z737" t="s">
        <v>6949</v>
      </c>
      <c r="AA737" t="s">
        <v>6950</v>
      </c>
      <c r="AB737" t="s">
        <v>6951</v>
      </c>
      <c r="AC737" t="s">
        <v>6952</v>
      </c>
      <c r="AD737" t="s">
        <v>6953</v>
      </c>
      <c r="AE737" t="s">
        <v>6961</v>
      </c>
      <c r="AF737" t="s">
        <v>6962</v>
      </c>
      <c r="AG737" t="s">
        <v>6963</v>
      </c>
      <c r="AH737" t="s">
        <v>6964</v>
      </c>
      <c r="AI737" t="s">
        <v>6965</v>
      </c>
      <c r="AJ737" t="s">
        <v>6966</v>
      </c>
      <c r="AR737" t="s">
        <v>4284</v>
      </c>
    </row>
    <row r="738" spans="1:44">
      <c r="A738">
        <v>11132386</v>
      </c>
      <c r="B738" t="s">
        <v>832</v>
      </c>
      <c r="C738" t="s">
        <v>1391</v>
      </c>
      <c r="D738" t="s">
        <v>2008</v>
      </c>
      <c r="E738" t="s">
        <v>2009</v>
      </c>
      <c r="F738" t="s">
        <v>1526</v>
      </c>
      <c r="G738" t="s">
        <v>1527</v>
      </c>
      <c r="H738" t="s">
        <v>2274</v>
      </c>
      <c r="I738" t="s">
        <v>4464</v>
      </c>
      <c r="J738" t="s">
        <v>3768</v>
      </c>
      <c r="K738" t="s">
        <v>3769</v>
      </c>
      <c r="M738">
        <v>60</v>
      </c>
      <c r="N738">
        <v>70</v>
      </c>
      <c r="O738" t="s">
        <v>2437</v>
      </c>
      <c r="P738" t="s">
        <v>2437</v>
      </c>
      <c r="R738" t="s">
        <v>2437</v>
      </c>
      <c r="T738" t="s">
        <v>2437</v>
      </c>
      <c r="U738" t="s">
        <v>2437</v>
      </c>
      <c r="V738" t="s">
        <v>2437</v>
      </c>
      <c r="Y738" t="s">
        <v>6948</v>
      </c>
      <c r="Z738" t="s">
        <v>6949</v>
      </c>
      <c r="AA738" t="s">
        <v>6950</v>
      </c>
      <c r="AB738" t="s">
        <v>6951</v>
      </c>
      <c r="AC738" t="s">
        <v>6952</v>
      </c>
      <c r="AD738" t="s">
        <v>6953</v>
      </c>
      <c r="AE738" t="s">
        <v>6961</v>
      </c>
      <c r="AF738" t="s">
        <v>6962</v>
      </c>
      <c r="AG738" t="s">
        <v>6963</v>
      </c>
      <c r="AH738" t="s">
        <v>6964</v>
      </c>
      <c r="AI738" t="s">
        <v>6965</v>
      </c>
      <c r="AJ738" t="s">
        <v>6966</v>
      </c>
      <c r="AR738" t="s">
        <v>4284</v>
      </c>
    </row>
    <row r="739" spans="1:44">
      <c r="A739">
        <v>11132387</v>
      </c>
      <c r="B739" t="s">
        <v>833</v>
      </c>
      <c r="C739" t="s">
        <v>1392</v>
      </c>
      <c r="D739" t="s">
        <v>2008</v>
      </c>
      <c r="E739" t="s">
        <v>2009</v>
      </c>
      <c r="F739" t="s">
        <v>1526</v>
      </c>
      <c r="G739" t="s">
        <v>1527</v>
      </c>
      <c r="H739" t="s">
        <v>2275</v>
      </c>
      <c r="I739" t="s">
        <v>4343</v>
      </c>
      <c r="J739" t="s">
        <v>3770</v>
      </c>
      <c r="K739" t="s">
        <v>3771</v>
      </c>
      <c r="M739">
        <v>60</v>
      </c>
      <c r="N739">
        <v>70</v>
      </c>
      <c r="O739" t="s">
        <v>2437</v>
      </c>
      <c r="P739" t="s">
        <v>2437</v>
      </c>
      <c r="R739" t="s">
        <v>2437</v>
      </c>
      <c r="T739" t="s">
        <v>2437</v>
      </c>
      <c r="U739" t="s">
        <v>2437</v>
      </c>
      <c r="V739" t="s">
        <v>2437</v>
      </c>
      <c r="Y739" t="s">
        <v>6948</v>
      </c>
      <c r="Z739" t="s">
        <v>6949</v>
      </c>
      <c r="AA739" t="s">
        <v>6950</v>
      </c>
      <c r="AB739" t="s">
        <v>6951</v>
      </c>
      <c r="AC739" t="s">
        <v>6952</v>
      </c>
      <c r="AD739" t="s">
        <v>6953</v>
      </c>
      <c r="AE739" t="s">
        <v>6961</v>
      </c>
      <c r="AF739" t="s">
        <v>6962</v>
      </c>
      <c r="AG739" t="s">
        <v>6963</v>
      </c>
      <c r="AH739" t="s">
        <v>6964</v>
      </c>
      <c r="AI739" t="s">
        <v>6965</v>
      </c>
      <c r="AJ739" t="s">
        <v>6966</v>
      </c>
      <c r="AR739" t="s">
        <v>4284</v>
      </c>
    </row>
    <row r="740" spans="1:44">
      <c r="A740">
        <v>11132388</v>
      </c>
      <c r="B740" t="s">
        <v>834</v>
      </c>
      <c r="C740" t="s">
        <v>1393</v>
      </c>
      <c r="D740" t="s">
        <v>2010</v>
      </c>
      <c r="E740" t="s">
        <v>2011</v>
      </c>
      <c r="F740" t="s">
        <v>1798</v>
      </c>
      <c r="G740" t="s">
        <v>1799</v>
      </c>
      <c r="H740" t="s">
        <v>2276</v>
      </c>
      <c r="I740" t="s">
        <v>4314</v>
      </c>
      <c r="J740" t="s">
        <v>3772</v>
      </c>
      <c r="K740" t="s">
        <v>3773</v>
      </c>
      <c r="M740">
        <v>60</v>
      </c>
      <c r="N740">
        <v>70</v>
      </c>
      <c r="O740" t="s">
        <v>2437</v>
      </c>
      <c r="P740" t="s">
        <v>2437</v>
      </c>
      <c r="R740" t="s">
        <v>2444</v>
      </c>
      <c r="T740" t="s">
        <v>2437</v>
      </c>
      <c r="U740" t="s">
        <v>2437</v>
      </c>
      <c r="V740" t="s">
        <v>2437</v>
      </c>
      <c r="Y740" t="s">
        <v>6948</v>
      </c>
      <c r="Z740" t="s">
        <v>6949</v>
      </c>
      <c r="AA740" t="s">
        <v>6950</v>
      </c>
      <c r="AB740" t="s">
        <v>6951</v>
      </c>
      <c r="AC740" t="s">
        <v>6952</v>
      </c>
      <c r="AD740" t="s">
        <v>6953</v>
      </c>
      <c r="AE740" t="s">
        <v>6961</v>
      </c>
      <c r="AF740" t="s">
        <v>6962</v>
      </c>
      <c r="AG740" t="s">
        <v>6963</v>
      </c>
      <c r="AH740" t="s">
        <v>6964</v>
      </c>
      <c r="AI740" t="s">
        <v>6965</v>
      </c>
      <c r="AJ740" t="s">
        <v>6966</v>
      </c>
      <c r="AR740" t="s">
        <v>4284</v>
      </c>
    </row>
    <row r="741" spans="1:44">
      <c r="A741">
        <v>11132389</v>
      </c>
      <c r="B741" t="s">
        <v>835</v>
      </c>
      <c r="C741" t="s">
        <v>1394</v>
      </c>
      <c r="D741" t="s">
        <v>2010</v>
      </c>
      <c r="E741" t="s">
        <v>2011</v>
      </c>
      <c r="F741" t="s">
        <v>1798</v>
      </c>
      <c r="G741" t="s">
        <v>1799</v>
      </c>
      <c r="H741" t="s">
        <v>2223</v>
      </c>
      <c r="I741" t="s">
        <v>4315</v>
      </c>
      <c r="J741" t="s">
        <v>3774</v>
      </c>
      <c r="K741" t="s">
        <v>3775</v>
      </c>
      <c r="M741">
        <v>60</v>
      </c>
      <c r="N741">
        <v>70</v>
      </c>
      <c r="O741" t="s">
        <v>2437</v>
      </c>
      <c r="P741" t="s">
        <v>2437</v>
      </c>
      <c r="R741" t="s">
        <v>2444</v>
      </c>
      <c r="T741" t="s">
        <v>2437</v>
      </c>
      <c r="U741" t="s">
        <v>2437</v>
      </c>
      <c r="V741" t="s">
        <v>2437</v>
      </c>
      <c r="Y741" t="s">
        <v>6948</v>
      </c>
      <c r="Z741" t="s">
        <v>6949</v>
      </c>
      <c r="AA741" t="s">
        <v>6950</v>
      </c>
      <c r="AB741" t="s">
        <v>6951</v>
      </c>
      <c r="AC741" t="s">
        <v>6952</v>
      </c>
      <c r="AD741" t="s">
        <v>6953</v>
      </c>
      <c r="AE741" t="s">
        <v>6961</v>
      </c>
      <c r="AF741" t="s">
        <v>6962</v>
      </c>
      <c r="AG741" t="s">
        <v>6963</v>
      </c>
      <c r="AH741" t="s">
        <v>6964</v>
      </c>
      <c r="AI741" t="s">
        <v>6965</v>
      </c>
      <c r="AJ741" t="s">
        <v>6966</v>
      </c>
      <c r="AR741" t="s">
        <v>4284</v>
      </c>
    </row>
    <row r="742" spans="1:44">
      <c r="A742">
        <v>11132390</v>
      </c>
      <c r="B742" t="s">
        <v>836</v>
      </c>
      <c r="C742" t="s">
        <v>1395</v>
      </c>
      <c r="D742" t="s">
        <v>2010</v>
      </c>
      <c r="E742" t="s">
        <v>2011</v>
      </c>
      <c r="F742" t="s">
        <v>1798</v>
      </c>
      <c r="G742" t="s">
        <v>1799</v>
      </c>
      <c r="H742" t="s">
        <v>2277</v>
      </c>
      <c r="I742" t="s">
        <v>4316</v>
      </c>
      <c r="J742" t="s">
        <v>3776</v>
      </c>
      <c r="K742" t="s">
        <v>3777</v>
      </c>
      <c r="M742">
        <v>60</v>
      </c>
      <c r="N742">
        <v>70</v>
      </c>
      <c r="O742" t="s">
        <v>2437</v>
      </c>
      <c r="P742" t="s">
        <v>2437</v>
      </c>
      <c r="R742" t="s">
        <v>2444</v>
      </c>
      <c r="T742" t="s">
        <v>2437</v>
      </c>
      <c r="U742" t="s">
        <v>2437</v>
      </c>
      <c r="V742" t="s">
        <v>2437</v>
      </c>
      <c r="Y742" t="s">
        <v>6948</v>
      </c>
      <c r="Z742" t="s">
        <v>6949</v>
      </c>
      <c r="AA742" t="s">
        <v>6950</v>
      </c>
      <c r="AB742" t="s">
        <v>6951</v>
      </c>
      <c r="AC742" t="s">
        <v>6952</v>
      </c>
      <c r="AD742" t="s">
        <v>6953</v>
      </c>
      <c r="AE742" t="s">
        <v>6961</v>
      </c>
      <c r="AF742" t="s">
        <v>6962</v>
      </c>
      <c r="AG742" t="s">
        <v>6963</v>
      </c>
      <c r="AH742" t="s">
        <v>6964</v>
      </c>
      <c r="AI742" t="s">
        <v>6965</v>
      </c>
      <c r="AJ742" t="s">
        <v>6966</v>
      </c>
      <c r="AR742" t="s">
        <v>4284</v>
      </c>
    </row>
    <row r="743" spans="1:44">
      <c r="A743">
        <v>11132391</v>
      </c>
      <c r="B743" t="s">
        <v>837</v>
      </c>
      <c r="C743" t="s">
        <v>1396</v>
      </c>
      <c r="D743" t="s">
        <v>2010</v>
      </c>
      <c r="E743" t="s">
        <v>2011</v>
      </c>
      <c r="F743" t="s">
        <v>1798</v>
      </c>
      <c r="G743" t="s">
        <v>1799</v>
      </c>
      <c r="H743" t="s">
        <v>2278</v>
      </c>
      <c r="I743" t="s">
        <v>4317</v>
      </c>
      <c r="J743" t="s">
        <v>3778</v>
      </c>
      <c r="K743" t="s">
        <v>3779</v>
      </c>
      <c r="M743">
        <v>60</v>
      </c>
      <c r="N743">
        <v>70</v>
      </c>
      <c r="O743" t="s">
        <v>2437</v>
      </c>
      <c r="P743" t="s">
        <v>2437</v>
      </c>
      <c r="R743" t="s">
        <v>2444</v>
      </c>
      <c r="T743" t="s">
        <v>2437</v>
      </c>
      <c r="U743" t="s">
        <v>2437</v>
      </c>
      <c r="V743" t="s">
        <v>2437</v>
      </c>
      <c r="Y743" t="s">
        <v>6948</v>
      </c>
      <c r="Z743" t="s">
        <v>6949</v>
      </c>
      <c r="AA743" t="s">
        <v>6950</v>
      </c>
      <c r="AB743" t="s">
        <v>6951</v>
      </c>
      <c r="AC743" t="s">
        <v>6952</v>
      </c>
      <c r="AD743" t="s">
        <v>6953</v>
      </c>
      <c r="AE743" t="s">
        <v>6961</v>
      </c>
      <c r="AF743" t="s">
        <v>6962</v>
      </c>
      <c r="AG743" t="s">
        <v>6963</v>
      </c>
      <c r="AH743" t="s">
        <v>6964</v>
      </c>
      <c r="AI743" t="s">
        <v>6965</v>
      </c>
      <c r="AJ743" t="s">
        <v>6966</v>
      </c>
      <c r="AR743" t="s">
        <v>4284</v>
      </c>
    </row>
    <row r="744" spans="1:44">
      <c r="A744">
        <v>11132392</v>
      </c>
      <c r="B744" t="s">
        <v>838</v>
      </c>
      <c r="C744" t="s">
        <v>1397</v>
      </c>
      <c r="D744" t="s">
        <v>2010</v>
      </c>
      <c r="E744" t="s">
        <v>2011</v>
      </c>
      <c r="F744" t="s">
        <v>1798</v>
      </c>
      <c r="G744" t="s">
        <v>1799</v>
      </c>
      <c r="H744" t="s">
        <v>2224</v>
      </c>
      <c r="I744" t="s">
        <v>4312</v>
      </c>
      <c r="J744" t="s">
        <v>3780</v>
      </c>
      <c r="K744" t="s">
        <v>3781</v>
      </c>
      <c r="M744">
        <v>60</v>
      </c>
      <c r="N744">
        <v>70</v>
      </c>
      <c r="O744" t="s">
        <v>2437</v>
      </c>
      <c r="P744" t="s">
        <v>2437</v>
      </c>
      <c r="R744" t="s">
        <v>2444</v>
      </c>
      <c r="T744" t="s">
        <v>2437</v>
      </c>
      <c r="U744" t="s">
        <v>2437</v>
      </c>
      <c r="V744" t="s">
        <v>2437</v>
      </c>
      <c r="Y744" t="s">
        <v>6948</v>
      </c>
      <c r="Z744" t="s">
        <v>6949</v>
      </c>
      <c r="AA744" t="s">
        <v>6950</v>
      </c>
      <c r="AB744" t="s">
        <v>6951</v>
      </c>
      <c r="AC744" t="s">
        <v>6952</v>
      </c>
      <c r="AD744" t="s">
        <v>6953</v>
      </c>
      <c r="AE744" t="s">
        <v>6961</v>
      </c>
      <c r="AF744" t="s">
        <v>6962</v>
      </c>
      <c r="AG744" t="s">
        <v>6963</v>
      </c>
      <c r="AH744" t="s">
        <v>6964</v>
      </c>
      <c r="AI744" t="s">
        <v>6965</v>
      </c>
      <c r="AJ744" t="s">
        <v>6966</v>
      </c>
      <c r="AR744" t="s">
        <v>4284</v>
      </c>
    </row>
    <row r="745" spans="1:44">
      <c r="A745">
        <v>11132393</v>
      </c>
      <c r="B745" t="s">
        <v>839</v>
      </c>
      <c r="C745" t="s">
        <v>1398</v>
      </c>
      <c r="D745" t="s">
        <v>2010</v>
      </c>
      <c r="E745" t="s">
        <v>2011</v>
      </c>
      <c r="F745" t="s">
        <v>1798</v>
      </c>
      <c r="G745" t="s">
        <v>1799</v>
      </c>
      <c r="H745" t="s">
        <v>2225</v>
      </c>
      <c r="I745" t="s">
        <v>4313</v>
      </c>
      <c r="J745" t="s">
        <v>3782</v>
      </c>
      <c r="K745" t="s">
        <v>3783</v>
      </c>
      <c r="M745">
        <v>60</v>
      </c>
      <c r="N745">
        <v>70</v>
      </c>
      <c r="O745" t="s">
        <v>2437</v>
      </c>
      <c r="P745" t="s">
        <v>2437</v>
      </c>
      <c r="R745" t="s">
        <v>2444</v>
      </c>
      <c r="T745" t="s">
        <v>2437</v>
      </c>
      <c r="U745" t="s">
        <v>2437</v>
      </c>
      <c r="V745" t="s">
        <v>2437</v>
      </c>
      <c r="Y745" t="s">
        <v>6948</v>
      </c>
      <c r="Z745" t="s">
        <v>6949</v>
      </c>
      <c r="AA745" t="s">
        <v>6950</v>
      </c>
      <c r="AB745" t="s">
        <v>6951</v>
      </c>
      <c r="AC745" t="s">
        <v>6952</v>
      </c>
      <c r="AD745" t="s">
        <v>6953</v>
      </c>
      <c r="AE745" t="s">
        <v>6961</v>
      </c>
      <c r="AF745" t="s">
        <v>6962</v>
      </c>
      <c r="AG745" t="s">
        <v>6963</v>
      </c>
      <c r="AH745" t="s">
        <v>6964</v>
      </c>
      <c r="AI745" t="s">
        <v>6965</v>
      </c>
      <c r="AJ745" t="s">
        <v>6966</v>
      </c>
      <c r="AR745" t="s">
        <v>4284</v>
      </c>
    </row>
    <row r="746" spans="1:44">
      <c r="A746">
        <v>11132394</v>
      </c>
      <c r="B746" t="s">
        <v>840</v>
      </c>
      <c r="C746" t="s">
        <v>1399</v>
      </c>
      <c r="D746" t="s">
        <v>2012</v>
      </c>
      <c r="E746" t="s">
        <v>2013</v>
      </c>
      <c r="F746" t="s">
        <v>1788</v>
      </c>
      <c r="G746" t="s">
        <v>1789</v>
      </c>
      <c r="H746" t="s">
        <v>2264</v>
      </c>
      <c r="I746" t="s">
        <v>4455</v>
      </c>
      <c r="J746" t="s">
        <v>3784</v>
      </c>
      <c r="K746" t="s">
        <v>3785</v>
      </c>
      <c r="M746">
        <v>60</v>
      </c>
      <c r="N746">
        <v>70</v>
      </c>
      <c r="O746" t="s">
        <v>2437</v>
      </c>
      <c r="P746" t="s">
        <v>2437</v>
      </c>
      <c r="R746" t="s">
        <v>2437</v>
      </c>
      <c r="T746" t="s">
        <v>2437</v>
      </c>
      <c r="U746" t="s">
        <v>2437</v>
      </c>
      <c r="V746" t="s">
        <v>2437</v>
      </c>
      <c r="Y746" t="s">
        <v>6948</v>
      </c>
      <c r="Z746" t="s">
        <v>6949</v>
      </c>
      <c r="AA746" t="s">
        <v>6950</v>
      </c>
      <c r="AB746" t="s">
        <v>6951</v>
      </c>
      <c r="AC746" t="s">
        <v>6952</v>
      </c>
      <c r="AD746" t="s">
        <v>6953</v>
      </c>
      <c r="AE746" t="s">
        <v>6961</v>
      </c>
      <c r="AF746" t="s">
        <v>6962</v>
      </c>
      <c r="AG746" t="s">
        <v>6963</v>
      </c>
      <c r="AH746" t="s">
        <v>6964</v>
      </c>
      <c r="AI746" t="s">
        <v>6965</v>
      </c>
      <c r="AJ746" t="s">
        <v>6966</v>
      </c>
      <c r="AR746" t="s">
        <v>4284</v>
      </c>
    </row>
    <row r="747" spans="1:44">
      <c r="A747">
        <v>11132395</v>
      </c>
      <c r="B747" t="s">
        <v>841</v>
      </c>
      <c r="C747" t="s">
        <v>1400</v>
      </c>
      <c r="D747" t="s">
        <v>2012</v>
      </c>
      <c r="E747" t="s">
        <v>2013</v>
      </c>
      <c r="F747" t="s">
        <v>1788</v>
      </c>
      <c r="G747" t="s">
        <v>1789</v>
      </c>
      <c r="H747" t="s">
        <v>2262</v>
      </c>
      <c r="I747" t="s">
        <v>4453</v>
      </c>
      <c r="J747" t="s">
        <v>3786</v>
      </c>
      <c r="K747" t="s">
        <v>3787</v>
      </c>
      <c r="M747">
        <v>60</v>
      </c>
      <c r="N747">
        <v>70</v>
      </c>
      <c r="O747" t="s">
        <v>2437</v>
      </c>
      <c r="P747" t="s">
        <v>2437</v>
      </c>
      <c r="R747" t="s">
        <v>2437</v>
      </c>
      <c r="T747" t="s">
        <v>2437</v>
      </c>
      <c r="U747" t="s">
        <v>2437</v>
      </c>
      <c r="V747" t="s">
        <v>2437</v>
      </c>
      <c r="Y747" t="s">
        <v>6948</v>
      </c>
      <c r="Z747" t="s">
        <v>6949</v>
      </c>
      <c r="AA747" t="s">
        <v>6950</v>
      </c>
      <c r="AB747" t="s">
        <v>6951</v>
      </c>
      <c r="AC747" t="s">
        <v>6952</v>
      </c>
      <c r="AD747" t="s">
        <v>6953</v>
      </c>
      <c r="AE747" t="s">
        <v>6961</v>
      </c>
      <c r="AF747" t="s">
        <v>6962</v>
      </c>
      <c r="AG747" t="s">
        <v>6963</v>
      </c>
      <c r="AH747" t="s">
        <v>6964</v>
      </c>
      <c r="AI747" t="s">
        <v>6965</v>
      </c>
      <c r="AJ747" t="s">
        <v>6966</v>
      </c>
      <c r="AR747" t="s">
        <v>4284</v>
      </c>
    </row>
    <row r="748" spans="1:44">
      <c r="A748">
        <v>11132396</v>
      </c>
      <c r="B748" t="s">
        <v>842</v>
      </c>
      <c r="C748" t="s">
        <v>1401</v>
      </c>
      <c r="D748" t="s">
        <v>2012</v>
      </c>
      <c r="E748" t="s">
        <v>2013</v>
      </c>
      <c r="F748" t="s">
        <v>1788</v>
      </c>
      <c r="G748" t="s">
        <v>1789</v>
      </c>
      <c r="H748" t="s">
        <v>2265</v>
      </c>
      <c r="I748" t="s">
        <v>4456</v>
      </c>
      <c r="J748" t="s">
        <v>3788</v>
      </c>
      <c r="K748" t="s">
        <v>3789</v>
      </c>
      <c r="M748">
        <v>60</v>
      </c>
      <c r="N748">
        <v>70</v>
      </c>
      <c r="O748" t="s">
        <v>2437</v>
      </c>
      <c r="P748" t="s">
        <v>2437</v>
      </c>
      <c r="R748" t="s">
        <v>2437</v>
      </c>
      <c r="T748" t="s">
        <v>2437</v>
      </c>
      <c r="U748" t="s">
        <v>2437</v>
      </c>
      <c r="V748" t="s">
        <v>2437</v>
      </c>
      <c r="Y748" t="s">
        <v>6948</v>
      </c>
      <c r="Z748" t="s">
        <v>6949</v>
      </c>
      <c r="AA748" t="s">
        <v>6950</v>
      </c>
      <c r="AB748" t="s">
        <v>6951</v>
      </c>
      <c r="AC748" t="s">
        <v>6952</v>
      </c>
      <c r="AD748" t="s">
        <v>6953</v>
      </c>
      <c r="AE748" t="s">
        <v>6961</v>
      </c>
      <c r="AF748" t="s">
        <v>6962</v>
      </c>
      <c r="AG748" t="s">
        <v>6963</v>
      </c>
      <c r="AH748" t="s">
        <v>6964</v>
      </c>
      <c r="AI748" t="s">
        <v>6965</v>
      </c>
      <c r="AJ748" t="s">
        <v>6966</v>
      </c>
      <c r="AR748" t="s">
        <v>4284</v>
      </c>
    </row>
    <row r="749" spans="1:44">
      <c r="A749">
        <v>11132397</v>
      </c>
      <c r="B749" t="s">
        <v>843</v>
      </c>
      <c r="C749" t="s">
        <v>1402</v>
      </c>
      <c r="D749" t="s">
        <v>2012</v>
      </c>
      <c r="E749" t="s">
        <v>2013</v>
      </c>
      <c r="F749" t="s">
        <v>1788</v>
      </c>
      <c r="G749" t="s">
        <v>1789</v>
      </c>
      <c r="H749" t="s">
        <v>2260</v>
      </c>
      <c r="I749" t="s">
        <v>4451</v>
      </c>
      <c r="J749" t="s">
        <v>3790</v>
      </c>
      <c r="K749" t="s">
        <v>3791</v>
      </c>
      <c r="M749">
        <v>60</v>
      </c>
      <c r="N749">
        <v>70</v>
      </c>
      <c r="O749" t="s">
        <v>2437</v>
      </c>
      <c r="P749" t="s">
        <v>2437</v>
      </c>
      <c r="R749" t="s">
        <v>2437</v>
      </c>
      <c r="T749" t="s">
        <v>2437</v>
      </c>
      <c r="U749" t="s">
        <v>2437</v>
      </c>
      <c r="V749" t="s">
        <v>2437</v>
      </c>
      <c r="Y749" t="s">
        <v>6948</v>
      </c>
      <c r="Z749" t="s">
        <v>6949</v>
      </c>
      <c r="AA749" t="s">
        <v>6950</v>
      </c>
      <c r="AB749" t="s">
        <v>6951</v>
      </c>
      <c r="AC749" t="s">
        <v>6952</v>
      </c>
      <c r="AD749" t="s">
        <v>6953</v>
      </c>
      <c r="AE749" t="s">
        <v>6961</v>
      </c>
      <c r="AF749" t="s">
        <v>6962</v>
      </c>
      <c r="AG749" t="s">
        <v>6963</v>
      </c>
      <c r="AH749" t="s">
        <v>6964</v>
      </c>
      <c r="AI749" t="s">
        <v>6965</v>
      </c>
      <c r="AJ749" t="s">
        <v>6966</v>
      </c>
      <c r="AR749" t="s">
        <v>4284</v>
      </c>
    </row>
    <row r="750" spans="1:44">
      <c r="A750">
        <v>11132398</v>
      </c>
      <c r="B750" t="s">
        <v>844</v>
      </c>
      <c r="C750" t="s">
        <v>1403</v>
      </c>
      <c r="D750" t="s">
        <v>2012</v>
      </c>
      <c r="E750" t="s">
        <v>2013</v>
      </c>
      <c r="F750" t="s">
        <v>1788</v>
      </c>
      <c r="G750" t="s">
        <v>1789</v>
      </c>
      <c r="H750" t="s">
        <v>2263</v>
      </c>
      <c r="I750" t="s">
        <v>4454</v>
      </c>
      <c r="J750" t="s">
        <v>3792</v>
      </c>
      <c r="K750" t="s">
        <v>3793</v>
      </c>
      <c r="M750">
        <v>60</v>
      </c>
      <c r="N750">
        <v>70</v>
      </c>
      <c r="O750" t="s">
        <v>2437</v>
      </c>
      <c r="P750" t="s">
        <v>2437</v>
      </c>
      <c r="R750" t="s">
        <v>2437</v>
      </c>
      <c r="T750" t="s">
        <v>2437</v>
      </c>
      <c r="U750" t="s">
        <v>2437</v>
      </c>
      <c r="V750" t="s">
        <v>2437</v>
      </c>
      <c r="Y750" t="s">
        <v>6948</v>
      </c>
      <c r="Z750" t="s">
        <v>6949</v>
      </c>
      <c r="AA750" t="s">
        <v>6950</v>
      </c>
      <c r="AB750" t="s">
        <v>6951</v>
      </c>
      <c r="AC750" t="s">
        <v>6952</v>
      </c>
      <c r="AD750" t="s">
        <v>6953</v>
      </c>
      <c r="AE750" t="s">
        <v>6961</v>
      </c>
      <c r="AF750" t="s">
        <v>6962</v>
      </c>
      <c r="AG750" t="s">
        <v>6963</v>
      </c>
      <c r="AH750" t="s">
        <v>6964</v>
      </c>
      <c r="AI750" t="s">
        <v>6965</v>
      </c>
      <c r="AJ750" t="s">
        <v>6966</v>
      </c>
      <c r="AR750" t="s">
        <v>4284</v>
      </c>
    </row>
    <row r="751" spans="1:44">
      <c r="A751">
        <v>11132399</v>
      </c>
      <c r="B751" t="s">
        <v>845</v>
      </c>
      <c r="C751" t="s">
        <v>1404</v>
      </c>
      <c r="D751" t="s">
        <v>2012</v>
      </c>
      <c r="E751" t="s">
        <v>2013</v>
      </c>
      <c r="F751" t="s">
        <v>1788</v>
      </c>
      <c r="G751" t="s">
        <v>1789</v>
      </c>
      <c r="H751" t="s">
        <v>2261</v>
      </c>
      <c r="I751" t="s">
        <v>4452</v>
      </c>
      <c r="J751" t="s">
        <v>3794</v>
      </c>
      <c r="K751" t="s">
        <v>3795</v>
      </c>
      <c r="M751">
        <v>60</v>
      </c>
      <c r="N751">
        <v>70</v>
      </c>
      <c r="O751" t="s">
        <v>2437</v>
      </c>
      <c r="P751" t="s">
        <v>2437</v>
      </c>
      <c r="R751" t="s">
        <v>2437</v>
      </c>
      <c r="T751" t="s">
        <v>2437</v>
      </c>
      <c r="U751" t="s">
        <v>2437</v>
      </c>
      <c r="V751" t="s">
        <v>2437</v>
      </c>
      <c r="Y751" t="s">
        <v>6948</v>
      </c>
      <c r="Z751" t="s">
        <v>6949</v>
      </c>
      <c r="AA751" t="s">
        <v>6950</v>
      </c>
      <c r="AB751" t="s">
        <v>6951</v>
      </c>
      <c r="AC751" t="s">
        <v>6952</v>
      </c>
      <c r="AD751" t="s">
        <v>6953</v>
      </c>
      <c r="AE751" t="s">
        <v>6961</v>
      </c>
      <c r="AF751" t="s">
        <v>6962</v>
      </c>
      <c r="AG751" t="s">
        <v>6963</v>
      </c>
      <c r="AH751" t="s">
        <v>6964</v>
      </c>
      <c r="AI751" t="s">
        <v>6965</v>
      </c>
      <c r="AJ751" t="s">
        <v>6966</v>
      </c>
      <c r="AR751" t="s">
        <v>4284</v>
      </c>
    </row>
    <row r="752" spans="1:44">
      <c r="A752">
        <v>11132400</v>
      </c>
      <c r="B752" t="s">
        <v>846</v>
      </c>
      <c r="C752" t="s">
        <v>1405</v>
      </c>
      <c r="D752" t="s">
        <v>2004</v>
      </c>
      <c r="E752" t="s">
        <v>2005</v>
      </c>
      <c r="F752" t="s">
        <v>1810</v>
      </c>
      <c r="G752" t="s">
        <v>1811</v>
      </c>
      <c r="H752" t="s">
        <v>2281</v>
      </c>
      <c r="I752" t="s">
        <v>4469</v>
      </c>
      <c r="J752" t="s">
        <v>3796</v>
      </c>
      <c r="K752" t="s">
        <v>3797</v>
      </c>
      <c r="M752">
        <v>50</v>
      </c>
      <c r="N752">
        <v>70</v>
      </c>
      <c r="O752" t="s">
        <v>2437</v>
      </c>
      <c r="P752" t="s">
        <v>2437</v>
      </c>
      <c r="R752" t="s">
        <v>2437</v>
      </c>
      <c r="T752" t="s">
        <v>2437</v>
      </c>
      <c r="U752" t="s">
        <v>2437</v>
      </c>
      <c r="V752" t="s">
        <v>2437</v>
      </c>
      <c r="Y752" t="s">
        <v>6948</v>
      </c>
      <c r="Z752" t="s">
        <v>6949</v>
      </c>
      <c r="AA752" t="s">
        <v>6950</v>
      </c>
      <c r="AB752" t="s">
        <v>6951</v>
      </c>
      <c r="AC752" t="s">
        <v>6952</v>
      </c>
      <c r="AD752" t="s">
        <v>6953</v>
      </c>
      <c r="AE752" t="s">
        <v>6954</v>
      </c>
      <c r="AF752" t="s">
        <v>6955</v>
      </c>
      <c r="AG752" t="s">
        <v>6956</v>
      </c>
      <c r="AH752" t="s">
        <v>6957</v>
      </c>
      <c r="AI752" t="s">
        <v>6958</v>
      </c>
      <c r="AJ752" t="s">
        <v>6959</v>
      </c>
      <c r="AR752" t="s">
        <v>4284</v>
      </c>
    </row>
    <row r="753" spans="1:44">
      <c r="A753">
        <v>11132401</v>
      </c>
      <c r="B753" t="s">
        <v>847</v>
      </c>
      <c r="C753" t="s">
        <v>1406</v>
      </c>
      <c r="D753" t="s">
        <v>2004</v>
      </c>
      <c r="E753" t="s">
        <v>2005</v>
      </c>
      <c r="F753" t="s">
        <v>1810</v>
      </c>
      <c r="G753" t="s">
        <v>1811</v>
      </c>
      <c r="H753" t="s">
        <v>2282</v>
      </c>
      <c r="I753" t="s">
        <v>4470</v>
      </c>
      <c r="J753" t="s">
        <v>3798</v>
      </c>
      <c r="K753" t="s">
        <v>3799</v>
      </c>
      <c r="M753">
        <v>50</v>
      </c>
      <c r="N753">
        <v>70</v>
      </c>
      <c r="O753" t="s">
        <v>2437</v>
      </c>
      <c r="P753" t="s">
        <v>2437</v>
      </c>
      <c r="R753" t="s">
        <v>2437</v>
      </c>
      <c r="T753" t="s">
        <v>2437</v>
      </c>
      <c r="U753" t="s">
        <v>2437</v>
      </c>
      <c r="V753" t="s">
        <v>2437</v>
      </c>
      <c r="Y753" t="s">
        <v>6948</v>
      </c>
      <c r="Z753" t="s">
        <v>6949</v>
      </c>
      <c r="AA753" t="s">
        <v>6950</v>
      </c>
      <c r="AB753" t="s">
        <v>6951</v>
      </c>
      <c r="AC753" t="s">
        <v>6952</v>
      </c>
      <c r="AD753" t="s">
        <v>6953</v>
      </c>
      <c r="AE753" t="s">
        <v>6954</v>
      </c>
      <c r="AF753" t="s">
        <v>6955</v>
      </c>
      <c r="AG753" t="s">
        <v>6956</v>
      </c>
      <c r="AH753" t="s">
        <v>6957</v>
      </c>
      <c r="AI753" t="s">
        <v>6958</v>
      </c>
      <c r="AJ753" t="s">
        <v>6959</v>
      </c>
      <c r="AR753" t="s">
        <v>4284</v>
      </c>
    </row>
    <row r="754" spans="1:44">
      <c r="A754">
        <v>11132263</v>
      </c>
      <c r="B754" t="s">
        <v>848</v>
      </c>
      <c r="C754" t="s">
        <v>1407</v>
      </c>
      <c r="D754" t="s">
        <v>2014</v>
      </c>
      <c r="E754" t="s">
        <v>2015</v>
      </c>
      <c r="F754" t="s">
        <v>1887</v>
      </c>
      <c r="G754" t="s">
        <v>1888</v>
      </c>
      <c r="H754" t="s">
        <v>2356</v>
      </c>
      <c r="I754" t="s">
        <v>4530</v>
      </c>
      <c r="J754" t="s">
        <v>3800</v>
      </c>
      <c r="K754" t="s">
        <v>3801</v>
      </c>
      <c r="M754">
        <v>50</v>
      </c>
      <c r="N754">
        <v>70</v>
      </c>
      <c r="O754" t="s">
        <v>2437</v>
      </c>
      <c r="P754" t="s">
        <v>2437</v>
      </c>
      <c r="R754">
        <v>24</v>
      </c>
      <c r="T754" t="s">
        <v>2437</v>
      </c>
      <c r="U754" t="s">
        <v>2437</v>
      </c>
      <c r="V754" t="s">
        <v>2437</v>
      </c>
      <c r="Y754" t="s">
        <v>6948</v>
      </c>
      <c r="Z754" t="s">
        <v>6949</v>
      </c>
      <c r="AA754" t="s">
        <v>6950</v>
      </c>
      <c r="AB754" t="s">
        <v>6951</v>
      </c>
      <c r="AC754" t="s">
        <v>6952</v>
      </c>
      <c r="AD754" t="s">
        <v>6953</v>
      </c>
      <c r="AE754" t="s">
        <v>6954</v>
      </c>
      <c r="AF754" t="s">
        <v>6955</v>
      </c>
      <c r="AG754" t="s">
        <v>6956</v>
      </c>
      <c r="AH754" t="s">
        <v>6957</v>
      </c>
      <c r="AI754" t="s">
        <v>6958</v>
      </c>
      <c r="AJ754" t="s">
        <v>6959</v>
      </c>
      <c r="AK754" t="s">
        <v>6976</v>
      </c>
      <c r="AL754" t="s">
        <v>6977</v>
      </c>
      <c r="AM754" t="s">
        <v>6978</v>
      </c>
      <c r="AN754" t="s">
        <v>6979</v>
      </c>
      <c r="AO754" t="s">
        <v>6980</v>
      </c>
      <c r="AR754" t="s">
        <v>4284</v>
      </c>
    </row>
    <row r="755" spans="1:44">
      <c r="A755">
        <v>11132264</v>
      </c>
      <c r="B755" t="s">
        <v>849</v>
      </c>
      <c r="C755" t="s">
        <v>1408</v>
      </c>
      <c r="D755" t="s">
        <v>2014</v>
      </c>
      <c r="E755" t="s">
        <v>2015</v>
      </c>
      <c r="F755" t="s">
        <v>1887</v>
      </c>
      <c r="G755" t="s">
        <v>1888</v>
      </c>
      <c r="H755" t="s">
        <v>2358</v>
      </c>
      <c r="I755" t="s">
        <v>4532</v>
      </c>
      <c r="J755" t="s">
        <v>3802</v>
      </c>
      <c r="K755" t="s">
        <v>3803</v>
      </c>
      <c r="M755">
        <v>50</v>
      </c>
      <c r="N755">
        <v>70</v>
      </c>
      <c r="O755" t="s">
        <v>2437</v>
      </c>
      <c r="P755" t="s">
        <v>2437</v>
      </c>
      <c r="R755">
        <v>24</v>
      </c>
      <c r="T755" t="s">
        <v>2437</v>
      </c>
      <c r="U755" t="s">
        <v>2437</v>
      </c>
      <c r="V755" t="s">
        <v>2437</v>
      </c>
      <c r="Y755" t="s">
        <v>6948</v>
      </c>
      <c r="Z755" t="s">
        <v>6949</v>
      </c>
      <c r="AA755" t="s">
        <v>6950</v>
      </c>
      <c r="AB755" t="s">
        <v>6951</v>
      </c>
      <c r="AC755" t="s">
        <v>6952</v>
      </c>
      <c r="AD755" t="s">
        <v>6953</v>
      </c>
      <c r="AE755" t="s">
        <v>6954</v>
      </c>
      <c r="AF755" t="s">
        <v>6955</v>
      </c>
      <c r="AG755" t="s">
        <v>6956</v>
      </c>
      <c r="AH755" t="s">
        <v>6957</v>
      </c>
      <c r="AI755" t="s">
        <v>6958</v>
      </c>
      <c r="AJ755" t="s">
        <v>6959</v>
      </c>
      <c r="AK755" t="s">
        <v>6976</v>
      </c>
      <c r="AL755" t="s">
        <v>6977</v>
      </c>
      <c r="AM755" t="s">
        <v>6978</v>
      </c>
      <c r="AN755" t="s">
        <v>6979</v>
      </c>
      <c r="AO755" t="s">
        <v>6980</v>
      </c>
      <c r="AR755" t="s">
        <v>4284</v>
      </c>
    </row>
    <row r="756" spans="1:44">
      <c r="A756">
        <v>11132266</v>
      </c>
      <c r="B756" t="s">
        <v>850</v>
      </c>
      <c r="C756" t="s">
        <v>1409</v>
      </c>
      <c r="D756" t="s">
        <v>2014</v>
      </c>
      <c r="E756" t="s">
        <v>2015</v>
      </c>
      <c r="F756" t="s">
        <v>1720</v>
      </c>
      <c r="G756" t="s">
        <v>1721</v>
      </c>
      <c r="H756" t="s">
        <v>2361</v>
      </c>
      <c r="I756" t="s">
        <v>4535</v>
      </c>
      <c r="J756" t="s">
        <v>3804</v>
      </c>
      <c r="K756" t="s">
        <v>3805</v>
      </c>
      <c r="M756">
        <v>50</v>
      </c>
      <c r="N756">
        <v>70</v>
      </c>
      <c r="O756" t="s">
        <v>2437</v>
      </c>
      <c r="P756" t="s">
        <v>2437</v>
      </c>
      <c r="R756">
        <v>24</v>
      </c>
      <c r="T756" t="s">
        <v>2437</v>
      </c>
      <c r="U756" t="s">
        <v>2437</v>
      </c>
      <c r="V756" t="s">
        <v>2437</v>
      </c>
      <c r="Y756" t="s">
        <v>6948</v>
      </c>
      <c r="Z756" t="s">
        <v>6949</v>
      </c>
      <c r="AA756" t="s">
        <v>6950</v>
      </c>
      <c r="AB756" t="s">
        <v>6951</v>
      </c>
      <c r="AC756" t="s">
        <v>6952</v>
      </c>
      <c r="AD756" t="s">
        <v>6953</v>
      </c>
      <c r="AE756" t="s">
        <v>6954</v>
      </c>
      <c r="AF756" t="s">
        <v>6955</v>
      </c>
      <c r="AG756" t="s">
        <v>6956</v>
      </c>
      <c r="AH756" t="s">
        <v>6957</v>
      </c>
      <c r="AI756" t="s">
        <v>6958</v>
      </c>
      <c r="AJ756" t="s">
        <v>6959</v>
      </c>
      <c r="AK756" t="s">
        <v>6976</v>
      </c>
      <c r="AL756" t="s">
        <v>6977</v>
      </c>
      <c r="AM756" t="s">
        <v>6978</v>
      </c>
      <c r="AN756" t="s">
        <v>6979</v>
      </c>
      <c r="AO756" t="s">
        <v>6980</v>
      </c>
      <c r="AR756" t="s">
        <v>4284</v>
      </c>
    </row>
    <row r="757" spans="1:44">
      <c r="A757">
        <v>11132281</v>
      </c>
      <c r="B757" t="s">
        <v>851</v>
      </c>
      <c r="C757" t="s">
        <v>1410</v>
      </c>
      <c r="D757" t="s">
        <v>2016</v>
      </c>
      <c r="E757" t="s">
        <v>2017</v>
      </c>
      <c r="F757" t="s">
        <v>1831</v>
      </c>
      <c r="G757" t="s">
        <v>1832</v>
      </c>
      <c r="H757" t="s">
        <v>2339</v>
      </c>
      <c r="I757" t="s">
        <v>4513</v>
      </c>
      <c r="J757" t="s">
        <v>3806</v>
      </c>
      <c r="K757" t="s">
        <v>3807</v>
      </c>
      <c r="M757">
        <v>50</v>
      </c>
      <c r="N757">
        <v>70</v>
      </c>
      <c r="O757" t="s">
        <v>2437</v>
      </c>
      <c r="P757" t="s">
        <v>2437</v>
      </c>
      <c r="R757">
        <v>24</v>
      </c>
      <c r="T757" t="s">
        <v>2437</v>
      </c>
      <c r="U757" t="s">
        <v>2437</v>
      </c>
      <c r="V757" t="s">
        <v>2437</v>
      </c>
      <c r="Y757" t="s">
        <v>6948</v>
      </c>
      <c r="Z757" t="s">
        <v>6949</v>
      </c>
      <c r="AA757" t="s">
        <v>6950</v>
      </c>
      <c r="AB757" t="s">
        <v>6951</v>
      </c>
      <c r="AC757" t="s">
        <v>6952</v>
      </c>
      <c r="AD757" t="s">
        <v>6953</v>
      </c>
      <c r="AE757" t="s">
        <v>6954</v>
      </c>
      <c r="AF757" t="s">
        <v>6955</v>
      </c>
      <c r="AG757" t="s">
        <v>6956</v>
      </c>
      <c r="AH757" t="s">
        <v>6957</v>
      </c>
      <c r="AI757" t="s">
        <v>6958</v>
      </c>
      <c r="AJ757" t="s">
        <v>6959</v>
      </c>
      <c r="AK757" t="s">
        <v>6976</v>
      </c>
      <c r="AL757" t="s">
        <v>6977</v>
      </c>
      <c r="AM757" t="s">
        <v>6978</v>
      </c>
      <c r="AN757" t="s">
        <v>6979</v>
      </c>
      <c r="AO757" t="s">
        <v>6980</v>
      </c>
      <c r="AR757" t="s">
        <v>4284</v>
      </c>
    </row>
    <row r="758" spans="1:44">
      <c r="A758">
        <v>11132282</v>
      </c>
      <c r="B758" t="s">
        <v>852</v>
      </c>
      <c r="C758" t="s">
        <v>1411</v>
      </c>
      <c r="D758" t="s">
        <v>2016</v>
      </c>
      <c r="E758" t="s">
        <v>2017</v>
      </c>
      <c r="F758" t="s">
        <v>1831</v>
      </c>
      <c r="G758" t="s">
        <v>1832</v>
      </c>
      <c r="H758" t="s">
        <v>2340</v>
      </c>
      <c r="I758" t="s">
        <v>4514</v>
      </c>
      <c r="J758" t="s">
        <v>3808</v>
      </c>
      <c r="K758" t="s">
        <v>3809</v>
      </c>
      <c r="M758">
        <v>50</v>
      </c>
      <c r="N758">
        <v>70</v>
      </c>
      <c r="O758" t="s">
        <v>2437</v>
      </c>
      <c r="P758" t="s">
        <v>2437</v>
      </c>
      <c r="R758">
        <v>24</v>
      </c>
      <c r="T758" t="s">
        <v>2437</v>
      </c>
      <c r="U758" t="s">
        <v>2437</v>
      </c>
      <c r="V758" t="s">
        <v>2437</v>
      </c>
      <c r="Y758" t="s">
        <v>6948</v>
      </c>
      <c r="Z758" t="s">
        <v>6949</v>
      </c>
      <c r="AA758" t="s">
        <v>6950</v>
      </c>
      <c r="AB758" t="s">
        <v>6951</v>
      </c>
      <c r="AC758" t="s">
        <v>6952</v>
      </c>
      <c r="AD758" t="s">
        <v>6953</v>
      </c>
      <c r="AE758" t="s">
        <v>6954</v>
      </c>
      <c r="AF758" t="s">
        <v>6955</v>
      </c>
      <c r="AG758" t="s">
        <v>6956</v>
      </c>
      <c r="AH758" t="s">
        <v>6957</v>
      </c>
      <c r="AI758" t="s">
        <v>6958</v>
      </c>
      <c r="AJ758" t="s">
        <v>6959</v>
      </c>
      <c r="AK758" t="s">
        <v>6976</v>
      </c>
      <c r="AL758" t="s">
        <v>6977</v>
      </c>
      <c r="AM758" t="s">
        <v>6978</v>
      </c>
      <c r="AN758" t="s">
        <v>6979</v>
      </c>
      <c r="AO758" t="s">
        <v>6980</v>
      </c>
      <c r="AR758" t="s">
        <v>4284</v>
      </c>
    </row>
    <row r="759" spans="1:44">
      <c r="A759">
        <v>11132283</v>
      </c>
      <c r="B759" t="s">
        <v>853</v>
      </c>
      <c r="C759" t="s">
        <v>1412</v>
      </c>
      <c r="D759" t="s">
        <v>2016</v>
      </c>
      <c r="E759" t="s">
        <v>2017</v>
      </c>
      <c r="F759" t="s">
        <v>1831</v>
      </c>
      <c r="G759" t="s">
        <v>1832</v>
      </c>
      <c r="H759" t="s">
        <v>2341</v>
      </c>
      <c r="I759" t="s">
        <v>4515</v>
      </c>
      <c r="J759" t="s">
        <v>3810</v>
      </c>
      <c r="K759" t="s">
        <v>3811</v>
      </c>
      <c r="M759">
        <v>50</v>
      </c>
      <c r="N759">
        <v>70</v>
      </c>
      <c r="O759" t="s">
        <v>2437</v>
      </c>
      <c r="P759" t="s">
        <v>2437</v>
      </c>
      <c r="R759">
        <v>24</v>
      </c>
      <c r="T759" t="s">
        <v>2437</v>
      </c>
      <c r="U759" t="s">
        <v>2437</v>
      </c>
      <c r="V759" t="s">
        <v>2437</v>
      </c>
      <c r="Y759" t="s">
        <v>6948</v>
      </c>
      <c r="Z759" t="s">
        <v>6949</v>
      </c>
      <c r="AA759" t="s">
        <v>6950</v>
      </c>
      <c r="AB759" t="s">
        <v>6951</v>
      </c>
      <c r="AC759" t="s">
        <v>6952</v>
      </c>
      <c r="AD759" t="s">
        <v>6953</v>
      </c>
      <c r="AE759" t="s">
        <v>6954</v>
      </c>
      <c r="AF759" t="s">
        <v>6955</v>
      </c>
      <c r="AG759" t="s">
        <v>6956</v>
      </c>
      <c r="AH759" t="s">
        <v>6957</v>
      </c>
      <c r="AI759" t="s">
        <v>6958</v>
      </c>
      <c r="AJ759" t="s">
        <v>6959</v>
      </c>
      <c r="AK759" t="s">
        <v>6976</v>
      </c>
      <c r="AL759" t="s">
        <v>6977</v>
      </c>
      <c r="AM759" t="s">
        <v>6978</v>
      </c>
      <c r="AN759" t="s">
        <v>6979</v>
      </c>
      <c r="AO759" t="s">
        <v>6980</v>
      </c>
      <c r="AR759" t="s">
        <v>4284</v>
      </c>
    </row>
    <row r="760" spans="1:44">
      <c r="A760">
        <v>11132284</v>
      </c>
      <c r="B760" t="s">
        <v>854</v>
      </c>
      <c r="C760" t="s">
        <v>1413</v>
      </c>
      <c r="D760" t="s">
        <v>2016</v>
      </c>
      <c r="E760" t="s">
        <v>2017</v>
      </c>
      <c r="F760" t="s">
        <v>1831</v>
      </c>
      <c r="G760" t="s">
        <v>1832</v>
      </c>
      <c r="H760" t="s">
        <v>2342</v>
      </c>
      <c r="I760" t="s">
        <v>4516</v>
      </c>
      <c r="J760" t="s">
        <v>3812</v>
      </c>
      <c r="K760" t="s">
        <v>3813</v>
      </c>
      <c r="M760">
        <v>50</v>
      </c>
      <c r="N760">
        <v>70</v>
      </c>
      <c r="O760" t="s">
        <v>2437</v>
      </c>
      <c r="P760" t="s">
        <v>2437</v>
      </c>
      <c r="R760">
        <v>24</v>
      </c>
      <c r="T760" t="s">
        <v>2437</v>
      </c>
      <c r="U760" t="s">
        <v>2437</v>
      </c>
      <c r="V760" t="s">
        <v>2437</v>
      </c>
      <c r="Y760" t="s">
        <v>6948</v>
      </c>
      <c r="Z760" t="s">
        <v>6949</v>
      </c>
      <c r="AA760" t="s">
        <v>6950</v>
      </c>
      <c r="AB760" t="s">
        <v>6951</v>
      </c>
      <c r="AC760" t="s">
        <v>6952</v>
      </c>
      <c r="AD760" t="s">
        <v>6953</v>
      </c>
      <c r="AE760" t="s">
        <v>6954</v>
      </c>
      <c r="AF760" t="s">
        <v>6955</v>
      </c>
      <c r="AG760" t="s">
        <v>6956</v>
      </c>
      <c r="AH760" t="s">
        <v>6957</v>
      </c>
      <c r="AI760" t="s">
        <v>6958</v>
      </c>
      <c r="AJ760" t="s">
        <v>6959</v>
      </c>
      <c r="AK760" t="s">
        <v>6976</v>
      </c>
      <c r="AL760" t="s">
        <v>6977</v>
      </c>
      <c r="AM760" t="s">
        <v>6978</v>
      </c>
      <c r="AN760" t="s">
        <v>6979</v>
      </c>
      <c r="AO760" t="s">
        <v>6980</v>
      </c>
      <c r="AR760" t="s">
        <v>4284</v>
      </c>
    </row>
    <row r="761" spans="1:44">
      <c r="A761">
        <v>11132287</v>
      </c>
      <c r="B761" t="s">
        <v>855</v>
      </c>
      <c r="C761" t="s">
        <v>1414</v>
      </c>
      <c r="D761" t="s">
        <v>2018</v>
      </c>
      <c r="E761" t="s">
        <v>2019</v>
      </c>
      <c r="F761" t="s">
        <v>1835</v>
      </c>
      <c r="G761" t="s">
        <v>1836</v>
      </c>
      <c r="H761" t="s">
        <v>2343</v>
      </c>
      <c r="I761" t="s">
        <v>4517</v>
      </c>
      <c r="J761" t="s">
        <v>3814</v>
      </c>
      <c r="K761" t="s">
        <v>3815</v>
      </c>
      <c r="M761">
        <v>50</v>
      </c>
      <c r="N761">
        <v>70</v>
      </c>
      <c r="O761" t="s">
        <v>2437</v>
      </c>
      <c r="P761" t="s">
        <v>2437</v>
      </c>
      <c r="R761">
        <v>24</v>
      </c>
      <c r="T761" t="s">
        <v>2437</v>
      </c>
      <c r="U761" t="s">
        <v>2437</v>
      </c>
      <c r="V761" t="s">
        <v>2437</v>
      </c>
      <c r="Y761" t="s">
        <v>6948</v>
      </c>
      <c r="Z761" t="s">
        <v>6949</v>
      </c>
      <c r="AA761" t="s">
        <v>6950</v>
      </c>
      <c r="AB761" t="s">
        <v>6951</v>
      </c>
      <c r="AC761" t="s">
        <v>6952</v>
      </c>
      <c r="AD761" t="s">
        <v>6953</v>
      </c>
      <c r="AE761" t="s">
        <v>6954</v>
      </c>
      <c r="AF761" t="s">
        <v>6955</v>
      </c>
      <c r="AG761" t="s">
        <v>6956</v>
      </c>
      <c r="AH761" t="s">
        <v>6957</v>
      </c>
      <c r="AI761" t="s">
        <v>6958</v>
      </c>
      <c r="AJ761" t="s">
        <v>6959</v>
      </c>
      <c r="AK761" t="s">
        <v>6976</v>
      </c>
      <c r="AL761" t="s">
        <v>6977</v>
      </c>
      <c r="AM761" t="s">
        <v>6978</v>
      </c>
      <c r="AN761" t="s">
        <v>6979</v>
      </c>
      <c r="AO761" t="s">
        <v>6980</v>
      </c>
      <c r="AR761" t="s">
        <v>4284</v>
      </c>
    </row>
    <row r="762" spans="1:44">
      <c r="A762">
        <v>11132288</v>
      </c>
      <c r="B762" t="s">
        <v>856</v>
      </c>
      <c r="C762" t="s">
        <v>1415</v>
      </c>
      <c r="D762" t="s">
        <v>2018</v>
      </c>
      <c r="E762" t="s">
        <v>2019</v>
      </c>
      <c r="F762" t="s">
        <v>1835</v>
      </c>
      <c r="G762" t="s">
        <v>1836</v>
      </c>
      <c r="H762" t="s">
        <v>2344</v>
      </c>
      <c r="I762" t="s">
        <v>4518</v>
      </c>
      <c r="J762" t="s">
        <v>3816</v>
      </c>
      <c r="K762" t="s">
        <v>3817</v>
      </c>
      <c r="M762">
        <v>50</v>
      </c>
      <c r="N762">
        <v>70</v>
      </c>
      <c r="O762" t="s">
        <v>2437</v>
      </c>
      <c r="P762" t="s">
        <v>2437</v>
      </c>
      <c r="R762">
        <v>24</v>
      </c>
      <c r="T762" t="s">
        <v>2437</v>
      </c>
      <c r="U762" t="s">
        <v>2437</v>
      </c>
      <c r="V762" t="s">
        <v>2437</v>
      </c>
      <c r="Y762" t="s">
        <v>6948</v>
      </c>
      <c r="Z762" t="s">
        <v>6949</v>
      </c>
      <c r="AA762" t="s">
        <v>6950</v>
      </c>
      <c r="AB762" t="s">
        <v>6951</v>
      </c>
      <c r="AC762" t="s">
        <v>6952</v>
      </c>
      <c r="AD762" t="s">
        <v>6953</v>
      </c>
      <c r="AE762" t="s">
        <v>6954</v>
      </c>
      <c r="AF762" t="s">
        <v>6955</v>
      </c>
      <c r="AG762" t="s">
        <v>6956</v>
      </c>
      <c r="AH762" t="s">
        <v>6957</v>
      </c>
      <c r="AI762" t="s">
        <v>6958</v>
      </c>
      <c r="AJ762" t="s">
        <v>6959</v>
      </c>
      <c r="AK762" t="s">
        <v>6976</v>
      </c>
      <c r="AL762" t="s">
        <v>6977</v>
      </c>
      <c r="AM762" t="s">
        <v>6978</v>
      </c>
      <c r="AN762" t="s">
        <v>6979</v>
      </c>
      <c r="AO762" t="s">
        <v>6980</v>
      </c>
      <c r="AR762" t="s">
        <v>4284</v>
      </c>
    </row>
    <row r="763" spans="1:44">
      <c r="A763">
        <v>11132289</v>
      </c>
      <c r="B763" t="s">
        <v>857</v>
      </c>
      <c r="C763" t="s">
        <v>1416</v>
      </c>
      <c r="D763" t="s">
        <v>2018</v>
      </c>
      <c r="E763" t="s">
        <v>2019</v>
      </c>
      <c r="F763" t="s">
        <v>1835</v>
      </c>
      <c r="G763" t="s">
        <v>1836</v>
      </c>
      <c r="H763" t="s">
        <v>2345</v>
      </c>
      <c r="I763" t="s">
        <v>4519</v>
      </c>
      <c r="J763" t="s">
        <v>3818</v>
      </c>
      <c r="K763" t="s">
        <v>3819</v>
      </c>
      <c r="M763">
        <v>50</v>
      </c>
      <c r="N763">
        <v>70</v>
      </c>
      <c r="O763" t="s">
        <v>2437</v>
      </c>
      <c r="P763" t="s">
        <v>2437</v>
      </c>
      <c r="R763">
        <v>24</v>
      </c>
      <c r="T763" t="s">
        <v>2437</v>
      </c>
      <c r="U763" t="s">
        <v>2437</v>
      </c>
      <c r="V763" t="s">
        <v>2437</v>
      </c>
      <c r="Y763" t="s">
        <v>6948</v>
      </c>
      <c r="Z763" t="s">
        <v>6949</v>
      </c>
      <c r="AA763" t="s">
        <v>6950</v>
      </c>
      <c r="AB763" t="s">
        <v>6951</v>
      </c>
      <c r="AC763" t="s">
        <v>6952</v>
      </c>
      <c r="AD763" t="s">
        <v>6953</v>
      </c>
      <c r="AE763" t="s">
        <v>6954</v>
      </c>
      <c r="AF763" t="s">
        <v>6955</v>
      </c>
      <c r="AG763" t="s">
        <v>6956</v>
      </c>
      <c r="AH763" t="s">
        <v>6957</v>
      </c>
      <c r="AI763" t="s">
        <v>6958</v>
      </c>
      <c r="AJ763" t="s">
        <v>6959</v>
      </c>
      <c r="AK763" t="s">
        <v>6976</v>
      </c>
      <c r="AL763" t="s">
        <v>6977</v>
      </c>
      <c r="AM763" t="s">
        <v>6978</v>
      </c>
      <c r="AN763" t="s">
        <v>6979</v>
      </c>
      <c r="AO763" t="s">
        <v>6980</v>
      </c>
      <c r="AR763" t="s">
        <v>4284</v>
      </c>
    </row>
    <row r="764" spans="1:44">
      <c r="A764">
        <v>11132290</v>
      </c>
      <c r="B764" t="s">
        <v>858</v>
      </c>
      <c r="C764" t="s">
        <v>1417</v>
      </c>
      <c r="D764" t="s">
        <v>2018</v>
      </c>
      <c r="E764" t="s">
        <v>2019</v>
      </c>
      <c r="F764" t="s">
        <v>1835</v>
      </c>
      <c r="G764" t="s">
        <v>1836</v>
      </c>
      <c r="H764" t="s">
        <v>2346</v>
      </c>
      <c r="I764" t="s">
        <v>4520</v>
      </c>
      <c r="J764" t="s">
        <v>3820</v>
      </c>
      <c r="K764" t="s">
        <v>3821</v>
      </c>
      <c r="M764">
        <v>50</v>
      </c>
      <c r="N764">
        <v>70</v>
      </c>
      <c r="O764" t="s">
        <v>2437</v>
      </c>
      <c r="P764" t="s">
        <v>2437</v>
      </c>
      <c r="R764">
        <v>24</v>
      </c>
      <c r="T764" t="s">
        <v>2437</v>
      </c>
      <c r="U764" t="s">
        <v>2437</v>
      </c>
      <c r="V764" t="s">
        <v>2437</v>
      </c>
      <c r="Y764" t="s">
        <v>6948</v>
      </c>
      <c r="Z764" t="s">
        <v>6949</v>
      </c>
      <c r="AA764" t="s">
        <v>6950</v>
      </c>
      <c r="AB764" t="s">
        <v>6951</v>
      </c>
      <c r="AC764" t="s">
        <v>6952</v>
      </c>
      <c r="AD764" t="s">
        <v>6953</v>
      </c>
      <c r="AE764" t="s">
        <v>6954</v>
      </c>
      <c r="AF764" t="s">
        <v>6955</v>
      </c>
      <c r="AG764" t="s">
        <v>6956</v>
      </c>
      <c r="AH764" t="s">
        <v>6957</v>
      </c>
      <c r="AI764" t="s">
        <v>6958</v>
      </c>
      <c r="AJ764" t="s">
        <v>6959</v>
      </c>
      <c r="AK764" t="s">
        <v>6976</v>
      </c>
      <c r="AL764" t="s">
        <v>6977</v>
      </c>
      <c r="AM764" t="s">
        <v>6978</v>
      </c>
      <c r="AN764" t="s">
        <v>6979</v>
      </c>
      <c r="AO764" t="s">
        <v>6980</v>
      </c>
      <c r="AR764" t="s">
        <v>4284</v>
      </c>
    </row>
    <row r="765" spans="1:44">
      <c r="A765">
        <v>11132297</v>
      </c>
      <c r="B765" t="s">
        <v>859</v>
      </c>
      <c r="C765" t="s">
        <v>1418</v>
      </c>
      <c r="D765" t="s">
        <v>2020</v>
      </c>
      <c r="E765" t="s">
        <v>1605</v>
      </c>
      <c r="F765" t="s">
        <v>1876</v>
      </c>
      <c r="G765" t="s">
        <v>1877</v>
      </c>
      <c r="H765" t="s">
        <v>2201</v>
      </c>
      <c r="I765" t="s">
        <v>4395</v>
      </c>
      <c r="J765" t="s">
        <v>2710</v>
      </c>
      <c r="K765" t="s">
        <v>2711</v>
      </c>
      <c r="M765">
        <v>50</v>
      </c>
      <c r="N765">
        <v>70</v>
      </c>
      <c r="O765" t="s">
        <v>2437</v>
      </c>
      <c r="P765" t="s">
        <v>2437</v>
      </c>
      <c r="R765" t="s">
        <v>2437</v>
      </c>
      <c r="T765" t="s">
        <v>2437</v>
      </c>
      <c r="U765" t="s">
        <v>2437</v>
      </c>
      <c r="V765" t="s">
        <v>2437</v>
      </c>
      <c r="Y765" t="s">
        <v>6948</v>
      </c>
      <c r="Z765" t="s">
        <v>6949</v>
      </c>
      <c r="AA765" t="s">
        <v>6950</v>
      </c>
      <c r="AB765" t="s">
        <v>6951</v>
      </c>
      <c r="AC765" t="s">
        <v>6952</v>
      </c>
      <c r="AD765" t="s">
        <v>6953</v>
      </c>
      <c r="AE765" t="s">
        <v>6954</v>
      </c>
      <c r="AF765" t="s">
        <v>6955</v>
      </c>
      <c r="AG765" t="s">
        <v>6956</v>
      </c>
      <c r="AH765" t="s">
        <v>6957</v>
      </c>
      <c r="AI765" t="s">
        <v>6958</v>
      </c>
      <c r="AJ765" t="s">
        <v>6959</v>
      </c>
      <c r="AR765" t="s">
        <v>4284</v>
      </c>
    </row>
    <row r="766" spans="1:44">
      <c r="A766">
        <v>11132298</v>
      </c>
      <c r="B766" t="s">
        <v>860</v>
      </c>
      <c r="C766" t="s">
        <v>1419</v>
      </c>
      <c r="D766" t="s">
        <v>2020</v>
      </c>
      <c r="E766" t="s">
        <v>1605</v>
      </c>
      <c r="F766" t="s">
        <v>1876</v>
      </c>
      <c r="G766" t="s">
        <v>1877</v>
      </c>
      <c r="H766" t="s">
        <v>2202</v>
      </c>
      <c r="I766" t="s">
        <v>4396</v>
      </c>
      <c r="J766" t="s">
        <v>2712</v>
      </c>
      <c r="K766" t="s">
        <v>2713</v>
      </c>
      <c r="M766">
        <v>50</v>
      </c>
      <c r="N766">
        <v>70</v>
      </c>
      <c r="O766" t="s">
        <v>2437</v>
      </c>
      <c r="P766" t="s">
        <v>2437</v>
      </c>
      <c r="R766" t="s">
        <v>2437</v>
      </c>
      <c r="T766" t="s">
        <v>2437</v>
      </c>
      <c r="U766" t="s">
        <v>2437</v>
      </c>
      <c r="V766" t="s">
        <v>2437</v>
      </c>
      <c r="Y766" t="s">
        <v>6948</v>
      </c>
      <c r="Z766" t="s">
        <v>6949</v>
      </c>
      <c r="AA766" t="s">
        <v>6950</v>
      </c>
      <c r="AB766" t="s">
        <v>6951</v>
      </c>
      <c r="AC766" t="s">
        <v>6952</v>
      </c>
      <c r="AD766" t="s">
        <v>6953</v>
      </c>
      <c r="AE766" t="s">
        <v>6954</v>
      </c>
      <c r="AF766" t="s">
        <v>6955</v>
      </c>
      <c r="AG766" t="s">
        <v>6956</v>
      </c>
      <c r="AH766" t="s">
        <v>6957</v>
      </c>
      <c r="AI766" t="s">
        <v>6958</v>
      </c>
      <c r="AJ766" t="s">
        <v>6959</v>
      </c>
      <c r="AR766" t="s">
        <v>4284</v>
      </c>
    </row>
    <row r="767" spans="1:44">
      <c r="A767">
        <v>11132299</v>
      </c>
      <c r="B767" t="s">
        <v>861</v>
      </c>
      <c r="C767" t="s">
        <v>1420</v>
      </c>
      <c r="D767" t="s">
        <v>2020</v>
      </c>
      <c r="E767" t="s">
        <v>1605</v>
      </c>
      <c r="F767" t="s">
        <v>1876</v>
      </c>
      <c r="G767" t="s">
        <v>1877</v>
      </c>
      <c r="H767" t="s">
        <v>2203</v>
      </c>
      <c r="I767" t="s">
        <v>4397</v>
      </c>
      <c r="J767" t="s">
        <v>2714</v>
      </c>
      <c r="K767" t="s">
        <v>2715</v>
      </c>
      <c r="M767">
        <v>50</v>
      </c>
      <c r="N767">
        <v>70</v>
      </c>
      <c r="O767" t="s">
        <v>2437</v>
      </c>
      <c r="P767" t="s">
        <v>2437</v>
      </c>
      <c r="R767" t="s">
        <v>2437</v>
      </c>
      <c r="T767" t="s">
        <v>2437</v>
      </c>
      <c r="U767" t="s">
        <v>2437</v>
      </c>
      <c r="V767" t="s">
        <v>2437</v>
      </c>
      <c r="Y767" t="s">
        <v>6948</v>
      </c>
      <c r="Z767" t="s">
        <v>6949</v>
      </c>
      <c r="AA767" t="s">
        <v>6950</v>
      </c>
      <c r="AB767" t="s">
        <v>6951</v>
      </c>
      <c r="AC767" t="s">
        <v>6952</v>
      </c>
      <c r="AD767" t="s">
        <v>6953</v>
      </c>
      <c r="AE767" t="s">
        <v>6954</v>
      </c>
      <c r="AF767" t="s">
        <v>6955</v>
      </c>
      <c r="AG767" t="s">
        <v>6956</v>
      </c>
      <c r="AH767" t="s">
        <v>6957</v>
      </c>
      <c r="AI767" t="s">
        <v>6958</v>
      </c>
      <c r="AJ767" t="s">
        <v>6959</v>
      </c>
      <c r="AR767" t="s">
        <v>4284</v>
      </c>
    </row>
    <row r="768" spans="1:44">
      <c r="A768">
        <v>11132300</v>
      </c>
      <c r="B768" t="s">
        <v>862</v>
      </c>
      <c r="C768" t="s">
        <v>1421</v>
      </c>
      <c r="D768" t="s">
        <v>2020</v>
      </c>
      <c r="E768" t="s">
        <v>1605</v>
      </c>
      <c r="F768" t="s">
        <v>1876</v>
      </c>
      <c r="G768" t="s">
        <v>1877</v>
      </c>
      <c r="H768" t="s">
        <v>2418</v>
      </c>
      <c r="I768" t="s">
        <v>4588</v>
      </c>
      <c r="J768" t="s">
        <v>3822</v>
      </c>
      <c r="K768" t="s">
        <v>3823</v>
      </c>
      <c r="M768">
        <v>50</v>
      </c>
      <c r="N768">
        <v>70</v>
      </c>
      <c r="O768" t="s">
        <v>2437</v>
      </c>
      <c r="P768" t="s">
        <v>2437</v>
      </c>
      <c r="R768" t="s">
        <v>2437</v>
      </c>
      <c r="T768" t="s">
        <v>2437</v>
      </c>
      <c r="U768" t="s">
        <v>2437</v>
      </c>
      <c r="V768" t="s">
        <v>2437</v>
      </c>
      <c r="Y768" t="s">
        <v>6948</v>
      </c>
      <c r="Z768" t="s">
        <v>6949</v>
      </c>
      <c r="AA768" t="s">
        <v>6950</v>
      </c>
      <c r="AB768" t="s">
        <v>6951</v>
      </c>
      <c r="AC768" t="s">
        <v>6952</v>
      </c>
      <c r="AD768" t="s">
        <v>6953</v>
      </c>
      <c r="AE768" t="s">
        <v>6954</v>
      </c>
      <c r="AF768" t="s">
        <v>6955</v>
      </c>
      <c r="AG768" t="s">
        <v>6956</v>
      </c>
      <c r="AH768" t="s">
        <v>6957</v>
      </c>
      <c r="AI768" t="s">
        <v>6958</v>
      </c>
      <c r="AJ768" t="s">
        <v>6959</v>
      </c>
      <c r="AR768" t="s">
        <v>4284</v>
      </c>
    </row>
    <row r="769" spans="1:44">
      <c r="A769">
        <v>11132309</v>
      </c>
      <c r="B769" t="s">
        <v>863</v>
      </c>
      <c r="C769" t="s">
        <v>1422</v>
      </c>
      <c r="D769" t="s">
        <v>2021</v>
      </c>
      <c r="E769" t="s">
        <v>2022</v>
      </c>
      <c r="F769" t="s">
        <v>1666</v>
      </c>
      <c r="G769" t="s">
        <v>1667</v>
      </c>
      <c r="H769" t="s">
        <v>2247</v>
      </c>
      <c r="I769" t="s">
        <v>4438</v>
      </c>
      <c r="J769" t="s">
        <v>3824</v>
      </c>
      <c r="K769" t="s">
        <v>3825</v>
      </c>
      <c r="M769">
        <v>50</v>
      </c>
      <c r="N769">
        <v>70</v>
      </c>
      <c r="O769" t="s">
        <v>2437</v>
      </c>
      <c r="P769" t="s">
        <v>2437</v>
      </c>
      <c r="R769" t="s">
        <v>2437</v>
      </c>
      <c r="T769" t="s">
        <v>2437</v>
      </c>
      <c r="U769" t="s">
        <v>2437</v>
      </c>
      <c r="V769" t="s">
        <v>2437</v>
      </c>
      <c r="Y769" t="s">
        <v>6948</v>
      </c>
      <c r="Z769" t="s">
        <v>6949</v>
      </c>
      <c r="AA769" t="s">
        <v>6950</v>
      </c>
      <c r="AB769" t="s">
        <v>6951</v>
      </c>
      <c r="AC769" t="s">
        <v>6952</v>
      </c>
      <c r="AD769" t="s">
        <v>6953</v>
      </c>
      <c r="AE769" t="s">
        <v>6954</v>
      </c>
      <c r="AF769" t="s">
        <v>6955</v>
      </c>
      <c r="AG769" t="s">
        <v>6956</v>
      </c>
      <c r="AH769" t="s">
        <v>6957</v>
      </c>
      <c r="AI769" t="s">
        <v>6958</v>
      </c>
      <c r="AJ769" t="s">
        <v>6959</v>
      </c>
      <c r="AR769" t="s">
        <v>4284</v>
      </c>
    </row>
    <row r="770" spans="1:44">
      <c r="A770">
        <v>11132310</v>
      </c>
      <c r="B770" t="s">
        <v>864</v>
      </c>
      <c r="C770" t="s">
        <v>1423</v>
      </c>
      <c r="D770" t="s">
        <v>2021</v>
      </c>
      <c r="E770" t="s">
        <v>2022</v>
      </c>
      <c r="F770" t="s">
        <v>1666</v>
      </c>
      <c r="G770" t="s">
        <v>1667</v>
      </c>
      <c r="H770" t="s">
        <v>2248</v>
      </c>
      <c r="I770" t="s">
        <v>4439</v>
      </c>
      <c r="J770" t="s">
        <v>3826</v>
      </c>
      <c r="K770" t="s">
        <v>3827</v>
      </c>
      <c r="M770">
        <v>50</v>
      </c>
      <c r="N770">
        <v>70</v>
      </c>
      <c r="O770" t="s">
        <v>2437</v>
      </c>
      <c r="P770" t="s">
        <v>2437</v>
      </c>
      <c r="R770" t="s">
        <v>2437</v>
      </c>
      <c r="T770" t="s">
        <v>2437</v>
      </c>
      <c r="U770" t="s">
        <v>2437</v>
      </c>
      <c r="V770" t="s">
        <v>2437</v>
      </c>
      <c r="Y770" t="s">
        <v>6948</v>
      </c>
      <c r="Z770" t="s">
        <v>6949</v>
      </c>
      <c r="AA770" t="s">
        <v>6950</v>
      </c>
      <c r="AB770" t="s">
        <v>6951</v>
      </c>
      <c r="AC770" t="s">
        <v>6952</v>
      </c>
      <c r="AD770" t="s">
        <v>6953</v>
      </c>
      <c r="AE770" t="s">
        <v>6954</v>
      </c>
      <c r="AF770" t="s">
        <v>6955</v>
      </c>
      <c r="AG770" t="s">
        <v>6956</v>
      </c>
      <c r="AH770" t="s">
        <v>6957</v>
      </c>
      <c r="AI770" t="s">
        <v>6958</v>
      </c>
      <c r="AJ770" t="s">
        <v>6959</v>
      </c>
      <c r="AR770" t="s">
        <v>4284</v>
      </c>
    </row>
    <row r="771" spans="1:44">
      <c r="A771">
        <v>11132311</v>
      </c>
      <c r="B771" t="s">
        <v>865</v>
      </c>
      <c r="C771" t="s">
        <v>1424</v>
      </c>
      <c r="D771" t="s">
        <v>2021</v>
      </c>
      <c r="E771" t="s">
        <v>2022</v>
      </c>
      <c r="F771" t="s">
        <v>1666</v>
      </c>
      <c r="G771" t="s">
        <v>1667</v>
      </c>
      <c r="H771" t="s">
        <v>2243</v>
      </c>
      <c r="I771" t="s">
        <v>4434</v>
      </c>
      <c r="J771" t="s">
        <v>3828</v>
      </c>
      <c r="K771" t="s">
        <v>3829</v>
      </c>
      <c r="M771">
        <v>50</v>
      </c>
      <c r="N771">
        <v>70</v>
      </c>
      <c r="O771" t="s">
        <v>2437</v>
      </c>
      <c r="P771" t="s">
        <v>2437</v>
      </c>
      <c r="R771" t="s">
        <v>2437</v>
      </c>
      <c r="T771" t="s">
        <v>2437</v>
      </c>
      <c r="U771" t="s">
        <v>2437</v>
      </c>
      <c r="V771" t="s">
        <v>2437</v>
      </c>
      <c r="Y771" t="s">
        <v>6948</v>
      </c>
      <c r="Z771" t="s">
        <v>6949</v>
      </c>
      <c r="AA771" t="s">
        <v>6950</v>
      </c>
      <c r="AB771" t="s">
        <v>6951</v>
      </c>
      <c r="AC771" t="s">
        <v>6952</v>
      </c>
      <c r="AD771" t="s">
        <v>6953</v>
      </c>
      <c r="AE771" t="s">
        <v>6954</v>
      </c>
      <c r="AF771" t="s">
        <v>6955</v>
      </c>
      <c r="AG771" t="s">
        <v>6956</v>
      </c>
      <c r="AH771" t="s">
        <v>6957</v>
      </c>
      <c r="AI771" t="s">
        <v>6958</v>
      </c>
      <c r="AJ771" t="s">
        <v>6959</v>
      </c>
      <c r="AR771" t="s">
        <v>4284</v>
      </c>
    </row>
    <row r="772" spans="1:44">
      <c r="A772">
        <v>11132312</v>
      </c>
      <c r="B772" t="s">
        <v>866</v>
      </c>
      <c r="C772" t="s">
        <v>1425</v>
      </c>
      <c r="D772" t="s">
        <v>2021</v>
      </c>
      <c r="E772" t="s">
        <v>2022</v>
      </c>
      <c r="F772" t="s">
        <v>1666</v>
      </c>
      <c r="G772" t="s">
        <v>1667</v>
      </c>
      <c r="H772" t="s">
        <v>2249</v>
      </c>
      <c r="I772" t="s">
        <v>4440</v>
      </c>
      <c r="J772" t="s">
        <v>3830</v>
      </c>
      <c r="K772" t="s">
        <v>3831</v>
      </c>
      <c r="M772">
        <v>50</v>
      </c>
      <c r="N772">
        <v>70</v>
      </c>
      <c r="O772" t="s">
        <v>2437</v>
      </c>
      <c r="P772" t="s">
        <v>2437</v>
      </c>
      <c r="R772" t="s">
        <v>2437</v>
      </c>
      <c r="T772" t="s">
        <v>2437</v>
      </c>
      <c r="U772" t="s">
        <v>2437</v>
      </c>
      <c r="V772" t="s">
        <v>2437</v>
      </c>
      <c r="Y772" t="s">
        <v>6948</v>
      </c>
      <c r="Z772" t="s">
        <v>6949</v>
      </c>
      <c r="AA772" t="s">
        <v>6950</v>
      </c>
      <c r="AB772" t="s">
        <v>6951</v>
      </c>
      <c r="AC772" t="s">
        <v>6952</v>
      </c>
      <c r="AD772" t="s">
        <v>6953</v>
      </c>
      <c r="AE772" t="s">
        <v>6954</v>
      </c>
      <c r="AF772" t="s">
        <v>6955</v>
      </c>
      <c r="AG772" t="s">
        <v>6956</v>
      </c>
      <c r="AH772" t="s">
        <v>6957</v>
      </c>
      <c r="AI772" t="s">
        <v>6958</v>
      </c>
      <c r="AJ772" t="s">
        <v>6959</v>
      </c>
      <c r="AR772" t="s">
        <v>4284</v>
      </c>
    </row>
    <row r="773" spans="1:44">
      <c r="A773">
        <v>11132313</v>
      </c>
      <c r="B773" t="s">
        <v>867</v>
      </c>
      <c r="C773" t="s">
        <v>1426</v>
      </c>
      <c r="D773" t="s">
        <v>2023</v>
      </c>
      <c r="E773" t="s">
        <v>2024</v>
      </c>
      <c r="F773" t="s">
        <v>1870</v>
      </c>
      <c r="G773" t="s">
        <v>1871</v>
      </c>
      <c r="H773" t="s">
        <v>2244</v>
      </c>
      <c r="I773" t="s">
        <v>4435</v>
      </c>
      <c r="J773" t="s">
        <v>3832</v>
      </c>
      <c r="K773" t="s">
        <v>3833</v>
      </c>
      <c r="M773">
        <v>50</v>
      </c>
      <c r="N773">
        <v>70</v>
      </c>
      <c r="O773" t="s">
        <v>2437</v>
      </c>
      <c r="P773" t="s">
        <v>2437</v>
      </c>
      <c r="R773" t="s">
        <v>2437</v>
      </c>
      <c r="T773" t="s">
        <v>2437</v>
      </c>
      <c r="U773" t="s">
        <v>2437</v>
      </c>
      <c r="V773" t="s">
        <v>2437</v>
      </c>
      <c r="Y773" t="s">
        <v>6948</v>
      </c>
      <c r="Z773" t="s">
        <v>6949</v>
      </c>
      <c r="AA773" t="s">
        <v>6950</v>
      </c>
      <c r="AB773" t="s">
        <v>6951</v>
      </c>
      <c r="AC773" t="s">
        <v>6952</v>
      </c>
      <c r="AD773" t="s">
        <v>6953</v>
      </c>
      <c r="AE773" t="s">
        <v>6954</v>
      </c>
      <c r="AF773" t="s">
        <v>6955</v>
      </c>
      <c r="AG773" t="s">
        <v>6956</v>
      </c>
      <c r="AH773" t="s">
        <v>6957</v>
      </c>
      <c r="AI773" t="s">
        <v>6958</v>
      </c>
      <c r="AJ773" t="s">
        <v>6959</v>
      </c>
      <c r="AR773" t="s">
        <v>4284</v>
      </c>
    </row>
    <row r="774" spans="1:44">
      <c r="A774">
        <v>11132314</v>
      </c>
      <c r="B774" t="s">
        <v>868</v>
      </c>
      <c r="C774" t="s">
        <v>1427</v>
      </c>
      <c r="D774" t="s">
        <v>2023</v>
      </c>
      <c r="E774" t="s">
        <v>2024</v>
      </c>
      <c r="F774" t="s">
        <v>1870</v>
      </c>
      <c r="G774" t="s">
        <v>1871</v>
      </c>
      <c r="H774" t="s">
        <v>2246</v>
      </c>
      <c r="I774" t="s">
        <v>4437</v>
      </c>
      <c r="J774" t="s">
        <v>3834</v>
      </c>
      <c r="K774" t="s">
        <v>3835</v>
      </c>
      <c r="M774">
        <v>50</v>
      </c>
      <c r="N774">
        <v>70</v>
      </c>
      <c r="O774" t="s">
        <v>2437</v>
      </c>
      <c r="P774" t="s">
        <v>2437</v>
      </c>
      <c r="R774" t="s">
        <v>2437</v>
      </c>
      <c r="T774" t="s">
        <v>2437</v>
      </c>
      <c r="U774" t="s">
        <v>2437</v>
      </c>
      <c r="V774" t="s">
        <v>2437</v>
      </c>
      <c r="Y774" t="s">
        <v>6948</v>
      </c>
      <c r="Z774" t="s">
        <v>6949</v>
      </c>
      <c r="AA774" t="s">
        <v>6950</v>
      </c>
      <c r="AB774" t="s">
        <v>6951</v>
      </c>
      <c r="AC774" t="s">
        <v>6952</v>
      </c>
      <c r="AD774" t="s">
        <v>6953</v>
      </c>
      <c r="AE774" t="s">
        <v>6954</v>
      </c>
      <c r="AF774" t="s">
        <v>6955</v>
      </c>
      <c r="AG774" t="s">
        <v>6956</v>
      </c>
      <c r="AH774" t="s">
        <v>6957</v>
      </c>
      <c r="AI774" t="s">
        <v>6958</v>
      </c>
      <c r="AJ774" t="s">
        <v>6959</v>
      </c>
      <c r="AR774" t="s">
        <v>4284</v>
      </c>
    </row>
    <row r="775" spans="1:44">
      <c r="A775">
        <v>11132315</v>
      </c>
      <c r="B775" t="s">
        <v>869</v>
      </c>
      <c r="C775" t="s">
        <v>1428</v>
      </c>
      <c r="D775" t="s">
        <v>2023</v>
      </c>
      <c r="E775" t="s">
        <v>2024</v>
      </c>
      <c r="F775" t="s">
        <v>1870</v>
      </c>
      <c r="G775" t="s">
        <v>1871</v>
      </c>
      <c r="H775" t="s">
        <v>2245</v>
      </c>
      <c r="I775" t="s">
        <v>4436</v>
      </c>
      <c r="J775" t="s">
        <v>3836</v>
      </c>
      <c r="K775" t="s">
        <v>3837</v>
      </c>
      <c r="M775">
        <v>50</v>
      </c>
      <c r="N775">
        <v>70</v>
      </c>
      <c r="O775" t="s">
        <v>2437</v>
      </c>
      <c r="P775" t="s">
        <v>2437</v>
      </c>
      <c r="R775" t="s">
        <v>2437</v>
      </c>
      <c r="T775" t="s">
        <v>2437</v>
      </c>
      <c r="U775" t="s">
        <v>2437</v>
      </c>
      <c r="V775" t="s">
        <v>2437</v>
      </c>
      <c r="Y775" t="s">
        <v>6948</v>
      </c>
      <c r="Z775" t="s">
        <v>6949</v>
      </c>
      <c r="AA775" t="s">
        <v>6950</v>
      </c>
      <c r="AB775" t="s">
        <v>6951</v>
      </c>
      <c r="AC775" t="s">
        <v>6952</v>
      </c>
      <c r="AD775" t="s">
        <v>6953</v>
      </c>
      <c r="AE775" t="s">
        <v>6954</v>
      </c>
      <c r="AF775" t="s">
        <v>6955</v>
      </c>
      <c r="AG775" t="s">
        <v>6956</v>
      </c>
      <c r="AH775" t="s">
        <v>6957</v>
      </c>
      <c r="AI775" t="s">
        <v>6958</v>
      </c>
      <c r="AJ775" t="s">
        <v>6959</v>
      </c>
      <c r="AR775" t="s">
        <v>4284</v>
      </c>
    </row>
    <row r="776" spans="1:44">
      <c r="A776">
        <v>11132316</v>
      </c>
      <c r="B776" t="s">
        <v>870</v>
      </c>
      <c r="C776" t="s">
        <v>1429</v>
      </c>
      <c r="D776" t="s">
        <v>2023</v>
      </c>
      <c r="E776" t="s">
        <v>2024</v>
      </c>
      <c r="F776" t="s">
        <v>1870</v>
      </c>
      <c r="G776" t="s">
        <v>1871</v>
      </c>
      <c r="H776" t="s">
        <v>2337</v>
      </c>
      <c r="I776" t="s">
        <v>4589</v>
      </c>
      <c r="J776" t="s">
        <v>3838</v>
      </c>
      <c r="K776" t="s">
        <v>3839</v>
      </c>
      <c r="M776">
        <v>50</v>
      </c>
      <c r="N776">
        <v>70</v>
      </c>
      <c r="O776" t="s">
        <v>2437</v>
      </c>
      <c r="P776" t="s">
        <v>2437</v>
      </c>
      <c r="R776" t="s">
        <v>2437</v>
      </c>
      <c r="T776" t="s">
        <v>2437</v>
      </c>
      <c r="U776" t="s">
        <v>2437</v>
      </c>
      <c r="V776" t="s">
        <v>2437</v>
      </c>
      <c r="Y776" t="s">
        <v>6948</v>
      </c>
      <c r="Z776" t="s">
        <v>6949</v>
      </c>
      <c r="AA776" t="s">
        <v>6950</v>
      </c>
      <c r="AB776" t="s">
        <v>6951</v>
      </c>
      <c r="AC776" t="s">
        <v>6952</v>
      </c>
      <c r="AD776" t="s">
        <v>6953</v>
      </c>
      <c r="AE776" t="s">
        <v>6954</v>
      </c>
      <c r="AF776" t="s">
        <v>6955</v>
      </c>
      <c r="AG776" t="s">
        <v>6956</v>
      </c>
      <c r="AH776" t="s">
        <v>6957</v>
      </c>
      <c r="AI776" t="s">
        <v>6958</v>
      </c>
      <c r="AJ776" t="s">
        <v>6959</v>
      </c>
      <c r="AR776" t="s">
        <v>4284</v>
      </c>
    </row>
    <row r="777" spans="1:44">
      <c r="A777">
        <v>11132317</v>
      </c>
      <c r="B777" t="s">
        <v>871</v>
      </c>
      <c r="C777" t="s">
        <v>1430</v>
      </c>
      <c r="D777" t="s">
        <v>2025</v>
      </c>
      <c r="E777" t="s">
        <v>1534</v>
      </c>
      <c r="F777" t="s">
        <v>1592</v>
      </c>
      <c r="G777" t="s">
        <v>1593</v>
      </c>
      <c r="H777" t="s">
        <v>2218</v>
      </c>
      <c r="I777" t="s">
        <v>4412</v>
      </c>
      <c r="J777" t="s">
        <v>3840</v>
      </c>
      <c r="K777" t="s">
        <v>3841</v>
      </c>
      <c r="M777">
        <v>50</v>
      </c>
      <c r="N777">
        <v>70</v>
      </c>
      <c r="O777" t="s">
        <v>2437</v>
      </c>
      <c r="P777" t="s">
        <v>2437</v>
      </c>
      <c r="R777" t="s">
        <v>2437</v>
      </c>
      <c r="T777" t="s">
        <v>2437</v>
      </c>
      <c r="U777" t="s">
        <v>2437</v>
      </c>
      <c r="V777" t="s">
        <v>2437</v>
      </c>
      <c r="Y777" t="s">
        <v>6948</v>
      </c>
      <c r="Z777" t="s">
        <v>6949</v>
      </c>
      <c r="AA777" t="s">
        <v>6950</v>
      </c>
      <c r="AB777" t="s">
        <v>6951</v>
      </c>
      <c r="AC777" t="s">
        <v>6952</v>
      </c>
      <c r="AD777" t="s">
        <v>6953</v>
      </c>
      <c r="AE777" t="s">
        <v>6954</v>
      </c>
      <c r="AF777" t="s">
        <v>6955</v>
      </c>
      <c r="AG777" t="s">
        <v>6956</v>
      </c>
      <c r="AH777" t="s">
        <v>6957</v>
      </c>
      <c r="AI777" t="s">
        <v>6958</v>
      </c>
      <c r="AJ777" t="s">
        <v>6959</v>
      </c>
      <c r="AR777" t="s">
        <v>4284</v>
      </c>
    </row>
    <row r="778" spans="1:44">
      <c r="A778">
        <v>11132318</v>
      </c>
      <c r="B778" t="s">
        <v>872</v>
      </c>
      <c r="C778" t="s">
        <v>1431</v>
      </c>
      <c r="D778" t="s">
        <v>2025</v>
      </c>
      <c r="E778" t="s">
        <v>1534</v>
      </c>
      <c r="F778" t="s">
        <v>1592</v>
      </c>
      <c r="G778" t="s">
        <v>1593</v>
      </c>
      <c r="H778" t="s">
        <v>2125</v>
      </c>
      <c r="I778" t="s">
        <v>4346</v>
      </c>
      <c r="J778" t="s">
        <v>2595</v>
      </c>
      <c r="K778" t="s">
        <v>2596</v>
      </c>
      <c r="M778">
        <v>50</v>
      </c>
      <c r="N778">
        <v>70</v>
      </c>
      <c r="O778" t="s">
        <v>2437</v>
      </c>
      <c r="P778" t="s">
        <v>2437</v>
      </c>
      <c r="R778" t="s">
        <v>2437</v>
      </c>
      <c r="T778" t="s">
        <v>2437</v>
      </c>
      <c r="U778" t="s">
        <v>2437</v>
      </c>
      <c r="V778" t="s">
        <v>2437</v>
      </c>
      <c r="Y778" t="s">
        <v>6948</v>
      </c>
      <c r="Z778" t="s">
        <v>6949</v>
      </c>
      <c r="AA778" t="s">
        <v>6950</v>
      </c>
      <c r="AB778" t="s">
        <v>6951</v>
      </c>
      <c r="AC778" t="s">
        <v>6952</v>
      </c>
      <c r="AD778" t="s">
        <v>6953</v>
      </c>
      <c r="AE778" t="s">
        <v>6954</v>
      </c>
      <c r="AF778" t="s">
        <v>6955</v>
      </c>
      <c r="AG778" t="s">
        <v>6956</v>
      </c>
      <c r="AH778" t="s">
        <v>6957</v>
      </c>
      <c r="AI778" t="s">
        <v>6958</v>
      </c>
      <c r="AJ778" t="s">
        <v>6959</v>
      </c>
      <c r="AR778" t="s">
        <v>4284</v>
      </c>
    </row>
    <row r="779" spans="1:44">
      <c r="A779">
        <v>11132319</v>
      </c>
      <c r="B779" t="s">
        <v>873</v>
      </c>
      <c r="C779" t="s">
        <v>1432</v>
      </c>
      <c r="D779" t="s">
        <v>2025</v>
      </c>
      <c r="E779" t="s">
        <v>1534</v>
      </c>
      <c r="F779" t="s">
        <v>1592</v>
      </c>
      <c r="G779" t="s">
        <v>1593</v>
      </c>
      <c r="H779" t="s">
        <v>2219</v>
      </c>
      <c r="I779" t="s">
        <v>4413</v>
      </c>
      <c r="J779" t="s">
        <v>3842</v>
      </c>
      <c r="K779" t="s">
        <v>3843</v>
      </c>
      <c r="M779">
        <v>50</v>
      </c>
      <c r="N779">
        <v>70</v>
      </c>
      <c r="O779" t="s">
        <v>2437</v>
      </c>
      <c r="P779" t="s">
        <v>2437</v>
      </c>
      <c r="R779" t="s">
        <v>2437</v>
      </c>
      <c r="T779" t="s">
        <v>2437</v>
      </c>
      <c r="U779" t="s">
        <v>2437</v>
      </c>
      <c r="V779" t="s">
        <v>2437</v>
      </c>
      <c r="Y779" t="s">
        <v>6948</v>
      </c>
      <c r="Z779" t="s">
        <v>6949</v>
      </c>
      <c r="AA779" t="s">
        <v>6950</v>
      </c>
      <c r="AB779" t="s">
        <v>6951</v>
      </c>
      <c r="AC779" t="s">
        <v>6952</v>
      </c>
      <c r="AD779" t="s">
        <v>6953</v>
      </c>
      <c r="AE779" t="s">
        <v>6954</v>
      </c>
      <c r="AF779" t="s">
        <v>6955</v>
      </c>
      <c r="AG779" t="s">
        <v>6956</v>
      </c>
      <c r="AH779" t="s">
        <v>6957</v>
      </c>
      <c r="AI779" t="s">
        <v>6958</v>
      </c>
      <c r="AJ779" t="s">
        <v>6959</v>
      </c>
      <c r="AR779" t="s">
        <v>4284</v>
      </c>
    </row>
    <row r="780" spans="1:44">
      <c r="A780">
        <v>11132320</v>
      </c>
      <c r="B780" t="s">
        <v>874</v>
      </c>
      <c r="C780" t="s">
        <v>1433</v>
      </c>
      <c r="D780" t="s">
        <v>2025</v>
      </c>
      <c r="E780" t="s">
        <v>1534</v>
      </c>
      <c r="F780" t="s">
        <v>1592</v>
      </c>
      <c r="G780" t="s">
        <v>1593</v>
      </c>
      <c r="H780" t="s">
        <v>2170</v>
      </c>
      <c r="I780" t="s">
        <v>4381</v>
      </c>
      <c r="J780" t="s">
        <v>2668</v>
      </c>
      <c r="K780" t="s">
        <v>2669</v>
      </c>
      <c r="M780">
        <v>50</v>
      </c>
      <c r="N780">
        <v>70</v>
      </c>
      <c r="O780" t="s">
        <v>2437</v>
      </c>
      <c r="P780" t="s">
        <v>2437</v>
      </c>
      <c r="R780" t="s">
        <v>2437</v>
      </c>
      <c r="T780" t="s">
        <v>2437</v>
      </c>
      <c r="U780" t="s">
        <v>2437</v>
      </c>
      <c r="V780" t="s">
        <v>2437</v>
      </c>
      <c r="Y780" t="s">
        <v>6948</v>
      </c>
      <c r="Z780" t="s">
        <v>6949</v>
      </c>
      <c r="AA780" t="s">
        <v>6950</v>
      </c>
      <c r="AB780" t="s">
        <v>6951</v>
      </c>
      <c r="AC780" t="s">
        <v>6952</v>
      </c>
      <c r="AD780" t="s">
        <v>6953</v>
      </c>
      <c r="AE780" t="s">
        <v>6954</v>
      </c>
      <c r="AF780" t="s">
        <v>6955</v>
      </c>
      <c r="AG780" t="s">
        <v>6956</v>
      </c>
      <c r="AH780" t="s">
        <v>6957</v>
      </c>
      <c r="AI780" t="s">
        <v>6958</v>
      </c>
      <c r="AJ780" t="s">
        <v>6959</v>
      </c>
      <c r="AR780" t="s">
        <v>4284</v>
      </c>
    </row>
    <row r="781" spans="1:44">
      <c r="A781">
        <v>11132333</v>
      </c>
      <c r="B781" t="s">
        <v>875</v>
      </c>
      <c r="C781" t="s">
        <v>1434</v>
      </c>
      <c r="D781" t="s">
        <v>2026</v>
      </c>
      <c r="E781" t="s">
        <v>2027</v>
      </c>
      <c r="F781" t="s">
        <v>1849</v>
      </c>
      <c r="G781" t="s">
        <v>1850</v>
      </c>
      <c r="H781" t="s">
        <v>2232</v>
      </c>
      <c r="I781" t="s">
        <v>4423</v>
      </c>
      <c r="J781" t="s">
        <v>3844</v>
      </c>
      <c r="K781" t="s">
        <v>3845</v>
      </c>
      <c r="M781">
        <v>50</v>
      </c>
      <c r="N781">
        <v>70</v>
      </c>
      <c r="O781" t="s">
        <v>2437</v>
      </c>
      <c r="P781" t="s">
        <v>2437</v>
      </c>
      <c r="R781" t="s">
        <v>2437</v>
      </c>
      <c r="T781" t="s">
        <v>2437</v>
      </c>
      <c r="U781" t="s">
        <v>2437</v>
      </c>
      <c r="V781" t="s">
        <v>2437</v>
      </c>
      <c r="Y781" t="s">
        <v>6948</v>
      </c>
      <c r="Z781" t="s">
        <v>6949</v>
      </c>
      <c r="AA781" t="s">
        <v>6950</v>
      </c>
      <c r="AB781" t="s">
        <v>6951</v>
      </c>
      <c r="AC781" t="s">
        <v>6952</v>
      </c>
      <c r="AD781" t="s">
        <v>6953</v>
      </c>
      <c r="AE781" t="s">
        <v>6954</v>
      </c>
      <c r="AF781" t="s">
        <v>6955</v>
      </c>
      <c r="AG781" t="s">
        <v>6956</v>
      </c>
      <c r="AH781" t="s">
        <v>6957</v>
      </c>
      <c r="AI781" t="s">
        <v>6958</v>
      </c>
      <c r="AJ781" t="s">
        <v>6959</v>
      </c>
      <c r="AR781" t="s">
        <v>4284</v>
      </c>
    </row>
    <row r="782" spans="1:44">
      <c r="A782">
        <v>11132338</v>
      </c>
      <c r="B782" t="s">
        <v>876</v>
      </c>
      <c r="C782" t="s">
        <v>1435</v>
      </c>
      <c r="D782" t="s">
        <v>2028</v>
      </c>
      <c r="E782" t="s">
        <v>1611</v>
      </c>
      <c r="F782" t="s">
        <v>1517</v>
      </c>
      <c r="G782" t="s">
        <v>1518</v>
      </c>
      <c r="H782" t="s">
        <v>2211</v>
      </c>
      <c r="I782" t="s">
        <v>4405</v>
      </c>
      <c r="J782" t="s">
        <v>2734</v>
      </c>
      <c r="K782" t="s">
        <v>2735</v>
      </c>
      <c r="M782">
        <v>60</v>
      </c>
      <c r="N782">
        <v>70</v>
      </c>
      <c r="O782" t="s">
        <v>2437</v>
      </c>
      <c r="P782" t="s">
        <v>2437</v>
      </c>
      <c r="R782" t="s">
        <v>2437</v>
      </c>
      <c r="T782" t="s">
        <v>2437</v>
      </c>
      <c r="U782" t="s">
        <v>2437</v>
      </c>
      <c r="V782" t="s">
        <v>2437</v>
      </c>
      <c r="Y782" t="s">
        <v>6948</v>
      </c>
      <c r="Z782" t="s">
        <v>6949</v>
      </c>
      <c r="AA782" t="s">
        <v>6950</v>
      </c>
      <c r="AB782" t="s">
        <v>6951</v>
      </c>
      <c r="AC782" t="s">
        <v>6952</v>
      </c>
      <c r="AD782" t="s">
        <v>6953</v>
      </c>
      <c r="AE782" t="s">
        <v>6961</v>
      </c>
      <c r="AF782" t="s">
        <v>6962</v>
      </c>
      <c r="AG782" t="s">
        <v>6963</v>
      </c>
      <c r="AH782" t="s">
        <v>6964</v>
      </c>
      <c r="AI782" t="s">
        <v>6965</v>
      </c>
      <c r="AJ782" t="s">
        <v>6966</v>
      </c>
      <c r="AR782" t="s">
        <v>4284</v>
      </c>
    </row>
    <row r="783" spans="1:44">
      <c r="A783">
        <v>11132339</v>
      </c>
      <c r="B783" t="s">
        <v>877</v>
      </c>
      <c r="C783" t="s">
        <v>1436</v>
      </c>
      <c r="D783" t="s">
        <v>2028</v>
      </c>
      <c r="E783" t="s">
        <v>1611</v>
      </c>
      <c r="F783" t="s">
        <v>1517</v>
      </c>
      <c r="G783" t="s">
        <v>1518</v>
      </c>
      <c r="H783" t="s">
        <v>2212</v>
      </c>
      <c r="I783" t="s">
        <v>4406</v>
      </c>
      <c r="J783" t="s">
        <v>2736</v>
      </c>
      <c r="K783" t="s">
        <v>2737</v>
      </c>
      <c r="M783">
        <v>60</v>
      </c>
      <c r="N783">
        <v>70</v>
      </c>
      <c r="O783" t="s">
        <v>2437</v>
      </c>
      <c r="P783" t="s">
        <v>2437</v>
      </c>
      <c r="R783" t="s">
        <v>2437</v>
      </c>
      <c r="T783" t="s">
        <v>2437</v>
      </c>
      <c r="U783" t="s">
        <v>2437</v>
      </c>
      <c r="V783" t="s">
        <v>2437</v>
      </c>
      <c r="Y783" t="s">
        <v>6948</v>
      </c>
      <c r="Z783" t="s">
        <v>6949</v>
      </c>
      <c r="AA783" t="s">
        <v>6950</v>
      </c>
      <c r="AB783" t="s">
        <v>6951</v>
      </c>
      <c r="AC783" t="s">
        <v>6952</v>
      </c>
      <c r="AD783" t="s">
        <v>6953</v>
      </c>
      <c r="AE783" t="s">
        <v>6961</v>
      </c>
      <c r="AF783" t="s">
        <v>6962</v>
      </c>
      <c r="AG783" t="s">
        <v>6963</v>
      </c>
      <c r="AH783" t="s">
        <v>6964</v>
      </c>
      <c r="AI783" t="s">
        <v>6965</v>
      </c>
      <c r="AJ783" t="s">
        <v>6966</v>
      </c>
      <c r="AR783" t="s">
        <v>4284</v>
      </c>
    </row>
    <row r="784" spans="1:44">
      <c r="A784">
        <v>11132340</v>
      </c>
      <c r="B784" t="s">
        <v>878</v>
      </c>
      <c r="C784" t="s">
        <v>1437</v>
      </c>
      <c r="D784" t="s">
        <v>2028</v>
      </c>
      <c r="E784" t="s">
        <v>1611</v>
      </c>
      <c r="F784" t="s">
        <v>1517</v>
      </c>
      <c r="G784" t="s">
        <v>1518</v>
      </c>
      <c r="H784" t="s">
        <v>2213</v>
      </c>
      <c r="I784" t="s">
        <v>4371</v>
      </c>
      <c r="J784" t="s">
        <v>2738</v>
      </c>
      <c r="K784" t="s">
        <v>2739</v>
      </c>
      <c r="M784">
        <v>60</v>
      </c>
      <c r="N784">
        <v>70</v>
      </c>
      <c r="O784" t="s">
        <v>2437</v>
      </c>
      <c r="P784" t="s">
        <v>2437</v>
      </c>
      <c r="R784" t="s">
        <v>2437</v>
      </c>
      <c r="T784" t="s">
        <v>2437</v>
      </c>
      <c r="U784" t="s">
        <v>2437</v>
      </c>
      <c r="V784" t="s">
        <v>2437</v>
      </c>
      <c r="Y784" t="s">
        <v>6948</v>
      </c>
      <c r="Z784" t="s">
        <v>6949</v>
      </c>
      <c r="AA784" t="s">
        <v>6950</v>
      </c>
      <c r="AB784" t="s">
        <v>6951</v>
      </c>
      <c r="AC784" t="s">
        <v>6952</v>
      </c>
      <c r="AD784" t="s">
        <v>6953</v>
      </c>
      <c r="AE784" t="s">
        <v>6961</v>
      </c>
      <c r="AF784" t="s">
        <v>6962</v>
      </c>
      <c r="AG784" t="s">
        <v>6963</v>
      </c>
      <c r="AH784" t="s">
        <v>6964</v>
      </c>
      <c r="AI784" t="s">
        <v>6965</v>
      </c>
      <c r="AJ784" t="s">
        <v>6966</v>
      </c>
      <c r="AR784" t="s">
        <v>4284</v>
      </c>
    </row>
    <row r="785" spans="1:44">
      <c r="A785">
        <v>11132341</v>
      </c>
      <c r="B785" t="s">
        <v>879</v>
      </c>
      <c r="C785" t="s">
        <v>1438</v>
      </c>
      <c r="D785" t="s">
        <v>2028</v>
      </c>
      <c r="E785" t="s">
        <v>1611</v>
      </c>
      <c r="F785" t="s">
        <v>1517</v>
      </c>
      <c r="G785" t="s">
        <v>1518</v>
      </c>
      <c r="H785" t="s">
        <v>2214</v>
      </c>
      <c r="I785" t="s">
        <v>4407</v>
      </c>
      <c r="J785" t="s">
        <v>2740</v>
      </c>
      <c r="K785" t="s">
        <v>2741</v>
      </c>
      <c r="M785">
        <v>60</v>
      </c>
      <c r="N785">
        <v>70</v>
      </c>
      <c r="O785" t="s">
        <v>2437</v>
      </c>
      <c r="P785" t="s">
        <v>2437</v>
      </c>
      <c r="R785" t="s">
        <v>2437</v>
      </c>
      <c r="T785" t="s">
        <v>2437</v>
      </c>
      <c r="U785" t="s">
        <v>2437</v>
      </c>
      <c r="V785" t="s">
        <v>2437</v>
      </c>
      <c r="Y785" t="s">
        <v>6948</v>
      </c>
      <c r="Z785" t="s">
        <v>6949</v>
      </c>
      <c r="AA785" t="s">
        <v>6950</v>
      </c>
      <c r="AB785" t="s">
        <v>6951</v>
      </c>
      <c r="AC785" t="s">
        <v>6952</v>
      </c>
      <c r="AD785" t="s">
        <v>6953</v>
      </c>
      <c r="AE785" t="s">
        <v>6961</v>
      </c>
      <c r="AF785" t="s">
        <v>6962</v>
      </c>
      <c r="AG785" t="s">
        <v>6963</v>
      </c>
      <c r="AH785" t="s">
        <v>6964</v>
      </c>
      <c r="AI785" t="s">
        <v>6965</v>
      </c>
      <c r="AJ785" t="s">
        <v>6966</v>
      </c>
      <c r="AR785" t="s">
        <v>4284</v>
      </c>
    </row>
    <row r="786" spans="1:44">
      <c r="A786">
        <v>11132342</v>
      </c>
      <c r="B786" t="s">
        <v>880</v>
      </c>
      <c r="C786" t="s">
        <v>1439</v>
      </c>
      <c r="D786" t="s">
        <v>2029</v>
      </c>
      <c r="E786" t="s">
        <v>2030</v>
      </c>
      <c r="F786" t="s">
        <v>1515</v>
      </c>
      <c r="G786" t="s">
        <v>36</v>
      </c>
      <c r="H786" t="s">
        <v>2234</v>
      </c>
      <c r="I786" t="s">
        <v>4425</v>
      </c>
      <c r="J786" t="s">
        <v>3846</v>
      </c>
      <c r="K786" t="s">
        <v>3847</v>
      </c>
      <c r="M786">
        <v>60</v>
      </c>
      <c r="N786">
        <v>70</v>
      </c>
      <c r="O786" t="s">
        <v>2437</v>
      </c>
      <c r="P786" t="s">
        <v>2437</v>
      </c>
      <c r="R786" t="s">
        <v>2437</v>
      </c>
      <c r="T786" t="s">
        <v>2437</v>
      </c>
      <c r="U786" t="s">
        <v>2437</v>
      </c>
      <c r="V786" t="s">
        <v>2437</v>
      </c>
      <c r="Y786" t="s">
        <v>6948</v>
      </c>
      <c r="Z786" t="s">
        <v>6949</v>
      </c>
      <c r="AA786" t="s">
        <v>6950</v>
      </c>
      <c r="AB786" t="s">
        <v>6951</v>
      </c>
      <c r="AC786" t="s">
        <v>6952</v>
      </c>
      <c r="AD786" t="s">
        <v>6953</v>
      </c>
      <c r="AE786" t="s">
        <v>6961</v>
      </c>
      <c r="AF786" t="s">
        <v>6962</v>
      </c>
      <c r="AG786" t="s">
        <v>6963</v>
      </c>
      <c r="AH786" t="s">
        <v>6964</v>
      </c>
      <c r="AI786" t="s">
        <v>6965</v>
      </c>
      <c r="AJ786" t="s">
        <v>6966</v>
      </c>
      <c r="AR786" t="s">
        <v>4284</v>
      </c>
    </row>
    <row r="787" spans="1:44">
      <c r="A787">
        <v>11132343</v>
      </c>
      <c r="B787" t="s">
        <v>881</v>
      </c>
      <c r="C787" t="s">
        <v>1440</v>
      </c>
      <c r="D787" t="s">
        <v>2029</v>
      </c>
      <c r="E787" t="s">
        <v>2030</v>
      </c>
      <c r="F787" t="s">
        <v>1515</v>
      </c>
      <c r="G787" t="s">
        <v>36</v>
      </c>
      <c r="H787" t="s">
        <v>2371</v>
      </c>
      <c r="I787" t="s">
        <v>4542</v>
      </c>
      <c r="J787" t="s">
        <v>3848</v>
      </c>
      <c r="K787" t="s">
        <v>3849</v>
      </c>
      <c r="M787">
        <v>60</v>
      </c>
      <c r="N787">
        <v>70</v>
      </c>
      <c r="O787" t="s">
        <v>2437</v>
      </c>
      <c r="P787" t="s">
        <v>2437</v>
      </c>
      <c r="R787" t="s">
        <v>2437</v>
      </c>
      <c r="T787" t="s">
        <v>2437</v>
      </c>
      <c r="U787" t="s">
        <v>2437</v>
      </c>
      <c r="V787" t="s">
        <v>2437</v>
      </c>
      <c r="Y787" t="s">
        <v>6948</v>
      </c>
      <c r="Z787" t="s">
        <v>6949</v>
      </c>
      <c r="AA787" t="s">
        <v>6950</v>
      </c>
      <c r="AB787" t="s">
        <v>6951</v>
      </c>
      <c r="AC787" t="s">
        <v>6952</v>
      </c>
      <c r="AD787" t="s">
        <v>6953</v>
      </c>
      <c r="AE787" t="s">
        <v>6961</v>
      </c>
      <c r="AF787" t="s">
        <v>6962</v>
      </c>
      <c r="AG787" t="s">
        <v>6963</v>
      </c>
      <c r="AH787" t="s">
        <v>6964</v>
      </c>
      <c r="AI787" t="s">
        <v>6965</v>
      </c>
      <c r="AJ787" t="s">
        <v>6966</v>
      </c>
      <c r="AR787" t="s">
        <v>4284</v>
      </c>
    </row>
    <row r="788" spans="1:44">
      <c r="A788">
        <v>11132344</v>
      </c>
      <c r="B788" t="s">
        <v>882</v>
      </c>
      <c r="C788" t="s">
        <v>1441</v>
      </c>
      <c r="D788" t="s">
        <v>2029</v>
      </c>
      <c r="E788" t="s">
        <v>2030</v>
      </c>
      <c r="F788" t="s">
        <v>1515</v>
      </c>
      <c r="G788" t="s">
        <v>36</v>
      </c>
      <c r="H788" t="s">
        <v>37</v>
      </c>
      <c r="I788" t="s">
        <v>38</v>
      </c>
      <c r="J788" t="s">
        <v>3850</v>
      </c>
      <c r="K788" t="s">
        <v>3851</v>
      </c>
      <c r="M788">
        <v>60</v>
      </c>
      <c r="N788">
        <v>70</v>
      </c>
      <c r="O788" t="s">
        <v>2437</v>
      </c>
      <c r="P788" t="s">
        <v>2437</v>
      </c>
      <c r="R788" t="s">
        <v>2437</v>
      </c>
      <c r="T788" t="s">
        <v>2437</v>
      </c>
      <c r="U788" t="s">
        <v>2437</v>
      </c>
      <c r="V788" t="s">
        <v>2437</v>
      </c>
      <c r="Y788" t="s">
        <v>6948</v>
      </c>
      <c r="Z788" t="s">
        <v>6949</v>
      </c>
      <c r="AA788" t="s">
        <v>6950</v>
      </c>
      <c r="AB788" t="s">
        <v>6951</v>
      </c>
      <c r="AC788" t="s">
        <v>6952</v>
      </c>
      <c r="AD788" t="s">
        <v>6953</v>
      </c>
      <c r="AE788" t="s">
        <v>6961</v>
      </c>
      <c r="AF788" t="s">
        <v>6962</v>
      </c>
      <c r="AG788" t="s">
        <v>6963</v>
      </c>
      <c r="AH788" t="s">
        <v>6964</v>
      </c>
      <c r="AI788" t="s">
        <v>6965</v>
      </c>
      <c r="AJ788" t="s">
        <v>6966</v>
      </c>
      <c r="AR788" t="s">
        <v>4284</v>
      </c>
    </row>
    <row r="789" spans="1:44">
      <c r="A789">
        <v>11132345</v>
      </c>
      <c r="B789" t="s">
        <v>883</v>
      </c>
      <c r="C789" t="s">
        <v>1442</v>
      </c>
      <c r="D789" t="s">
        <v>2029</v>
      </c>
      <c r="E789" t="s">
        <v>2030</v>
      </c>
      <c r="F789" t="s">
        <v>1515</v>
      </c>
      <c r="G789" t="s">
        <v>36</v>
      </c>
      <c r="H789" t="s">
        <v>2233</v>
      </c>
      <c r="I789" t="s">
        <v>4424</v>
      </c>
      <c r="J789" t="s">
        <v>3852</v>
      </c>
      <c r="K789" t="s">
        <v>3853</v>
      </c>
      <c r="M789">
        <v>60</v>
      </c>
      <c r="N789">
        <v>70</v>
      </c>
      <c r="O789" t="s">
        <v>2437</v>
      </c>
      <c r="P789" t="s">
        <v>2437</v>
      </c>
      <c r="R789" t="s">
        <v>2437</v>
      </c>
      <c r="T789" t="s">
        <v>2437</v>
      </c>
      <c r="U789" t="s">
        <v>2437</v>
      </c>
      <c r="V789" t="s">
        <v>2437</v>
      </c>
      <c r="Y789" t="s">
        <v>6948</v>
      </c>
      <c r="Z789" t="s">
        <v>6949</v>
      </c>
      <c r="AA789" t="s">
        <v>6950</v>
      </c>
      <c r="AB789" t="s">
        <v>6951</v>
      </c>
      <c r="AC789" t="s">
        <v>6952</v>
      </c>
      <c r="AD789" t="s">
        <v>6953</v>
      </c>
      <c r="AE789" t="s">
        <v>6961</v>
      </c>
      <c r="AF789" t="s">
        <v>6962</v>
      </c>
      <c r="AG789" t="s">
        <v>6963</v>
      </c>
      <c r="AH789" t="s">
        <v>6964</v>
      </c>
      <c r="AI789" t="s">
        <v>6965</v>
      </c>
      <c r="AJ789" t="s">
        <v>6966</v>
      </c>
      <c r="AR789" t="s">
        <v>4284</v>
      </c>
    </row>
    <row r="790" spans="1:44">
      <c r="A790">
        <v>11126305</v>
      </c>
      <c r="B790" t="s">
        <v>884</v>
      </c>
      <c r="C790" t="s">
        <v>1443</v>
      </c>
      <c r="D790" t="s">
        <v>1970</v>
      </c>
      <c r="E790" t="s">
        <v>1971</v>
      </c>
      <c r="F790" t="s">
        <v>1972</v>
      </c>
      <c r="G790" t="s">
        <v>1973</v>
      </c>
      <c r="H790" t="s">
        <v>2419</v>
      </c>
      <c r="I790" t="s">
        <v>4590</v>
      </c>
      <c r="J790" t="s">
        <v>3854</v>
      </c>
      <c r="K790" t="s">
        <v>3855</v>
      </c>
      <c r="M790">
        <v>60</v>
      </c>
      <c r="N790">
        <v>70</v>
      </c>
      <c r="O790" t="s">
        <v>2437</v>
      </c>
      <c r="P790" t="s">
        <v>2437</v>
      </c>
      <c r="R790" t="s">
        <v>2437</v>
      </c>
      <c r="T790" t="s">
        <v>2437</v>
      </c>
      <c r="U790" t="s">
        <v>2437</v>
      </c>
      <c r="V790" t="s">
        <v>2437</v>
      </c>
      <c r="Y790" t="s">
        <v>6948</v>
      </c>
      <c r="Z790" t="s">
        <v>6949</v>
      </c>
      <c r="AA790" t="s">
        <v>6950</v>
      </c>
      <c r="AB790" t="s">
        <v>6951</v>
      </c>
      <c r="AC790" t="s">
        <v>6952</v>
      </c>
      <c r="AD790" t="s">
        <v>6953</v>
      </c>
      <c r="AE790" t="s">
        <v>6961</v>
      </c>
      <c r="AF790" t="s">
        <v>6962</v>
      </c>
      <c r="AG790" t="s">
        <v>6963</v>
      </c>
      <c r="AH790" t="s">
        <v>6964</v>
      </c>
      <c r="AI790" t="s">
        <v>6965</v>
      </c>
      <c r="AJ790" t="s">
        <v>6966</v>
      </c>
      <c r="AR790" t="s">
        <v>4284</v>
      </c>
    </row>
    <row r="791" spans="1:44">
      <c r="A791">
        <v>11126308</v>
      </c>
      <c r="B791" t="s">
        <v>885</v>
      </c>
      <c r="C791" t="s">
        <v>1444</v>
      </c>
      <c r="D791" t="s">
        <v>1970</v>
      </c>
      <c r="E791" t="s">
        <v>1971</v>
      </c>
      <c r="F791" t="s">
        <v>1972</v>
      </c>
      <c r="G791" t="s">
        <v>1973</v>
      </c>
      <c r="H791" t="s">
        <v>2420</v>
      </c>
      <c r="I791" t="s">
        <v>4591</v>
      </c>
      <c r="J791" t="s">
        <v>3856</v>
      </c>
      <c r="K791" t="s">
        <v>3857</v>
      </c>
      <c r="M791">
        <v>60</v>
      </c>
      <c r="N791">
        <v>70</v>
      </c>
      <c r="O791" t="s">
        <v>2437</v>
      </c>
      <c r="P791" t="s">
        <v>2437</v>
      </c>
      <c r="R791" t="s">
        <v>2437</v>
      </c>
      <c r="T791" t="s">
        <v>2437</v>
      </c>
      <c r="U791" t="s">
        <v>2437</v>
      </c>
      <c r="V791" t="s">
        <v>2437</v>
      </c>
      <c r="Y791" t="s">
        <v>6948</v>
      </c>
      <c r="Z791" t="s">
        <v>6949</v>
      </c>
      <c r="AA791" t="s">
        <v>6950</v>
      </c>
      <c r="AB791" t="s">
        <v>6951</v>
      </c>
      <c r="AC791" t="s">
        <v>6952</v>
      </c>
      <c r="AD791" t="s">
        <v>6953</v>
      </c>
      <c r="AE791" t="s">
        <v>6961</v>
      </c>
      <c r="AF791" t="s">
        <v>6962</v>
      </c>
      <c r="AG791" t="s">
        <v>6963</v>
      </c>
      <c r="AH791" t="s">
        <v>6964</v>
      </c>
      <c r="AI791" t="s">
        <v>6965</v>
      </c>
      <c r="AJ791" t="s">
        <v>6966</v>
      </c>
      <c r="AR791" t="s">
        <v>4284</v>
      </c>
    </row>
    <row r="792" spans="1:44">
      <c r="A792">
        <v>11132418</v>
      </c>
      <c r="B792" t="s">
        <v>886</v>
      </c>
      <c r="C792" t="s">
        <v>1445</v>
      </c>
      <c r="D792" t="s">
        <v>1941</v>
      </c>
      <c r="E792" t="s">
        <v>1942</v>
      </c>
      <c r="F792" t="s">
        <v>1887</v>
      </c>
      <c r="G792" t="s">
        <v>1888</v>
      </c>
      <c r="H792" t="s">
        <v>2421</v>
      </c>
      <c r="I792" t="s">
        <v>4592</v>
      </c>
      <c r="J792" t="s">
        <v>3858</v>
      </c>
      <c r="K792" t="s">
        <v>3859</v>
      </c>
      <c r="M792">
        <v>50</v>
      </c>
      <c r="N792">
        <v>70</v>
      </c>
      <c r="O792" t="s">
        <v>2437</v>
      </c>
      <c r="P792" t="s">
        <v>2437</v>
      </c>
      <c r="R792" t="s">
        <v>2437</v>
      </c>
      <c r="T792" t="s">
        <v>2437</v>
      </c>
      <c r="U792" t="s">
        <v>2437</v>
      </c>
      <c r="V792" t="s">
        <v>2437</v>
      </c>
      <c r="Y792" t="s">
        <v>6948</v>
      </c>
      <c r="Z792" t="s">
        <v>6949</v>
      </c>
      <c r="AA792" t="s">
        <v>6950</v>
      </c>
      <c r="AB792" t="s">
        <v>6951</v>
      </c>
      <c r="AC792" t="s">
        <v>6952</v>
      </c>
      <c r="AD792" t="s">
        <v>6953</v>
      </c>
      <c r="AE792" t="s">
        <v>6954</v>
      </c>
      <c r="AF792" t="s">
        <v>6955</v>
      </c>
      <c r="AG792" t="s">
        <v>6956</v>
      </c>
      <c r="AH792" t="s">
        <v>6957</v>
      </c>
      <c r="AI792" t="s">
        <v>6958</v>
      </c>
      <c r="AJ792" t="s">
        <v>6959</v>
      </c>
      <c r="AR792" t="s">
        <v>4284</v>
      </c>
    </row>
    <row r="793" spans="1:44">
      <c r="A793">
        <v>11132420</v>
      </c>
      <c r="B793" t="s">
        <v>887</v>
      </c>
      <c r="C793" t="s">
        <v>1446</v>
      </c>
      <c r="D793" t="s">
        <v>1941</v>
      </c>
      <c r="E793" t="s">
        <v>1942</v>
      </c>
      <c r="F793" t="s">
        <v>1887</v>
      </c>
      <c r="G793" t="s">
        <v>1888</v>
      </c>
      <c r="H793" t="s">
        <v>2421</v>
      </c>
      <c r="I793" t="s">
        <v>4592</v>
      </c>
      <c r="J793" t="s">
        <v>3860</v>
      </c>
      <c r="K793" t="s">
        <v>3861</v>
      </c>
      <c r="M793">
        <v>50</v>
      </c>
      <c r="N793">
        <v>70</v>
      </c>
      <c r="O793" t="s">
        <v>2437</v>
      </c>
      <c r="P793" t="s">
        <v>2437</v>
      </c>
      <c r="R793" t="s">
        <v>2437</v>
      </c>
      <c r="T793" t="s">
        <v>2437</v>
      </c>
      <c r="U793" t="s">
        <v>2437</v>
      </c>
      <c r="V793" t="s">
        <v>2437</v>
      </c>
      <c r="Y793" t="s">
        <v>6948</v>
      </c>
      <c r="Z793" t="s">
        <v>6949</v>
      </c>
      <c r="AA793" t="s">
        <v>6950</v>
      </c>
      <c r="AB793" t="s">
        <v>6951</v>
      </c>
      <c r="AC793" t="s">
        <v>6952</v>
      </c>
      <c r="AD793" t="s">
        <v>6953</v>
      </c>
      <c r="AE793" t="s">
        <v>6954</v>
      </c>
      <c r="AF793" t="s">
        <v>6955</v>
      </c>
      <c r="AG793" t="s">
        <v>6956</v>
      </c>
      <c r="AH793" t="s">
        <v>6957</v>
      </c>
      <c r="AI793" t="s">
        <v>6958</v>
      </c>
      <c r="AJ793" t="s">
        <v>6959</v>
      </c>
      <c r="AR793" t="s">
        <v>4284</v>
      </c>
    </row>
    <row r="794" spans="1:44">
      <c r="A794">
        <v>11131330</v>
      </c>
      <c r="B794" t="s">
        <v>888</v>
      </c>
      <c r="C794" t="s">
        <v>1109</v>
      </c>
      <c r="D794" t="s">
        <v>2031</v>
      </c>
      <c r="E794" t="s">
        <v>1514</v>
      </c>
      <c r="F794" t="s">
        <v>1515</v>
      </c>
      <c r="G794" t="s">
        <v>36</v>
      </c>
      <c r="H794" t="s">
        <v>2233</v>
      </c>
      <c r="I794" t="s">
        <v>4424</v>
      </c>
      <c r="J794" t="s">
        <v>3320</v>
      </c>
      <c r="K794" t="s">
        <v>3321</v>
      </c>
      <c r="M794">
        <v>50</v>
      </c>
      <c r="N794">
        <v>70</v>
      </c>
      <c r="O794" t="s">
        <v>2437</v>
      </c>
      <c r="P794" t="s">
        <v>2437</v>
      </c>
      <c r="R794" t="s">
        <v>2437</v>
      </c>
      <c r="T794" t="s">
        <v>2437</v>
      </c>
      <c r="U794" t="s">
        <v>2437</v>
      </c>
      <c r="V794" t="s">
        <v>2437</v>
      </c>
      <c r="Y794" t="s">
        <v>6948</v>
      </c>
      <c r="Z794" t="s">
        <v>6949</v>
      </c>
      <c r="AA794" t="s">
        <v>6950</v>
      </c>
      <c r="AB794" t="s">
        <v>6951</v>
      </c>
      <c r="AC794" t="s">
        <v>6952</v>
      </c>
      <c r="AD794" t="s">
        <v>6953</v>
      </c>
      <c r="AE794" t="s">
        <v>6954</v>
      </c>
      <c r="AF794" t="s">
        <v>6955</v>
      </c>
      <c r="AG794" t="s">
        <v>6956</v>
      </c>
      <c r="AH794" t="s">
        <v>6957</v>
      </c>
      <c r="AI794" t="s">
        <v>6958</v>
      </c>
      <c r="AJ794" t="s">
        <v>6959</v>
      </c>
      <c r="AR794" t="s">
        <v>4284</v>
      </c>
    </row>
    <row r="795" spans="1:44">
      <c r="A795">
        <v>11131331</v>
      </c>
      <c r="B795" t="s">
        <v>889</v>
      </c>
      <c r="C795" t="s">
        <v>1108</v>
      </c>
      <c r="D795" t="s">
        <v>2031</v>
      </c>
      <c r="E795" t="s">
        <v>1514</v>
      </c>
      <c r="F795" t="s">
        <v>1515</v>
      </c>
      <c r="G795" t="s">
        <v>36</v>
      </c>
      <c r="H795" t="s">
        <v>37</v>
      </c>
      <c r="I795" t="s">
        <v>38</v>
      </c>
      <c r="J795" t="s">
        <v>3322</v>
      </c>
      <c r="K795" t="s">
        <v>3323</v>
      </c>
      <c r="M795">
        <v>50</v>
      </c>
      <c r="N795">
        <v>70</v>
      </c>
      <c r="O795" t="s">
        <v>2437</v>
      </c>
      <c r="P795" t="s">
        <v>2437</v>
      </c>
      <c r="R795" t="s">
        <v>2437</v>
      </c>
      <c r="T795" t="s">
        <v>2437</v>
      </c>
      <c r="U795" t="s">
        <v>2437</v>
      </c>
      <c r="V795" t="s">
        <v>2437</v>
      </c>
      <c r="Y795" t="s">
        <v>6948</v>
      </c>
      <c r="Z795" t="s">
        <v>6949</v>
      </c>
      <c r="AA795" t="s">
        <v>6950</v>
      </c>
      <c r="AB795" t="s">
        <v>6951</v>
      </c>
      <c r="AC795" t="s">
        <v>6952</v>
      </c>
      <c r="AD795" t="s">
        <v>6953</v>
      </c>
      <c r="AE795" t="s">
        <v>6954</v>
      </c>
      <c r="AF795" t="s">
        <v>6955</v>
      </c>
      <c r="AG795" t="s">
        <v>6956</v>
      </c>
      <c r="AH795" t="s">
        <v>6957</v>
      </c>
      <c r="AI795" t="s">
        <v>6958</v>
      </c>
      <c r="AJ795" t="s">
        <v>6959</v>
      </c>
      <c r="AR795" t="s">
        <v>4284</v>
      </c>
    </row>
    <row r="796" spans="1:44">
      <c r="A796">
        <v>11131332</v>
      </c>
      <c r="B796" t="s">
        <v>890</v>
      </c>
      <c r="C796" t="s">
        <v>1000</v>
      </c>
      <c r="D796" t="s">
        <v>2031</v>
      </c>
      <c r="E796" t="s">
        <v>1514</v>
      </c>
      <c r="F796" t="s">
        <v>1515</v>
      </c>
      <c r="G796" t="s">
        <v>36</v>
      </c>
      <c r="H796" t="s">
        <v>2371</v>
      </c>
      <c r="I796" t="s">
        <v>4542</v>
      </c>
      <c r="J796" t="s">
        <v>2541</v>
      </c>
      <c r="K796" t="s">
        <v>2542</v>
      </c>
      <c r="M796">
        <v>50</v>
      </c>
      <c r="N796">
        <v>70</v>
      </c>
      <c r="O796" t="s">
        <v>2437</v>
      </c>
      <c r="P796" t="s">
        <v>2437</v>
      </c>
      <c r="R796" t="s">
        <v>2437</v>
      </c>
      <c r="T796" t="s">
        <v>2437</v>
      </c>
      <c r="U796" t="s">
        <v>2437</v>
      </c>
      <c r="V796" t="s">
        <v>2437</v>
      </c>
      <c r="Y796" t="s">
        <v>6948</v>
      </c>
      <c r="Z796" t="s">
        <v>6949</v>
      </c>
      <c r="AA796" t="s">
        <v>6950</v>
      </c>
      <c r="AB796" t="s">
        <v>6951</v>
      </c>
      <c r="AC796" t="s">
        <v>6952</v>
      </c>
      <c r="AD796" t="s">
        <v>6953</v>
      </c>
      <c r="AE796" t="s">
        <v>6954</v>
      </c>
      <c r="AF796" t="s">
        <v>6955</v>
      </c>
      <c r="AG796" t="s">
        <v>6956</v>
      </c>
      <c r="AH796" t="s">
        <v>6957</v>
      </c>
      <c r="AI796" t="s">
        <v>6958</v>
      </c>
      <c r="AJ796" t="s">
        <v>6959</v>
      </c>
      <c r="AR796" t="s">
        <v>4284</v>
      </c>
    </row>
    <row r="797" spans="1:44">
      <c r="A797">
        <v>11131333</v>
      </c>
      <c r="B797" t="s">
        <v>891</v>
      </c>
      <c r="C797" t="s">
        <v>1110</v>
      </c>
      <c r="D797" t="s">
        <v>2031</v>
      </c>
      <c r="E797" t="s">
        <v>1514</v>
      </c>
      <c r="F797" t="s">
        <v>1515</v>
      </c>
      <c r="G797" t="s">
        <v>36</v>
      </c>
      <c r="H797" t="s">
        <v>2234</v>
      </c>
      <c r="I797" t="s">
        <v>4425</v>
      </c>
      <c r="J797" t="s">
        <v>2543</v>
      </c>
      <c r="K797" t="s">
        <v>2544</v>
      </c>
      <c r="M797">
        <v>50</v>
      </c>
      <c r="N797">
        <v>70</v>
      </c>
      <c r="O797" t="s">
        <v>2437</v>
      </c>
      <c r="P797" t="s">
        <v>2437</v>
      </c>
      <c r="R797" t="s">
        <v>2437</v>
      </c>
      <c r="T797" t="s">
        <v>2437</v>
      </c>
      <c r="U797" t="s">
        <v>2437</v>
      </c>
      <c r="V797" t="s">
        <v>2437</v>
      </c>
      <c r="Y797" t="s">
        <v>6948</v>
      </c>
      <c r="Z797" t="s">
        <v>6949</v>
      </c>
      <c r="AA797" t="s">
        <v>6950</v>
      </c>
      <c r="AB797" t="s">
        <v>6951</v>
      </c>
      <c r="AC797" t="s">
        <v>6952</v>
      </c>
      <c r="AD797" t="s">
        <v>6953</v>
      </c>
      <c r="AE797" t="s">
        <v>6954</v>
      </c>
      <c r="AF797" t="s">
        <v>6955</v>
      </c>
      <c r="AG797" t="s">
        <v>6956</v>
      </c>
      <c r="AH797" t="s">
        <v>6957</v>
      </c>
      <c r="AI797" t="s">
        <v>6958</v>
      </c>
      <c r="AJ797" t="s">
        <v>6959</v>
      </c>
      <c r="AR797" t="s">
        <v>4284</v>
      </c>
    </row>
    <row r="798" spans="1:44">
      <c r="A798">
        <v>11131334</v>
      </c>
      <c r="B798" t="s">
        <v>892</v>
      </c>
      <c r="C798" t="s">
        <v>1144</v>
      </c>
      <c r="D798" t="s">
        <v>2032</v>
      </c>
      <c r="E798" t="s">
        <v>1516</v>
      </c>
      <c r="F798" t="s">
        <v>1517</v>
      </c>
      <c r="G798" t="s">
        <v>1518</v>
      </c>
      <c r="H798" t="s">
        <v>2214</v>
      </c>
      <c r="I798" t="s">
        <v>4407</v>
      </c>
      <c r="J798" t="s">
        <v>2545</v>
      </c>
      <c r="K798" t="s">
        <v>2546</v>
      </c>
      <c r="M798">
        <v>50</v>
      </c>
      <c r="N798">
        <v>70</v>
      </c>
      <c r="O798" t="s">
        <v>2437</v>
      </c>
      <c r="P798" t="s">
        <v>2437</v>
      </c>
      <c r="R798" t="s">
        <v>2437</v>
      </c>
      <c r="T798" t="s">
        <v>2437</v>
      </c>
      <c r="U798" t="s">
        <v>2437</v>
      </c>
      <c r="V798" t="s">
        <v>2437</v>
      </c>
      <c r="Y798" t="s">
        <v>6948</v>
      </c>
      <c r="Z798" t="s">
        <v>6949</v>
      </c>
      <c r="AA798" t="s">
        <v>6950</v>
      </c>
      <c r="AB798" t="s">
        <v>6951</v>
      </c>
      <c r="AC798" t="s">
        <v>6952</v>
      </c>
      <c r="AD798" t="s">
        <v>6953</v>
      </c>
      <c r="AE798" t="s">
        <v>6954</v>
      </c>
      <c r="AF798" t="s">
        <v>6955</v>
      </c>
      <c r="AG798" t="s">
        <v>6956</v>
      </c>
      <c r="AH798" t="s">
        <v>6957</v>
      </c>
      <c r="AI798" t="s">
        <v>6958</v>
      </c>
      <c r="AJ798" t="s">
        <v>6959</v>
      </c>
      <c r="AR798" t="s">
        <v>4284</v>
      </c>
    </row>
    <row r="799" spans="1:44">
      <c r="A799">
        <v>11131335</v>
      </c>
      <c r="B799" t="s">
        <v>893</v>
      </c>
      <c r="C799" t="s">
        <v>1143</v>
      </c>
      <c r="D799" t="s">
        <v>2032</v>
      </c>
      <c r="E799" t="s">
        <v>1516</v>
      </c>
      <c r="F799" t="s">
        <v>1517</v>
      </c>
      <c r="G799" t="s">
        <v>1518</v>
      </c>
      <c r="H799" t="s">
        <v>2213</v>
      </c>
      <c r="I799" t="s">
        <v>4371</v>
      </c>
      <c r="J799" t="s">
        <v>2547</v>
      </c>
      <c r="K799" t="s">
        <v>2548</v>
      </c>
      <c r="M799">
        <v>50</v>
      </c>
      <c r="N799">
        <v>70</v>
      </c>
      <c r="O799" t="s">
        <v>2437</v>
      </c>
      <c r="P799" t="s">
        <v>2437</v>
      </c>
      <c r="R799" t="s">
        <v>2437</v>
      </c>
      <c r="T799" t="s">
        <v>2437</v>
      </c>
      <c r="U799" t="s">
        <v>2437</v>
      </c>
      <c r="V799" t="s">
        <v>2437</v>
      </c>
      <c r="Y799" t="s">
        <v>6948</v>
      </c>
      <c r="Z799" t="s">
        <v>6949</v>
      </c>
      <c r="AA799" t="s">
        <v>6950</v>
      </c>
      <c r="AB799" t="s">
        <v>6951</v>
      </c>
      <c r="AC799" t="s">
        <v>6952</v>
      </c>
      <c r="AD799" t="s">
        <v>6953</v>
      </c>
      <c r="AE799" t="s">
        <v>6954</v>
      </c>
      <c r="AF799" t="s">
        <v>6955</v>
      </c>
      <c r="AG799" t="s">
        <v>6956</v>
      </c>
      <c r="AH799" t="s">
        <v>6957</v>
      </c>
      <c r="AI799" t="s">
        <v>6958</v>
      </c>
      <c r="AJ799" t="s">
        <v>6959</v>
      </c>
      <c r="AR799" t="s">
        <v>4284</v>
      </c>
    </row>
    <row r="800" spans="1:44">
      <c r="A800">
        <v>11131336</v>
      </c>
      <c r="B800" t="s">
        <v>894</v>
      </c>
      <c r="C800" t="s">
        <v>1207</v>
      </c>
      <c r="D800" t="s">
        <v>2032</v>
      </c>
      <c r="E800" t="s">
        <v>1516</v>
      </c>
      <c r="F800" t="s">
        <v>1517</v>
      </c>
      <c r="G800" t="s">
        <v>1518</v>
      </c>
      <c r="H800" t="s">
        <v>2212</v>
      </c>
      <c r="I800" t="s">
        <v>4406</v>
      </c>
      <c r="J800" t="s">
        <v>2549</v>
      </c>
      <c r="K800" t="s">
        <v>2550</v>
      </c>
      <c r="M800">
        <v>50</v>
      </c>
      <c r="N800">
        <v>70</v>
      </c>
      <c r="O800" t="s">
        <v>2437</v>
      </c>
      <c r="P800" t="s">
        <v>2437</v>
      </c>
      <c r="R800" t="s">
        <v>2437</v>
      </c>
      <c r="T800" t="s">
        <v>2437</v>
      </c>
      <c r="U800" t="s">
        <v>2437</v>
      </c>
      <c r="V800" t="s">
        <v>2437</v>
      </c>
      <c r="Y800" t="s">
        <v>6948</v>
      </c>
      <c r="Z800" t="s">
        <v>6949</v>
      </c>
      <c r="AA800" t="s">
        <v>6950</v>
      </c>
      <c r="AB800" t="s">
        <v>6951</v>
      </c>
      <c r="AC800" t="s">
        <v>6952</v>
      </c>
      <c r="AD800" t="s">
        <v>6953</v>
      </c>
      <c r="AE800" t="s">
        <v>6954</v>
      </c>
      <c r="AF800" t="s">
        <v>6955</v>
      </c>
      <c r="AG800" t="s">
        <v>6956</v>
      </c>
      <c r="AH800" t="s">
        <v>6957</v>
      </c>
      <c r="AI800" t="s">
        <v>6958</v>
      </c>
      <c r="AJ800" t="s">
        <v>6959</v>
      </c>
      <c r="AR800" t="s">
        <v>4284</v>
      </c>
    </row>
    <row r="801" spans="1:44">
      <c r="A801">
        <v>11131337</v>
      </c>
      <c r="B801" t="s">
        <v>895</v>
      </c>
      <c r="C801" t="s">
        <v>1145</v>
      </c>
      <c r="D801" t="s">
        <v>2032</v>
      </c>
      <c r="E801" t="s">
        <v>1516</v>
      </c>
      <c r="F801" t="s">
        <v>1517</v>
      </c>
      <c r="G801" t="s">
        <v>1518</v>
      </c>
      <c r="H801" t="s">
        <v>2211</v>
      </c>
      <c r="I801" t="s">
        <v>4405</v>
      </c>
      <c r="J801" t="s">
        <v>2550</v>
      </c>
      <c r="K801" t="s">
        <v>2551</v>
      </c>
      <c r="M801">
        <v>50</v>
      </c>
      <c r="N801">
        <v>70</v>
      </c>
      <c r="O801" t="s">
        <v>2437</v>
      </c>
      <c r="P801" t="s">
        <v>2437</v>
      </c>
      <c r="R801" t="s">
        <v>2437</v>
      </c>
      <c r="T801" t="s">
        <v>2437</v>
      </c>
      <c r="U801" t="s">
        <v>2437</v>
      </c>
      <c r="V801" t="s">
        <v>2437</v>
      </c>
      <c r="Y801" t="s">
        <v>6948</v>
      </c>
      <c r="Z801" t="s">
        <v>6949</v>
      </c>
      <c r="AA801" t="s">
        <v>6950</v>
      </c>
      <c r="AB801" t="s">
        <v>6951</v>
      </c>
      <c r="AC801" t="s">
        <v>6952</v>
      </c>
      <c r="AD801" t="s">
        <v>6953</v>
      </c>
      <c r="AE801" t="s">
        <v>6954</v>
      </c>
      <c r="AF801" t="s">
        <v>6955</v>
      </c>
      <c r="AG801" t="s">
        <v>6956</v>
      </c>
      <c r="AH801" t="s">
        <v>6957</v>
      </c>
      <c r="AI801" t="s">
        <v>6958</v>
      </c>
      <c r="AJ801" t="s">
        <v>6959</v>
      </c>
      <c r="AR801" t="s">
        <v>4284</v>
      </c>
    </row>
    <row r="802" spans="1:44">
      <c r="A802">
        <v>11131338</v>
      </c>
      <c r="B802" t="s">
        <v>896</v>
      </c>
      <c r="C802" t="s">
        <v>1001</v>
      </c>
      <c r="D802" t="s">
        <v>2033</v>
      </c>
      <c r="E802" t="s">
        <v>1511</v>
      </c>
      <c r="F802" t="s">
        <v>1512</v>
      </c>
      <c r="G802" t="s">
        <v>1513</v>
      </c>
      <c r="H802" t="s">
        <v>2236</v>
      </c>
      <c r="I802" t="s">
        <v>4427</v>
      </c>
      <c r="J802" t="s">
        <v>2552</v>
      </c>
      <c r="K802" t="s">
        <v>2553</v>
      </c>
      <c r="M802">
        <v>50</v>
      </c>
      <c r="N802">
        <v>70</v>
      </c>
      <c r="O802" t="s">
        <v>2437</v>
      </c>
      <c r="P802" t="s">
        <v>2437</v>
      </c>
      <c r="R802" t="s">
        <v>2437</v>
      </c>
      <c r="T802" t="s">
        <v>2437</v>
      </c>
      <c r="U802" t="s">
        <v>2437</v>
      </c>
      <c r="V802" t="s">
        <v>2437</v>
      </c>
      <c r="Y802" t="s">
        <v>6948</v>
      </c>
      <c r="Z802" t="s">
        <v>6949</v>
      </c>
      <c r="AA802" t="s">
        <v>6950</v>
      </c>
      <c r="AB802" t="s">
        <v>6951</v>
      </c>
      <c r="AC802" t="s">
        <v>6952</v>
      </c>
      <c r="AD802" t="s">
        <v>6953</v>
      </c>
      <c r="AE802" t="s">
        <v>6954</v>
      </c>
      <c r="AF802" t="s">
        <v>6955</v>
      </c>
      <c r="AG802" t="s">
        <v>6956</v>
      </c>
      <c r="AH802" t="s">
        <v>6957</v>
      </c>
      <c r="AI802" t="s">
        <v>6958</v>
      </c>
      <c r="AJ802" t="s">
        <v>6959</v>
      </c>
      <c r="AR802" t="s">
        <v>4284</v>
      </c>
    </row>
    <row r="803" spans="1:44">
      <c r="A803">
        <v>11131339</v>
      </c>
      <c r="B803" t="s">
        <v>897</v>
      </c>
      <c r="C803" t="s">
        <v>1104</v>
      </c>
      <c r="D803" t="s">
        <v>2033</v>
      </c>
      <c r="E803" t="s">
        <v>1511</v>
      </c>
      <c r="F803" t="s">
        <v>1512</v>
      </c>
      <c r="G803" t="s">
        <v>1513</v>
      </c>
      <c r="H803" t="s">
        <v>2235</v>
      </c>
      <c r="I803" t="s">
        <v>4426</v>
      </c>
      <c r="J803" t="s">
        <v>2634</v>
      </c>
      <c r="K803" t="s">
        <v>2635</v>
      </c>
      <c r="M803">
        <v>50</v>
      </c>
      <c r="N803">
        <v>70</v>
      </c>
      <c r="O803" t="s">
        <v>2437</v>
      </c>
      <c r="P803" t="s">
        <v>2437</v>
      </c>
      <c r="R803" t="s">
        <v>2437</v>
      </c>
      <c r="T803" t="s">
        <v>2437</v>
      </c>
      <c r="U803" t="s">
        <v>2437</v>
      </c>
      <c r="V803" t="s">
        <v>2437</v>
      </c>
      <c r="Y803" t="s">
        <v>6948</v>
      </c>
      <c r="Z803" t="s">
        <v>6949</v>
      </c>
      <c r="AA803" t="s">
        <v>6950</v>
      </c>
      <c r="AB803" t="s">
        <v>6951</v>
      </c>
      <c r="AC803" t="s">
        <v>6952</v>
      </c>
      <c r="AD803" t="s">
        <v>6953</v>
      </c>
      <c r="AE803" t="s">
        <v>6954</v>
      </c>
      <c r="AF803" t="s">
        <v>6955</v>
      </c>
      <c r="AG803" t="s">
        <v>6956</v>
      </c>
      <c r="AH803" t="s">
        <v>6957</v>
      </c>
      <c r="AI803" t="s">
        <v>6958</v>
      </c>
      <c r="AJ803" t="s">
        <v>6959</v>
      </c>
      <c r="AR803" t="s">
        <v>4284</v>
      </c>
    </row>
    <row r="804" spans="1:44">
      <c r="A804">
        <v>11131340</v>
      </c>
      <c r="B804" t="s">
        <v>898</v>
      </c>
      <c r="C804" t="s">
        <v>999</v>
      </c>
      <c r="D804" t="s">
        <v>2033</v>
      </c>
      <c r="E804" t="s">
        <v>1511</v>
      </c>
      <c r="F804" t="s">
        <v>1512</v>
      </c>
      <c r="G804" t="s">
        <v>1513</v>
      </c>
      <c r="H804" t="s">
        <v>2238</v>
      </c>
      <c r="I804" t="s">
        <v>4429</v>
      </c>
      <c r="J804" t="s">
        <v>2539</v>
      </c>
      <c r="K804" t="s">
        <v>2540</v>
      </c>
      <c r="M804">
        <v>50</v>
      </c>
      <c r="N804">
        <v>70</v>
      </c>
      <c r="O804" t="s">
        <v>2437</v>
      </c>
      <c r="P804" t="s">
        <v>2437</v>
      </c>
      <c r="R804" t="s">
        <v>2437</v>
      </c>
      <c r="T804" t="s">
        <v>2437</v>
      </c>
      <c r="U804" t="s">
        <v>2437</v>
      </c>
      <c r="V804" t="s">
        <v>2437</v>
      </c>
      <c r="Y804" t="s">
        <v>6948</v>
      </c>
      <c r="Z804" t="s">
        <v>6949</v>
      </c>
      <c r="AA804" t="s">
        <v>6950</v>
      </c>
      <c r="AB804" t="s">
        <v>6951</v>
      </c>
      <c r="AC804" t="s">
        <v>6952</v>
      </c>
      <c r="AD804" t="s">
        <v>6953</v>
      </c>
      <c r="AE804" t="s">
        <v>6954</v>
      </c>
      <c r="AF804" t="s">
        <v>6955</v>
      </c>
      <c r="AG804" t="s">
        <v>6956</v>
      </c>
      <c r="AH804" t="s">
        <v>6957</v>
      </c>
      <c r="AI804" t="s">
        <v>6958</v>
      </c>
      <c r="AJ804" t="s">
        <v>6959</v>
      </c>
      <c r="AR804" t="s">
        <v>4284</v>
      </c>
    </row>
    <row r="805" spans="1:44">
      <c r="A805">
        <v>11131341</v>
      </c>
      <c r="B805" t="s">
        <v>899</v>
      </c>
      <c r="C805" t="s">
        <v>1002</v>
      </c>
      <c r="D805" t="s">
        <v>2033</v>
      </c>
      <c r="E805" t="s">
        <v>1511</v>
      </c>
      <c r="F805" t="s">
        <v>1512</v>
      </c>
      <c r="G805" t="s">
        <v>1513</v>
      </c>
      <c r="H805" t="s">
        <v>2237</v>
      </c>
      <c r="I805" t="s">
        <v>4428</v>
      </c>
      <c r="J805" t="s">
        <v>2554</v>
      </c>
      <c r="K805" t="s">
        <v>3862</v>
      </c>
      <c r="M805">
        <v>50</v>
      </c>
      <c r="N805">
        <v>70</v>
      </c>
      <c r="O805" t="s">
        <v>2437</v>
      </c>
      <c r="P805" t="s">
        <v>2437</v>
      </c>
      <c r="R805" t="s">
        <v>2437</v>
      </c>
      <c r="T805" t="s">
        <v>2437</v>
      </c>
      <c r="U805" t="s">
        <v>2437</v>
      </c>
      <c r="V805" t="s">
        <v>2437</v>
      </c>
      <c r="Y805" t="s">
        <v>6948</v>
      </c>
      <c r="Z805" t="s">
        <v>6949</v>
      </c>
      <c r="AA805" t="s">
        <v>6950</v>
      </c>
      <c r="AB805" t="s">
        <v>6951</v>
      </c>
      <c r="AC805" t="s">
        <v>6952</v>
      </c>
      <c r="AD805" t="s">
        <v>6953</v>
      </c>
      <c r="AE805" t="s">
        <v>6954</v>
      </c>
      <c r="AF805" t="s">
        <v>6955</v>
      </c>
      <c r="AG805" t="s">
        <v>6956</v>
      </c>
      <c r="AH805" t="s">
        <v>6957</v>
      </c>
      <c r="AI805" t="s">
        <v>6958</v>
      </c>
      <c r="AJ805" t="s">
        <v>6959</v>
      </c>
      <c r="AR805" t="s">
        <v>4284</v>
      </c>
    </row>
    <row r="806" spans="1:44">
      <c r="A806">
        <v>11131342</v>
      </c>
      <c r="B806" t="s">
        <v>900</v>
      </c>
      <c r="C806" t="s">
        <v>1095</v>
      </c>
      <c r="D806" t="s">
        <v>2034</v>
      </c>
      <c r="E806" t="s">
        <v>1918</v>
      </c>
      <c r="F806" t="s">
        <v>1496</v>
      </c>
      <c r="G806" t="s">
        <v>1497</v>
      </c>
      <c r="H806" t="s">
        <v>2321</v>
      </c>
      <c r="I806" t="s">
        <v>4365</v>
      </c>
      <c r="J806" t="s">
        <v>3501</v>
      </c>
      <c r="K806" t="s">
        <v>3502</v>
      </c>
      <c r="M806">
        <v>50</v>
      </c>
      <c r="N806">
        <v>70</v>
      </c>
      <c r="O806" t="s">
        <v>2437</v>
      </c>
      <c r="P806" t="s">
        <v>2437</v>
      </c>
      <c r="R806" t="s">
        <v>2437</v>
      </c>
      <c r="T806" t="s">
        <v>2437</v>
      </c>
      <c r="U806" t="s">
        <v>2437</v>
      </c>
      <c r="V806" t="s">
        <v>2437</v>
      </c>
      <c r="Y806" t="s">
        <v>6948</v>
      </c>
      <c r="Z806" t="s">
        <v>6949</v>
      </c>
      <c r="AA806" t="s">
        <v>6950</v>
      </c>
      <c r="AB806" t="s">
        <v>6951</v>
      </c>
      <c r="AC806" t="s">
        <v>6952</v>
      </c>
      <c r="AD806" t="s">
        <v>6953</v>
      </c>
      <c r="AE806" t="s">
        <v>6954</v>
      </c>
      <c r="AF806" t="s">
        <v>6955</v>
      </c>
      <c r="AG806" t="s">
        <v>6956</v>
      </c>
      <c r="AH806" t="s">
        <v>6957</v>
      </c>
      <c r="AI806" t="s">
        <v>6958</v>
      </c>
      <c r="AJ806" t="s">
        <v>6959</v>
      </c>
      <c r="AR806" t="s">
        <v>4284</v>
      </c>
    </row>
    <row r="807" spans="1:44">
      <c r="A807">
        <v>11131343</v>
      </c>
      <c r="B807" t="s">
        <v>901</v>
      </c>
      <c r="C807" t="s">
        <v>1096</v>
      </c>
      <c r="D807" t="s">
        <v>2035</v>
      </c>
      <c r="E807" t="s">
        <v>1920</v>
      </c>
      <c r="F807" t="s">
        <v>1496</v>
      </c>
      <c r="G807" t="s">
        <v>1497</v>
      </c>
      <c r="H807" t="s">
        <v>2322</v>
      </c>
      <c r="I807" t="s">
        <v>4366</v>
      </c>
      <c r="J807" t="s">
        <v>3503</v>
      </c>
      <c r="K807" t="s">
        <v>3504</v>
      </c>
      <c r="M807">
        <v>50</v>
      </c>
      <c r="N807">
        <v>70</v>
      </c>
      <c r="O807" t="s">
        <v>2437</v>
      </c>
      <c r="P807" t="s">
        <v>2437</v>
      </c>
      <c r="R807" t="s">
        <v>2437</v>
      </c>
      <c r="T807" t="s">
        <v>2437</v>
      </c>
      <c r="U807" t="s">
        <v>2437</v>
      </c>
      <c r="V807" t="s">
        <v>2437</v>
      </c>
      <c r="Y807" t="s">
        <v>6948</v>
      </c>
      <c r="Z807" t="s">
        <v>6949</v>
      </c>
      <c r="AA807" t="s">
        <v>6950</v>
      </c>
      <c r="AB807" t="s">
        <v>6951</v>
      </c>
      <c r="AC807" t="s">
        <v>6952</v>
      </c>
      <c r="AD807" t="s">
        <v>6953</v>
      </c>
      <c r="AE807" t="s">
        <v>6954</v>
      </c>
      <c r="AF807" t="s">
        <v>6955</v>
      </c>
      <c r="AG807" t="s">
        <v>6956</v>
      </c>
      <c r="AH807" t="s">
        <v>6957</v>
      </c>
      <c r="AI807" t="s">
        <v>6958</v>
      </c>
      <c r="AJ807" t="s">
        <v>6959</v>
      </c>
      <c r="AR807" t="s">
        <v>4284</v>
      </c>
    </row>
    <row r="808" spans="1:44">
      <c r="A808">
        <v>11131344</v>
      </c>
      <c r="B808" t="s">
        <v>902</v>
      </c>
      <c r="C808" t="s">
        <v>1097</v>
      </c>
      <c r="D808" t="s">
        <v>2036</v>
      </c>
      <c r="E808" t="s">
        <v>1922</v>
      </c>
      <c r="F808" t="s">
        <v>1496</v>
      </c>
      <c r="G808" t="s">
        <v>1497</v>
      </c>
      <c r="H808" t="s">
        <v>2367</v>
      </c>
      <c r="I808" t="s">
        <v>4327</v>
      </c>
      <c r="J808" t="s">
        <v>3505</v>
      </c>
      <c r="K808" t="s">
        <v>3506</v>
      </c>
      <c r="M808">
        <v>50</v>
      </c>
      <c r="N808">
        <v>70</v>
      </c>
      <c r="O808" t="s">
        <v>2437</v>
      </c>
      <c r="P808" t="s">
        <v>2437</v>
      </c>
      <c r="R808" t="s">
        <v>2437</v>
      </c>
      <c r="T808" t="s">
        <v>2437</v>
      </c>
      <c r="U808" t="s">
        <v>2437</v>
      </c>
      <c r="V808" t="s">
        <v>2437</v>
      </c>
      <c r="Y808" t="s">
        <v>6948</v>
      </c>
      <c r="Z808" t="s">
        <v>6949</v>
      </c>
      <c r="AA808" t="s">
        <v>6950</v>
      </c>
      <c r="AB808" t="s">
        <v>6951</v>
      </c>
      <c r="AC808" t="s">
        <v>6952</v>
      </c>
      <c r="AD808" t="s">
        <v>6953</v>
      </c>
      <c r="AE808" t="s">
        <v>6954</v>
      </c>
      <c r="AF808" t="s">
        <v>6955</v>
      </c>
      <c r="AG808" t="s">
        <v>6956</v>
      </c>
      <c r="AH808" t="s">
        <v>6957</v>
      </c>
      <c r="AI808" t="s">
        <v>6958</v>
      </c>
      <c r="AJ808" t="s">
        <v>6959</v>
      </c>
      <c r="AR808" t="s">
        <v>4284</v>
      </c>
    </row>
    <row r="809" spans="1:44">
      <c r="A809">
        <v>11131347</v>
      </c>
      <c r="B809" t="s">
        <v>903</v>
      </c>
      <c r="C809" t="s">
        <v>1102</v>
      </c>
      <c r="D809" t="s">
        <v>2037</v>
      </c>
      <c r="E809" t="s">
        <v>2038</v>
      </c>
      <c r="F809" t="s">
        <v>1496</v>
      </c>
      <c r="G809" t="s">
        <v>1497</v>
      </c>
      <c r="H809" t="s">
        <v>2374</v>
      </c>
      <c r="I809" t="s">
        <v>4593</v>
      </c>
      <c r="J809" t="s">
        <v>3863</v>
      </c>
      <c r="K809" t="s">
        <v>3864</v>
      </c>
      <c r="M809">
        <v>50</v>
      </c>
      <c r="N809">
        <v>70</v>
      </c>
      <c r="O809" t="s">
        <v>2437</v>
      </c>
      <c r="P809" t="s">
        <v>2437</v>
      </c>
      <c r="R809" t="s">
        <v>2437</v>
      </c>
      <c r="T809" t="s">
        <v>2437</v>
      </c>
      <c r="U809" t="s">
        <v>2437</v>
      </c>
      <c r="V809" t="s">
        <v>2437</v>
      </c>
      <c r="Y809" t="s">
        <v>6948</v>
      </c>
      <c r="Z809" t="s">
        <v>6949</v>
      </c>
      <c r="AA809" t="s">
        <v>6950</v>
      </c>
      <c r="AB809" t="s">
        <v>6951</v>
      </c>
      <c r="AC809" t="s">
        <v>6952</v>
      </c>
      <c r="AD809" t="s">
        <v>6953</v>
      </c>
      <c r="AE809" t="s">
        <v>6954</v>
      </c>
      <c r="AF809" t="s">
        <v>6955</v>
      </c>
      <c r="AG809" t="s">
        <v>6956</v>
      </c>
      <c r="AH809" t="s">
        <v>6957</v>
      </c>
      <c r="AI809" t="s">
        <v>6958</v>
      </c>
      <c r="AJ809" t="s">
        <v>6959</v>
      </c>
      <c r="AR809" t="s">
        <v>4284</v>
      </c>
    </row>
    <row r="810" spans="1:44">
      <c r="A810">
        <v>11131350</v>
      </c>
      <c r="B810" t="s">
        <v>904</v>
      </c>
      <c r="C810" t="s">
        <v>1103</v>
      </c>
      <c r="D810" t="s">
        <v>2037</v>
      </c>
      <c r="E810" t="s">
        <v>2038</v>
      </c>
      <c r="F810" t="s">
        <v>1496</v>
      </c>
      <c r="G810" t="s">
        <v>1497</v>
      </c>
      <c r="H810" t="s">
        <v>2370</v>
      </c>
      <c r="I810" t="s">
        <v>4367</v>
      </c>
      <c r="J810" t="s">
        <v>3865</v>
      </c>
      <c r="K810" t="s">
        <v>3866</v>
      </c>
      <c r="M810">
        <v>50</v>
      </c>
      <c r="N810">
        <v>70</v>
      </c>
      <c r="O810" t="s">
        <v>2437</v>
      </c>
      <c r="P810" t="s">
        <v>2437</v>
      </c>
      <c r="R810" t="s">
        <v>2437</v>
      </c>
      <c r="T810" t="s">
        <v>2437</v>
      </c>
      <c r="U810" t="s">
        <v>2437</v>
      </c>
      <c r="V810" t="s">
        <v>2437</v>
      </c>
      <c r="Y810" t="s">
        <v>6948</v>
      </c>
      <c r="Z810" t="s">
        <v>6949</v>
      </c>
      <c r="AA810" t="s">
        <v>6950</v>
      </c>
      <c r="AB810" t="s">
        <v>6951</v>
      </c>
      <c r="AC810" t="s">
        <v>6952</v>
      </c>
      <c r="AD810" t="s">
        <v>6953</v>
      </c>
      <c r="AE810" t="s">
        <v>6954</v>
      </c>
      <c r="AF810" t="s">
        <v>6955</v>
      </c>
      <c r="AG810" t="s">
        <v>6956</v>
      </c>
      <c r="AH810" t="s">
        <v>6957</v>
      </c>
      <c r="AI810" t="s">
        <v>6958</v>
      </c>
      <c r="AJ810" t="s">
        <v>6959</v>
      </c>
      <c r="AR810" t="s">
        <v>4284</v>
      </c>
    </row>
    <row r="811" spans="1:44">
      <c r="A811">
        <v>11127802</v>
      </c>
      <c r="B811" t="s">
        <v>905</v>
      </c>
      <c r="C811" t="s">
        <v>1243</v>
      </c>
      <c r="D811" t="s">
        <v>1974</v>
      </c>
      <c r="E811" t="s">
        <v>1975</v>
      </c>
      <c r="F811" t="s">
        <v>1712</v>
      </c>
      <c r="G811" t="s">
        <v>1713</v>
      </c>
      <c r="H811" t="s">
        <v>2299</v>
      </c>
      <c r="I811" t="s">
        <v>4485</v>
      </c>
      <c r="J811" t="s">
        <v>3867</v>
      </c>
      <c r="K811" t="s">
        <v>3868</v>
      </c>
      <c r="M811">
        <v>60</v>
      </c>
      <c r="N811">
        <v>70</v>
      </c>
      <c r="O811" t="s">
        <v>2437</v>
      </c>
      <c r="P811" t="s">
        <v>2437</v>
      </c>
      <c r="R811" t="s">
        <v>2437</v>
      </c>
      <c r="T811" t="s">
        <v>2437</v>
      </c>
      <c r="U811" t="s">
        <v>2437</v>
      </c>
      <c r="V811" t="s">
        <v>2437</v>
      </c>
      <c r="Y811" t="s">
        <v>6948</v>
      </c>
      <c r="Z811" t="s">
        <v>6949</v>
      </c>
      <c r="AA811" t="s">
        <v>6950</v>
      </c>
      <c r="AB811" t="s">
        <v>6951</v>
      </c>
      <c r="AC811" t="s">
        <v>6952</v>
      </c>
      <c r="AD811" t="s">
        <v>6953</v>
      </c>
      <c r="AE811" t="s">
        <v>6961</v>
      </c>
      <c r="AF811" t="s">
        <v>6962</v>
      </c>
      <c r="AG811" t="s">
        <v>6963</v>
      </c>
      <c r="AH811" t="s">
        <v>6964</v>
      </c>
      <c r="AI811" t="s">
        <v>6965</v>
      </c>
      <c r="AJ811" t="s">
        <v>6966</v>
      </c>
      <c r="AR811" t="s">
        <v>4284</v>
      </c>
    </row>
    <row r="812" spans="1:44">
      <c r="A812">
        <v>11127842</v>
      </c>
      <c r="B812" t="s">
        <v>906</v>
      </c>
      <c r="C812" t="s">
        <v>1447</v>
      </c>
      <c r="D812" t="s">
        <v>2039</v>
      </c>
      <c r="E812" t="s">
        <v>2040</v>
      </c>
      <c r="F812" t="s">
        <v>2041</v>
      </c>
      <c r="G812" t="s">
        <v>2042</v>
      </c>
      <c r="H812" t="s">
        <v>2286</v>
      </c>
      <c r="I812" t="s">
        <v>4473</v>
      </c>
      <c r="J812" t="s">
        <v>3869</v>
      </c>
      <c r="K812" t="s">
        <v>3870</v>
      </c>
      <c r="M812">
        <v>50</v>
      </c>
      <c r="N812">
        <v>70</v>
      </c>
      <c r="O812" t="s">
        <v>2437</v>
      </c>
      <c r="P812" t="s">
        <v>2437</v>
      </c>
      <c r="R812" t="s">
        <v>2437</v>
      </c>
      <c r="T812" t="s">
        <v>2437</v>
      </c>
      <c r="U812" t="s">
        <v>2437</v>
      </c>
      <c r="V812" t="s">
        <v>2437</v>
      </c>
      <c r="Y812" t="s">
        <v>6948</v>
      </c>
      <c r="Z812" t="s">
        <v>6949</v>
      </c>
      <c r="AA812" t="s">
        <v>6950</v>
      </c>
      <c r="AB812" t="s">
        <v>6951</v>
      </c>
      <c r="AC812" t="s">
        <v>6952</v>
      </c>
      <c r="AD812" t="s">
        <v>6953</v>
      </c>
      <c r="AE812" t="s">
        <v>6954</v>
      </c>
      <c r="AF812" t="s">
        <v>6955</v>
      </c>
      <c r="AG812" t="s">
        <v>6956</v>
      </c>
      <c r="AH812" t="s">
        <v>6957</v>
      </c>
      <c r="AI812" t="s">
        <v>6958</v>
      </c>
      <c r="AJ812" t="s">
        <v>6959</v>
      </c>
      <c r="AR812" t="s">
        <v>4284</v>
      </c>
    </row>
    <row r="813" spans="1:44">
      <c r="A813">
        <v>11127843</v>
      </c>
      <c r="B813" t="s">
        <v>907</v>
      </c>
      <c r="C813" t="s">
        <v>1448</v>
      </c>
      <c r="D813" t="s">
        <v>2039</v>
      </c>
      <c r="E813" t="s">
        <v>2040</v>
      </c>
      <c r="F813" t="s">
        <v>2041</v>
      </c>
      <c r="G813" t="s">
        <v>2042</v>
      </c>
      <c r="H813" t="s">
        <v>2422</v>
      </c>
      <c r="I813" t="s">
        <v>4594</v>
      </c>
      <c r="J813" t="s">
        <v>3871</v>
      </c>
      <c r="K813" t="s">
        <v>3872</v>
      </c>
      <c r="M813">
        <v>50</v>
      </c>
      <c r="N813">
        <v>70</v>
      </c>
      <c r="O813" t="s">
        <v>2437</v>
      </c>
      <c r="P813" t="s">
        <v>2437</v>
      </c>
      <c r="R813" t="s">
        <v>2437</v>
      </c>
      <c r="T813" t="s">
        <v>2437</v>
      </c>
      <c r="U813" t="s">
        <v>2437</v>
      </c>
      <c r="V813" t="s">
        <v>2437</v>
      </c>
      <c r="Y813" t="s">
        <v>6948</v>
      </c>
      <c r="Z813" t="s">
        <v>6949</v>
      </c>
      <c r="AA813" t="s">
        <v>6950</v>
      </c>
      <c r="AB813" t="s">
        <v>6951</v>
      </c>
      <c r="AC813" t="s">
        <v>6952</v>
      </c>
      <c r="AD813" t="s">
        <v>6953</v>
      </c>
      <c r="AE813" t="s">
        <v>6954</v>
      </c>
      <c r="AF813" t="s">
        <v>6955</v>
      </c>
      <c r="AG813" t="s">
        <v>6956</v>
      </c>
      <c r="AH813" t="s">
        <v>6957</v>
      </c>
      <c r="AI813" t="s">
        <v>6958</v>
      </c>
      <c r="AJ813" t="s">
        <v>6959</v>
      </c>
      <c r="AR813" t="s">
        <v>4284</v>
      </c>
    </row>
    <row r="814" spans="1:44">
      <c r="A814">
        <v>11132446</v>
      </c>
      <c r="B814" t="s">
        <v>908</v>
      </c>
      <c r="C814" t="s">
        <v>1449</v>
      </c>
      <c r="D814" t="s">
        <v>2043</v>
      </c>
      <c r="E814" t="s">
        <v>2044</v>
      </c>
      <c r="F814" t="s">
        <v>2045</v>
      </c>
      <c r="G814" t="s">
        <v>2046</v>
      </c>
      <c r="H814" t="s">
        <v>2423</v>
      </c>
      <c r="I814" t="s">
        <v>4595</v>
      </c>
      <c r="J814" t="s">
        <v>3873</v>
      </c>
      <c r="K814" t="s">
        <v>3874</v>
      </c>
      <c r="M814" t="e">
        <v>#N/A</v>
      </c>
      <c r="N814" t="e">
        <v>#N/A</v>
      </c>
      <c r="O814" t="e">
        <v>#N/A</v>
      </c>
      <c r="P814" t="e">
        <v>#N/A</v>
      </c>
      <c r="R814" t="e">
        <v>#N/A</v>
      </c>
      <c r="T814" t="s">
        <v>2437</v>
      </c>
      <c r="U814" t="s">
        <v>2437</v>
      </c>
      <c r="V814" t="s">
        <v>2437</v>
      </c>
      <c r="Y814" t="s">
        <v>6948</v>
      </c>
      <c r="Z814" t="s">
        <v>6949</v>
      </c>
      <c r="AA814" t="s">
        <v>6950</v>
      </c>
      <c r="AB814" t="s">
        <v>6951</v>
      </c>
      <c r="AC814" t="s">
        <v>6952</v>
      </c>
      <c r="AD814" t="s">
        <v>6953</v>
      </c>
      <c r="AR814" t="s">
        <v>4284</v>
      </c>
    </row>
    <row r="815" spans="1:44">
      <c r="A815">
        <v>11103768</v>
      </c>
      <c r="B815" t="s">
        <v>909</v>
      </c>
      <c r="C815" t="s">
        <v>994</v>
      </c>
      <c r="D815" t="s">
        <v>1902</v>
      </c>
      <c r="E815" t="s">
        <v>1570</v>
      </c>
      <c r="F815" t="s">
        <v>1548</v>
      </c>
      <c r="G815" t="s">
        <v>1549</v>
      </c>
      <c r="H815" t="s">
        <v>2148</v>
      </c>
      <c r="I815" t="s">
        <v>4471</v>
      </c>
      <c r="J815" t="s">
        <v>2646</v>
      </c>
      <c r="K815" t="s">
        <v>2647</v>
      </c>
      <c r="M815">
        <v>50</v>
      </c>
      <c r="N815">
        <v>70</v>
      </c>
      <c r="O815" t="s">
        <v>2437</v>
      </c>
      <c r="P815" t="s">
        <v>2437</v>
      </c>
      <c r="R815" t="s">
        <v>2437</v>
      </c>
      <c r="T815" t="s">
        <v>89</v>
      </c>
      <c r="U815" t="s">
        <v>89</v>
      </c>
      <c r="V815" t="s">
        <v>89</v>
      </c>
      <c r="Y815" t="s">
        <v>6948</v>
      </c>
      <c r="Z815" t="s">
        <v>6949</v>
      </c>
      <c r="AA815" t="s">
        <v>6950</v>
      </c>
      <c r="AB815" t="s">
        <v>6951</v>
      </c>
      <c r="AC815" t="s">
        <v>6952</v>
      </c>
      <c r="AD815" t="s">
        <v>6953</v>
      </c>
      <c r="AE815" t="s">
        <v>6954</v>
      </c>
      <c r="AF815" t="s">
        <v>6955</v>
      </c>
      <c r="AG815" t="s">
        <v>6956</v>
      </c>
      <c r="AH815" t="s">
        <v>6957</v>
      </c>
      <c r="AI815" t="s">
        <v>6958</v>
      </c>
      <c r="AJ815" t="s">
        <v>6959</v>
      </c>
      <c r="AR815" t="s">
        <v>4284</v>
      </c>
    </row>
    <row r="816" spans="1:44">
      <c r="A816">
        <v>11126301</v>
      </c>
      <c r="B816" t="s">
        <v>910</v>
      </c>
      <c r="C816" t="s">
        <v>984</v>
      </c>
      <c r="D816" t="s">
        <v>1983</v>
      </c>
      <c r="E816" t="s">
        <v>1503</v>
      </c>
      <c r="F816" t="s">
        <v>1500</v>
      </c>
      <c r="G816" t="s">
        <v>1501</v>
      </c>
      <c r="H816" t="s">
        <v>2100</v>
      </c>
      <c r="I816" t="s">
        <v>4324</v>
      </c>
      <c r="J816" t="s">
        <v>3875</v>
      </c>
      <c r="K816" t="s">
        <v>3876</v>
      </c>
      <c r="M816" t="e">
        <v>#N/A</v>
      </c>
      <c r="N816" t="e">
        <v>#N/A</v>
      </c>
      <c r="O816" t="e">
        <v>#N/A</v>
      </c>
      <c r="P816" t="e">
        <v>#N/A</v>
      </c>
      <c r="R816" t="e">
        <v>#N/A</v>
      </c>
      <c r="T816" t="s">
        <v>2437</v>
      </c>
      <c r="U816" t="s">
        <v>2437</v>
      </c>
      <c r="V816" t="s">
        <v>2437</v>
      </c>
      <c r="Y816" t="s">
        <v>6948</v>
      </c>
      <c r="Z816" t="s">
        <v>6949</v>
      </c>
      <c r="AA816" t="s">
        <v>6950</v>
      </c>
      <c r="AB816" t="s">
        <v>6951</v>
      </c>
      <c r="AC816" t="s">
        <v>6952</v>
      </c>
      <c r="AD816" t="s">
        <v>6953</v>
      </c>
      <c r="AR816" t="s">
        <v>4284</v>
      </c>
    </row>
    <row r="817" spans="1:44">
      <c r="A817">
        <v>11132657</v>
      </c>
      <c r="B817" t="s">
        <v>911</v>
      </c>
      <c r="C817" t="s">
        <v>1139</v>
      </c>
      <c r="D817" t="s">
        <v>1774</v>
      </c>
      <c r="E817" t="s">
        <v>1545</v>
      </c>
      <c r="F817" t="s">
        <v>1775</v>
      </c>
      <c r="G817" t="s">
        <v>1776</v>
      </c>
      <c r="H817" t="s">
        <v>2199</v>
      </c>
      <c r="I817" t="s">
        <v>4355</v>
      </c>
      <c r="J817" t="s">
        <v>3877</v>
      </c>
      <c r="K817" t="s">
        <v>3878</v>
      </c>
      <c r="M817">
        <v>50</v>
      </c>
      <c r="N817">
        <v>70</v>
      </c>
      <c r="O817" t="s">
        <v>2437</v>
      </c>
      <c r="P817" t="s">
        <v>2437</v>
      </c>
      <c r="R817" t="s">
        <v>2437</v>
      </c>
      <c r="T817" t="s">
        <v>2437</v>
      </c>
      <c r="U817" t="s">
        <v>2437</v>
      </c>
      <c r="V817" t="s">
        <v>3879</v>
      </c>
      <c r="Y817" t="s">
        <v>6948</v>
      </c>
      <c r="Z817" t="s">
        <v>6949</v>
      </c>
      <c r="AA817" t="s">
        <v>6950</v>
      </c>
      <c r="AB817" t="s">
        <v>6951</v>
      </c>
      <c r="AC817" t="s">
        <v>6952</v>
      </c>
      <c r="AD817" t="s">
        <v>6953</v>
      </c>
      <c r="AE817" t="s">
        <v>6954</v>
      </c>
      <c r="AF817" t="s">
        <v>6955</v>
      </c>
      <c r="AG817" t="s">
        <v>6956</v>
      </c>
      <c r="AH817" t="s">
        <v>6957</v>
      </c>
      <c r="AI817" t="s">
        <v>6958</v>
      </c>
      <c r="AJ817" t="s">
        <v>6959</v>
      </c>
      <c r="AR817" t="s">
        <v>4284</v>
      </c>
    </row>
    <row r="818" spans="1:44">
      <c r="A818">
        <v>11132659</v>
      </c>
      <c r="B818" t="s">
        <v>912</v>
      </c>
      <c r="C818" t="s">
        <v>1155</v>
      </c>
      <c r="D818" t="s">
        <v>1926</v>
      </c>
      <c r="E818" t="s">
        <v>1927</v>
      </c>
      <c r="F818" t="s">
        <v>1852</v>
      </c>
      <c r="G818" t="s">
        <v>1853</v>
      </c>
      <c r="H818" t="s">
        <v>2193</v>
      </c>
      <c r="I818" t="s">
        <v>4391</v>
      </c>
      <c r="J818" t="s">
        <v>3880</v>
      </c>
      <c r="K818" t="s">
        <v>3881</v>
      </c>
      <c r="M818">
        <v>50</v>
      </c>
      <c r="N818">
        <v>70</v>
      </c>
      <c r="O818" t="s">
        <v>2437</v>
      </c>
      <c r="P818" t="s">
        <v>2437</v>
      </c>
      <c r="R818" t="s">
        <v>2437</v>
      </c>
      <c r="T818" t="s">
        <v>89</v>
      </c>
      <c r="U818" t="s">
        <v>89</v>
      </c>
      <c r="V818" t="s">
        <v>3879</v>
      </c>
      <c r="Y818" t="s">
        <v>6948</v>
      </c>
      <c r="Z818" t="s">
        <v>6949</v>
      </c>
      <c r="AA818" t="s">
        <v>6950</v>
      </c>
      <c r="AB818" t="s">
        <v>6951</v>
      </c>
      <c r="AC818" t="s">
        <v>6952</v>
      </c>
      <c r="AD818" t="s">
        <v>6953</v>
      </c>
      <c r="AE818" t="s">
        <v>6954</v>
      </c>
      <c r="AF818" t="s">
        <v>6955</v>
      </c>
      <c r="AG818" t="s">
        <v>6956</v>
      </c>
      <c r="AH818" t="s">
        <v>6957</v>
      </c>
      <c r="AI818" t="s">
        <v>6958</v>
      </c>
      <c r="AJ818" t="s">
        <v>6959</v>
      </c>
      <c r="AR818" t="s">
        <v>4284</v>
      </c>
    </row>
    <row r="819" spans="1:44">
      <c r="A819">
        <v>11127792</v>
      </c>
      <c r="B819" t="s">
        <v>913</v>
      </c>
      <c r="C819" t="s">
        <v>1450</v>
      </c>
      <c r="D819" t="s">
        <v>2047</v>
      </c>
      <c r="E819" t="s">
        <v>2048</v>
      </c>
      <c r="F819" t="s">
        <v>1883</v>
      </c>
      <c r="G819" t="s">
        <v>1884</v>
      </c>
      <c r="H819" t="s">
        <v>2204</v>
      </c>
      <c r="I819" t="s">
        <v>4398</v>
      </c>
      <c r="J819" t="s">
        <v>3882</v>
      </c>
      <c r="K819" t="s">
        <v>3883</v>
      </c>
      <c r="M819">
        <v>50</v>
      </c>
      <c r="N819">
        <v>70</v>
      </c>
      <c r="O819" t="s">
        <v>2437</v>
      </c>
      <c r="P819" t="s">
        <v>2437</v>
      </c>
      <c r="R819" t="s">
        <v>2437</v>
      </c>
      <c r="T819" t="s">
        <v>2437</v>
      </c>
      <c r="U819" t="s">
        <v>2437</v>
      </c>
      <c r="V819" t="s">
        <v>2437</v>
      </c>
      <c r="Y819" t="s">
        <v>6948</v>
      </c>
      <c r="Z819" t="s">
        <v>6949</v>
      </c>
      <c r="AA819" t="s">
        <v>6950</v>
      </c>
      <c r="AB819" t="s">
        <v>6951</v>
      </c>
      <c r="AC819" t="s">
        <v>6952</v>
      </c>
      <c r="AD819" t="s">
        <v>6953</v>
      </c>
      <c r="AE819" t="s">
        <v>6954</v>
      </c>
      <c r="AF819" t="s">
        <v>6955</v>
      </c>
      <c r="AG819" t="s">
        <v>6956</v>
      </c>
      <c r="AH819" t="s">
        <v>6957</v>
      </c>
      <c r="AI819" t="s">
        <v>6958</v>
      </c>
      <c r="AJ819" t="s">
        <v>6959</v>
      </c>
      <c r="AR819" t="s">
        <v>4284</v>
      </c>
    </row>
    <row r="820" spans="1:44">
      <c r="A820">
        <v>11127794</v>
      </c>
      <c r="B820" t="s">
        <v>914</v>
      </c>
      <c r="C820" t="s">
        <v>1451</v>
      </c>
      <c r="D820" t="s">
        <v>2049</v>
      </c>
      <c r="E820" t="s">
        <v>2050</v>
      </c>
      <c r="F820" t="s">
        <v>1879</v>
      </c>
      <c r="G820" t="s">
        <v>1880</v>
      </c>
      <c r="H820" t="s">
        <v>2195</v>
      </c>
      <c r="I820" t="s">
        <v>4393</v>
      </c>
      <c r="J820" t="s">
        <v>3884</v>
      </c>
      <c r="K820" t="s">
        <v>3885</v>
      </c>
      <c r="M820">
        <v>50</v>
      </c>
      <c r="N820">
        <v>70</v>
      </c>
      <c r="O820" t="s">
        <v>2437</v>
      </c>
      <c r="P820" t="s">
        <v>2437</v>
      </c>
      <c r="R820" t="s">
        <v>2437</v>
      </c>
      <c r="T820" t="s">
        <v>2437</v>
      </c>
      <c r="U820" t="s">
        <v>2437</v>
      </c>
      <c r="V820" t="s">
        <v>2437</v>
      </c>
      <c r="Y820" t="s">
        <v>6948</v>
      </c>
      <c r="Z820" t="s">
        <v>6949</v>
      </c>
      <c r="AA820" t="s">
        <v>6950</v>
      </c>
      <c r="AB820" t="s">
        <v>6951</v>
      </c>
      <c r="AC820" t="s">
        <v>6952</v>
      </c>
      <c r="AD820" t="s">
        <v>6953</v>
      </c>
      <c r="AE820" t="s">
        <v>6954</v>
      </c>
      <c r="AF820" t="s">
        <v>6955</v>
      </c>
      <c r="AG820" t="s">
        <v>6956</v>
      </c>
      <c r="AH820" t="s">
        <v>6957</v>
      </c>
      <c r="AI820" t="s">
        <v>6958</v>
      </c>
      <c r="AJ820" t="s">
        <v>6959</v>
      </c>
      <c r="AR820" t="s">
        <v>4284</v>
      </c>
    </row>
    <row r="821" spans="1:44">
      <c r="A821">
        <v>11133667</v>
      </c>
      <c r="B821" t="s">
        <v>915</v>
      </c>
      <c r="C821" t="s">
        <v>1452</v>
      </c>
      <c r="D821" t="s">
        <v>2051</v>
      </c>
      <c r="E821" t="s">
        <v>2052</v>
      </c>
      <c r="F821" t="s">
        <v>1550</v>
      </c>
      <c r="G821" t="s">
        <v>1551</v>
      </c>
      <c r="H821" t="s">
        <v>2143</v>
      </c>
      <c r="I821" t="s">
        <v>4417</v>
      </c>
      <c r="J821" t="s">
        <v>3886</v>
      </c>
      <c r="K821" t="s">
        <v>3887</v>
      </c>
      <c r="M821" t="e">
        <v>#N/A</v>
      </c>
      <c r="N821" t="e">
        <v>#N/A</v>
      </c>
      <c r="O821" t="e">
        <v>#N/A</v>
      </c>
      <c r="P821" t="e">
        <v>#N/A</v>
      </c>
      <c r="R821" t="e">
        <v>#N/A</v>
      </c>
      <c r="T821" t="s">
        <v>2437</v>
      </c>
      <c r="U821" t="s">
        <v>2437</v>
      </c>
      <c r="V821" t="s">
        <v>2437</v>
      </c>
      <c r="Y821" t="s">
        <v>6948</v>
      </c>
      <c r="Z821" t="s">
        <v>6949</v>
      </c>
      <c r="AA821" t="s">
        <v>6950</v>
      </c>
      <c r="AB821" t="s">
        <v>6951</v>
      </c>
      <c r="AC821" t="s">
        <v>6952</v>
      </c>
      <c r="AD821" t="s">
        <v>6953</v>
      </c>
      <c r="AR821" t="s">
        <v>4284</v>
      </c>
    </row>
    <row r="822" spans="1:44">
      <c r="A822">
        <v>11133668</v>
      </c>
      <c r="B822" t="s">
        <v>916</v>
      </c>
      <c r="C822" t="s">
        <v>1453</v>
      </c>
      <c r="D822" t="s">
        <v>2051</v>
      </c>
      <c r="E822" t="s">
        <v>2052</v>
      </c>
      <c r="F822" t="s">
        <v>1550</v>
      </c>
      <c r="G822" t="s">
        <v>1551</v>
      </c>
      <c r="H822" t="s">
        <v>2144</v>
      </c>
      <c r="I822" t="s">
        <v>4361</v>
      </c>
      <c r="J822" t="s">
        <v>3888</v>
      </c>
      <c r="K822" t="s">
        <v>3889</v>
      </c>
      <c r="M822" t="e">
        <v>#N/A</v>
      </c>
      <c r="N822" t="e">
        <v>#N/A</v>
      </c>
      <c r="O822" t="e">
        <v>#N/A</v>
      </c>
      <c r="P822" t="e">
        <v>#N/A</v>
      </c>
      <c r="R822" t="e">
        <v>#N/A</v>
      </c>
      <c r="T822" t="s">
        <v>2437</v>
      </c>
      <c r="U822" t="s">
        <v>2437</v>
      </c>
      <c r="V822" t="s">
        <v>2437</v>
      </c>
      <c r="Y822" t="s">
        <v>6948</v>
      </c>
      <c r="Z822" t="s">
        <v>6949</v>
      </c>
      <c r="AA822" t="s">
        <v>6950</v>
      </c>
      <c r="AB822" t="s">
        <v>6951</v>
      </c>
      <c r="AC822" t="s">
        <v>6952</v>
      </c>
      <c r="AD822" t="s">
        <v>6953</v>
      </c>
      <c r="AR822" t="s">
        <v>4284</v>
      </c>
    </row>
    <row r="823" spans="1:44">
      <c r="A823">
        <v>11132646</v>
      </c>
      <c r="B823" t="s">
        <v>917</v>
      </c>
      <c r="C823" t="s">
        <v>1095</v>
      </c>
      <c r="D823" t="s">
        <v>1923</v>
      </c>
      <c r="E823" t="s">
        <v>1555</v>
      </c>
      <c r="F823" t="s">
        <v>1496</v>
      </c>
      <c r="G823" t="s">
        <v>1497</v>
      </c>
      <c r="H823" t="s">
        <v>2321</v>
      </c>
      <c r="I823" t="s">
        <v>4365</v>
      </c>
      <c r="J823" t="s">
        <v>3890</v>
      </c>
      <c r="K823" t="s">
        <v>3891</v>
      </c>
      <c r="M823">
        <v>50</v>
      </c>
      <c r="N823">
        <v>70</v>
      </c>
      <c r="O823" t="s">
        <v>2437</v>
      </c>
      <c r="P823" t="s">
        <v>2437</v>
      </c>
      <c r="R823" t="s">
        <v>2437</v>
      </c>
      <c r="T823" t="s">
        <v>2437</v>
      </c>
      <c r="U823" t="s">
        <v>2437</v>
      </c>
      <c r="V823" t="s">
        <v>3892</v>
      </c>
      <c r="Y823" t="s">
        <v>6948</v>
      </c>
      <c r="Z823" t="s">
        <v>6949</v>
      </c>
      <c r="AA823" t="s">
        <v>6950</v>
      </c>
      <c r="AB823" t="s">
        <v>6951</v>
      </c>
      <c r="AC823" t="s">
        <v>6952</v>
      </c>
      <c r="AD823" t="s">
        <v>6953</v>
      </c>
      <c r="AE823" t="s">
        <v>6954</v>
      </c>
      <c r="AF823" t="s">
        <v>6955</v>
      </c>
      <c r="AG823" t="s">
        <v>6956</v>
      </c>
      <c r="AH823" t="s">
        <v>6957</v>
      </c>
      <c r="AI823" t="s">
        <v>6958</v>
      </c>
      <c r="AJ823" t="s">
        <v>6959</v>
      </c>
      <c r="AR823" t="s">
        <v>4284</v>
      </c>
    </row>
    <row r="824" spans="1:44">
      <c r="A824">
        <v>11132649</v>
      </c>
      <c r="B824" t="s">
        <v>918</v>
      </c>
      <c r="C824" t="s">
        <v>1096</v>
      </c>
      <c r="D824" t="s">
        <v>1924</v>
      </c>
      <c r="E824" t="s">
        <v>1557</v>
      </c>
      <c r="F824" t="s">
        <v>1496</v>
      </c>
      <c r="G824" t="s">
        <v>1497</v>
      </c>
      <c r="H824" t="s">
        <v>2322</v>
      </c>
      <c r="I824" t="s">
        <v>4366</v>
      </c>
      <c r="J824" t="s">
        <v>3893</v>
      </c>
      <c r="K824" t="s">
        <v>3894</v>
      </c>
      <c r="M824">
        <v>50</v>
      </c>
      <c r="N824">
        <v>70</v>
      </c>
      <c r="O824" t="s">
        <v>2437</v>
      </c>
      <c r="P824" t="s">
        <v>2437</v>
      </c>
      <c r="R824" t="s">
        <v>2437</v>
      </c>
      <c r="T824" t="s">
        <v>2437</v>
      </c>
      <c r="U824" t="s">
        <v>2437</v>
      </c>
      <c r="V824" t="s">
        <v>3892</v>
      </c>
      <c r="Y824" t="s">
        <v>6948</v>
      </c>
      <c r="Z824" t="s">
        <v>6949</v>
      </c>
      <c r="AA824" t="s">
        <v>6950</v>
      </c>
      <c r="AB824" t="s">
        <v>6951</v>
      </c>
      <c r="AC824" t="s">
        <v>6952</v>
      </c>
      <c r="AD824" t="s">
        <v>6953</v>
      </c>
      <c r="AE824" t="s">
        <v>6954</v>
      </c>
      <c r="AF824" t="s">
        <v>6955</v>
      </c>
      <c r="AG824" t="s">
        <v>6956</v>
      </c>
      <c r="AH824" t="s">
        <v>6957</v>
      </c>
      <c r="AI824" t="s">
        <v>6958</v>
      </c>
      <c r="AJ824" t="s">
        <v>6959</v>
      </c>
      <c r="AR824" t="s">
        <v>4284</v>
      </c>
    </row>
    <row r="825" spans="1:44">
      <c r="A825">
        <v>11132652</v>
      </c>
      <c r="B825" t="s">
        <v>919</v>
      </c>
      <c r="C825" t="s">
        <v>1097</v>
      </c>
      <c r="D825" t="s">
        <v>1925</v>
      </c>
      <c r="E825" t="s">
        <v>1559</v>
      </c>
      <c r="F825" t="s">
        <v>1496</v>
      </c>
      <c r="G825" t="s">
        <v>1497</v>
      </c>
      <c r="H825" t="s">
        <v>2367</v>
      </c>
      <c r="I825" t="s">
        <v>4327</v>
      </c>
      <c r="J825" t="s">
        <v>3895</v>
      </c>
      <c r="K825" t="s">
        <v>3896</v>
      </c>
      <c r="M825">
        <v>50</v>
      </c>
      <c r="N825">
        <v>70</v>
      </c>
      <c r="O825" t="s">
        <v>2437</v>
      </c>
      <c r="P825" t="s">
        <v>2437</v>
      </c>
      <c r="R825" t="s">
        <v>2437</v>
      </c>
      <c r="T825" t="s">
        <v>2437</v>
      </c>
      <c r="U825" t="s">
        <v>2437</v>
      </c>
      <c r="V825" t="s">
        <v>3892</v>
      </c>
      <c r="Y825" t="s">
        <v>6948</v>
      </c>
      <c r="Z825" t="s">
        <v>6949</v>
      </c>
      <c r="AA825" t="s">
        <v>6950</v>
      </c>
      <c r="AB825" t="s">
        <v>6951</v>
      </c>
      <c r="AC825" t="s">
        <v>6952</v>
      </c>
      <c r="AD825" t="s">
        <v>6953</v>
      </c>
      <c r="AE825" t="s">
        <v>6954</v>
      </c>
      <c r="AF825" t="s">
        <v>6955</v>
      </c>
      <c r="AG825" t="s">
        <v>6956</v>
      </c>
      <c r="AH825" t="s">
        <v>6957</v>
      </c>
      <c r="AI825" t="s">
        <v>6958</v>
      </c>
      <c r="AJ825" t="s">
        <v>6959</v>
      </c>
      <c r="AR825" t="s">
        <v>4284</v>
      </c>
    </row>
    <row r="826" spans="1:44">
      <c r="A826">
        <v>11131220</v>
      </c>
      <c r="B826" t="s">
        <v>920</v>
      </c>
      <c r="C826" t="s">
        <v>1454</v>
      </c>
      <c r="D826" t="s">
        <v>2053</v>
      </c>
      <c r="E826" t="s">
        <v>2054</v>
      </c>
      <c r="F826" t="s">
        <v>2055</v>
      </c>
      <c r="G826" t="s">
        <v>2056</v>
      </c>
      <c r="H826" t="s">
        <v>2424</v>
      </c>
      <c r="I826" t="s">
        <v>4596</v>
      </c>
      <c r="J826" t="s">
        <v>3897</v>
      </c>
      <c r="K826" t="s">
        <v>3898</v>
      </c>
      <c r="M826">
        <v>60</v>
      </c>
      <c r="N826">
        <v>70</v>
      </c>
      <c r="O826" t="s">
        <v>2437</v>
      </c>
      <c r="P826" t="s">
        <v>2437</v>
      </c>
      <c r="R826" t="s">
        <v>2437</v>
      </c>
      <c r="T826" t="s">
        <v>2437</v>
      </c>
      <c r="U826" t="s">
        <v>2437</v>
      </c>
      <c r="V826" t="s">
        <v>2437</v>
      </c>
      <c r="Y826" t="s">
        <v>6948</v>
      </c>
      <c r="Z826" t="s">
        <v>6949</v>
      </c>
      <c r="AA826" t="s">
        <v>6950</v>
      </c>
      <c r="AB826" t="s">
        <v>6951</v>
      </c>
      <c r="AC826" t="s">
        <v>6952</v>
      </c>
      <c r="AD826" t="s">
        <v>6953</v>
      </c>
      <c r="AE826" t="s">
        <v>6961</v>
      </c>
      <c r="AF826" t="s">
        <v>6962</v>
      </c>
      <c r="AG826" t="s">
        <v>6963</v>
      </c>
      <c r="AH826" t="s">
        <v>6964</v>
      </c>
      <c r="AI826" t="s">
        <v>6965</v>
      </c>
      <c r="AJ826" t="s">
        <v>6966</v>
      </c>
      <c r="AR826" t="s">
        <v>4284</v>
      </c>
    </row>
    <row r="827" spans="1:44">
      <c r="A827">
        <v>11131221</v>
      </c>
      <c r="B827" t="s">
        <v>921</v>
      </c>
      <c r="C827" t="s">
        <v>1455</v>
      </c>
      <c r="D827" t="s">
        <v>2053</v>
      </c>
      <c r="E827" t="s">
        <v>2054</v>
      </c>
      <c r="F827" t="s">
        <v>2055</v>
      </c>
      <c r="G827" t="s">
        <v>2056</v>
      </c>
      <c r="H827" t="s">
        <v>2425</v>
      </c>
      <c r="I827" t="s">
        <v>4597</v>
      </c>
      <c r="J827" t="s">
        <v>3899</v>
      </c>
      <c r="K827" t="s">
        <v>3900</v>
      </c>
      <c r="M827">
        <v>60</v>
      </c>
      <c r="N827">
        <v>70</v>
      </c>
      <c r="O827" t="s">
        <v>2437</v>
      </c>
      <c r="P827" t="s">
        <v>2437</v>
      </c>
      <c r="R827" t="s">
        <v>2437</v>
      </c>
      <c r="T827" t="s">
        <v>2437</v>
      </c>
      <c r="U827" t="s">
        <v>2437</v>
      </c>
      <c r="V827" t="s">
        <v>2437</v>
      </c>
      <c r="Y827" t="s">
        <v>6948</v>
      </c>
      <c r="Z827" t="s">
        <v>6949</v>
      </c>
      <c r="AA827" t="s">
        <v>6950</v>
      </c>
      <c r="AB827" t="s">
        <v>6951</v>
      </c>
      <c r="AC827" t="s">
        <v>6952</v>
      </c>
      <c r="AD827" t="s">
        <v>6953</v>
      </c>
      <c r="AE827" t="s">
        <v>6961</v>
      </c>
      <c r="AF827" t="s">
        <v>6962</v>
      </c>
      <c r="AG827" t="s">
        <v>6963</v>
      </c>
      <c r="AH827" t="s">
        <v>6964</v>
      </c>
      <c r="AI827" t="s">
        <v>6965</v>
      </c>
      <c r="AJ827" t="s">
        <v>6966</v>
      </c>
      <c r="AR827" t="s">
        <v>4284</v>
      </c>
    </row>
    <row r="828" spans="1:44">
      <c r="A828">
        <v>11131222</v>
      </c>
      <c r="B828" t="s">
        <v>922</v>
      </c>
      <c r="C828" t="s">
        <v>1456</v>
      </c>
      <c r="D828" t="s">
        <v>2053</v>
      </c>
      <c r="E828" t="s">
        <v>2054</v>
      </c>
      <c r="F828" t="s">
        <v>2055</v>
      </c>
      <c r="G828" t="s">
        <v>2056</v>
      </c>
      <c r="H828" t="s">
        <v>2426</v>
      </c>
      <c r="I828" t="s">
        <v>4598</v>
      </c>
      <c r="J828" t="s">
        <v>3901</v>
      </c>
      <c r="K828" t="s">
        <v>3902</v>
      </c>
      <c r="M828">
        <v>60</v>
      </c>
      <c r="N828">
        <v>70</v>
      </c>
      <c r="O828" t="s">
        <v>2437</v>
      </c>
      <c r="P828" t="s">
        <v>2437</v>
      </c>
      <c r="R828" t="s">
        <v>2437</v>
      </c>
      <c r="T828" t="s">
        <v>2437</v>
      </c>
      <c r="U828" t="s">
        <v>2437</v>
      </c>
      <c r="V828" t="s">
        <v>2437</v>
      </c>
      <c r="Y828" t="s">
        <v>6948</v>
      </c>
      <c r="Z828" t="s">
        <v>6949</v>
      </c>
      <c r="AA828" t="s">
        <v>6950</v>
      </c>
      <c r="AB828" t="s">
        <v>6951</v>
      </c>
      <c r="AC828" t="s">
        <v>6952</v>
      </c>
      <c r="AD828" t="s">
        <v>6953</v>
      </c>
      <c r="AE828" t="s">
        <v>6961</v>
      </c>
      <c r="AF828" t="s">
        <v>6962</v>
      </c>
      <c r="AG828" t="s">
        <v>6963</v>
      </c>
      <c r="AH828" t="s">
        <v>6964</v>
      </c>
      <c r="AI828" t="s">
        <v>6965</v>
      </c>
      <c r="AJ828" t="s">
        <v>6966</v>
      </c>
      <c r="AR828" t="s">
        <v>4284</v>
      </c>
    </row>
    <row r="829" spans="1:44">
      <c r="A829">
        <v>11131223</v>
      </c>
      <c r="B829" t="s">
        <v>923</v>
      </c>
      <c r="C829" t="s">
        <v>1457</v>
      </c>
      <c r="D829" t="s">
        <v>2053</v>
      </c>
      <c r="E829" t="s">
        <v>2054</v>
      </c>
      <c r="F829" t="s">
        <v>2055</v>
      </c>
      <c r="G829" t="s">
        <v>2056</v>
      </c>
      <c r="H829" t="s">
        <v>2427</v>
      </c>
      <c r="I829" t="s">
        <v>4599</v>
      </c>
      <c r="J829" t="s">
        <v>3903</v>
      </c>
      <c r="K829" t="s">
        <v>3904</v>
      </c>
      <c r="M829">
        <v>60</v>
      </c>
      <c r="N829">
        <v>70</v>
      </c>
      <c r="O829" t="s">
        <v>2437</v>
      </c>
      <c r="P829" t="s">
        <v>2437</v>
      </c>
      <c r="R829" t="s">
        <v>2437</v>
      </c>
      <c r="T829" t="s">
        <v>2437</v>
      </c>
      <c r="U829" t="s">
        <v>2437</v>
      </c>
      <c r="V829" t="s">
        <v>2437</v>
      </c>
      <c r="Y829" t="s">
        <v>6948</v>
      </c>
      <c r="Z829" t="s">
        <v>6949</v>
      </c>
      <c r="AA829" t="s">
        <v>6950</v>
      </c>
      <c r="AB829" t="s">
        <v>6951</v>
      </c>
      <c r="AC829" t="s">
        <v>6952</v>
      </c>
      <c r="AD829" t="s">
        <v>6953</v>
      </c>
      <c r="AE829" t="s">
        <v>6961</v>
      </c>
      <c r="AF829" t="s">
        <v>6962</v>
      </c>
      <c r="AG829" t="s">
        <v>6963</v>
      </c>
      <c r="AH829" t="s">
        <v>6964</v>
      </c>
      <c r="AI829" t="s">
        <v>6965</v>
      </c>
      <c r="AJ829" t="s">
        <v>6966</v>
      </c>
      <c r="AR829" t="s">
        <v>4284</v>
      </c>
    </row>
    <row r="830" spans="1:44">
      <c r="A830">
        <v>11131224</v>
      </c>
      <c r="B830" t="s">
        <v>924</v>
      </c>
      <c r="C830" t="s">
        <v>1458</v>
      </c>
      <c r="D830" t="s">
        <v>2053</v>
      </c>
      <c r="E830" t="s">
        <v>2054</v>
      </c>
      <c r="F830" t="s">
        <v>2055</v>
      </c>
      <c r="G830" t="s">
        <v>2056</v>
      </c>
      <c r="H830" t="s">
        <v>2428</v>
      </c>
      <c r="I830" t="s">
        <v>4600</v>
      </c>
      <c r="J830" t="s">
        <v>3905</v>
      </c>
      <c r="K830" t="s">
        <v>3906</v>
      </c>
      <c r="M830">
        <v>60</v>
      </c>
      <c r="N830">
        <v>70</v>
      </c>
      <c r="O830" t="s">
        <v>2437</v>
      </c>
      <c r="P830" t="s">
        <v>2437</v>
      </c>
      <c r="R830" t="s">
        <v>2437</v>
      </c>
      <c r="T830" t="s">
        <v>2437</v>
      </c>
      <c r="U830" t="s">
        <v>2437</v>
      </c>
      <c r="V830" t="s">
        <v>2437</v>
      </c>
      <c r="Y830" t="s">
        <v>6948</v>
      </c>
      <c r="Z830" t="s">
        <v>6949</v>
      </c>
      <c r="AA830" t="s">
        <v>6950</v>
      </c>
      <c r="AB830" t="s">
        <v>6951</v>
      </c>
      <c r="AC830" t="s">
        <v>6952</v>
      </c>
      <c r="AD830" t="s">
        <v>6953</v>
      </c>
      <c r="AE830" t="s">
        <v>6961</v>
      </c>
      <c r="AF830" t="s">
        <v>6962</v>
      </c>
      <c r="AG830" t="s">
        <v>6963</v>
      </c>
      <c r="AH830" t="s">
        <v>6964</v>
      </c>
      <c r="AI830" t="s">
        <v>6965</v>
      </c>
      <c r="AJ830" t="s">
        <v>6966</v>
      </c>
      <c r="AR830" t="s">
        <v>4284</v>
      </c>
    </row>
    <row r="831" spans="1:44">
      <c r="A831">
        <v>11131225</v>
      </c>
      <c r="B831" t="s">
        <v>925</v>
      </c>
      <c r="C831" t="s">
        <v>1459</v>
      </c>
      <c r="D831" t="s">
        <v>2053</v>
      </c>
      <c r="E831" t="s">
        <v>2054</v>
      </c>
      <c r="F831" t="s">
        <v>2055</v>
      </c>
      <c r="G831" t="s">
        <v>2056</v>
      </c>
      <c r="H831" t="s">
        <v>2429</v>
      </c>
      <c r="I831" t="s">
        <v>4601</v>
      </c>
      <c r="J831" t="s">
        <v>3907</v>
      </c>
      <c r="K831" t="s">
        <v>3908</v>
      </c>
      <c r="M831">
        <v>60</v>
      </c>
      <c r="N831">
        <v>70</v>
      </c>
      <c r="O831" t="s">
        <v>2437</v>
      </c>
      <c r="P831" t="s">
        <v>2437</v>
      </c>
      <c r="R831" t="s">
        <v>2437</v>
      </c>
      <c r="T831" t="s">
        <v>2437</v>
      </c>
      <c r="U831" t="s">
        <v>2437</v>
      </c>
      <c r="V831" t="s">
        <v>2437</v>
      </c>
      <c r="Y831" t="s">
        <v>6948</v>
      </c>
      <c r="Z831" t="s">
        <v>6949</v>
      </c>
      <c r="AA831" t="s">
        <v>6950</v>
      </c>
      <c r="AB831" t="s">
        <v>6951</v>
      </c>
      <c r="AC831" t="s">
        <v>6952</v>
      </c>
      <c r="AD831" t="s">
        <v>6953</v>
      </c>
      <c r="AE831" t="s">
        <v>6961</v>
      </c>
      <c r="AF831" t="s">
        <v>6962</v>
      </c>
      <c r="AG831" t="s">
        <v>6963</v>
      </c>
      <c r="AH831" t="s">
        <v>6964</v>
      </c>
      <c r="AI831" t="s">
        <v>6965</v>
      </c>
      <c r="AJ831" t="s">
        <v>6966</v>
      </c>
      <c r="AR831" t="s">
        <v>4284</v>
      </c>
    </row>
    <row r="832" spans="1:44">
      <c r="A832">
        <v>11132683</v>
      </c>
      <c r="B832" t="s">
        <v>926</v>
      </c>
      <c r="C832" t="s">
        <v>965</v>
      </c>
      <c r="D832" t="s">
        <v>1928</v>
      </c>
      <c r="E832" t="s">
        <v>1509</v>
      </c>
      <c r="F832" t="s">
        <v>1564</v>
      </c>
      <c r="G832" t="s">
        <v>1565</v>
      </c>
      <c r="H832" t="s">
        <v>2228</v>
      </c>
      <c r="I832" t="s">
        <v>4370</v>
      </c>
      <c r="J832" t="s">
        <v>3909</v>
      </c>
      <c r="K832" t="s">
        <v>3910</v>
      </c>
      <c r="M832">
        <v>50</v>
      </c>
      <c r="N832">
        <v>70</v>
      </c>
      <c r="O832" t="s">
        <v>2437</v>
      </c>
      <c r="P832" t="s">
        <v>2437</v>
      </c>
      <c r="R832" t="s">
        <v>2437</v>
      </c>
      <c r="T832" t="s">
        <v>89</v>
      </c>
      <c r="U832" t="s">
        <v>89</v>
      </c>
      <c r="V832" t="s">
        <v>3879</v>
      </c>
      <c r="Y832" t="s">
        <v>6948</v>
      </c>
      <c r="Z832" t="s">
        <v>6949</v>
      </c>
      <c r="AA832" t="s">
        <v>6950</v>
      </c>
      <c r="AB832" t="s">
        <v>6951</v>
      </c>
      <c r="AC832" t="s">
        <v>6952</v>
      </c>
      <c r="AD832" t="s">
        <v>6953</v>
      </c>
      <c r="AE832" t="s">
        <v>6954</v>
      </c>
      <c r="AF832" t="s">
        <v>6955</v>
      </c>
      <c r="AG832" t="s">
        <v>6956</v>
      </c>
      <c r="AH832" t="s">
        <v>6957</v>
      </c>
      <c r="AI832" t="s">
        <v>6958</v>
      </c>
      <c r="AJ832" t="s">
        <v>6959</v>
      </c>
      <c r="AR832" t="s">
        <v>4284</v>
      </c>
    </row>
    <row r="833" spans="1:44">
      <c r="A833">
        <v>11133705</v>
      </c>
      <c r="B833" t="s">
        <v>927</v>
      </c>
      <c r="C833" t="s">
        <v>1460</v>
      </c>
      <c r="D833" t="s">
        <v>2057</v>
      </c>
      <c r="E833" t="s">
        <v>2058</v>
      </c>
      <c r="F833" t="s">
        <v>1775</v>
      </c>
      <c r="G833" t="s">
        <v>1776</v>
      </c>
      <c r="H833" t="s">
        <v>2199</v>
      </c>
      <c r="I833" t="s">
        <v>4355</v>
      </c>
      <c r="J833" t="s">
        <v>3911</v>
      </c>
      <c r="K833" t="s">
        <v>3912</v>
      </c>
      <c r="M833" t="e">
        <v>#N/A</v>
      </c>
      <c r="N833" t="e">
        <v>#N/A</v>
      </c>
      <c r="O833" t="e">
        <v>#N/A</v>
      </c>
      <c r="P833" t="e">
        <v>#N/A</v>
      </c>
      <c r="R833" t="e">
        <v>#N/A</v>
      </c>
      <c r="T833" t="s">
        <v>2437</v>
      </c>
      <c r="U833" t="s">
        <v>2437</v>
      </c>
      <c r="V833" t="s">
        <v>2437</v>
      </c>
      <c r="Y833" t="s">
        <v>6948</v>
      </c>
      <c r="Z833" t="s">
        <v>6949</v>
      </c>
      <c r="AA833" t="s">
        <v>6950</v>
      </c>
      <c r="AB833" t="s">
        <v>6951</v>
      </c>
      <c r="AC833" t="s">
        <v>6952</v>
      </c>
      <c r="AD833" t="s">
        <v>6953</v>
      </c>
      <c r="AR833" t="s">
        <v>4284</v>
      </c>
    </row>
    <row r="834" spans="1:44">
      <c r="A834">
        <v>11133706</v>
      </c>
      <c r="B834" t="s">
        <v>928</v>
      </c>
      <c r="C834" t="s">
        <v>1461</v>
      </c>
      <c r="D834" t="s">
        <v>2059</v>
      </c>
      <c r="E834" t="s">
        <v>2060</v>
      </c>
      <c r="F834" t="s">
        <v>1845</v>
      </c>
      <c r="G834" t="s">
        <v>1846</v>
      </c>
      <c r="H834" t="s">
        <v>2197</v>
      </c>
      <c r="I834" t="s">
        <v>4354</v>
      </c>
      <c r="J834" t="s">
        <v>3913</v>
      </c>
      <c r="K834" t="s">
        <v>3914</v>
      </c>
      <c r="M834" t="e">
        <v>#N/A</v>
      </c>
      <c r="N834" t="e">
        <v>#N/A</v>
      </c>
      <c r="O834" t="e">
        <v>#N/A</v>
      </c>
      <c r="P834" t="e">
        <v>#N/A</v>
      </c>
      <c r="R834" t="e">
        <v>#N/A</v>
      </c>
      <c r="T834" t="s">
        <v>2437</v>
      </c>
      <c r="U834" t="s">
        <v>2437</v>
      </c>
      <c r="V834" t="s">
        <v>2437</v>
      </c>
      <c r="Y834" t="s">
        <v>6948</v>
      </c>
      <c r="Z834" t="s">
        <v>6949</v>
      </c>
      <c r="AA834" t="s">
        <v>6950</v>
      </c>
      <c r="AB834" t="s">
        <v>6951</v>
      </c>
      <c r="AC834" t="s">
        <v>6952</v>
      </c>
      <c r="AD834" t="s">
        <v>6953</v>
      </c>
      <c r="AR834" t="s">
        <v>4284</v>
      </c>
    </row>
    <row r="835" spans="1:44">
      <c r="A835">
        <v>11133707</v>
      </c>
      <c r="B835" t="s">
        <v>929</v>
      </c>
      <c r="C835" t="s">
        <v>1462</v>
      </c>
      <c r="D835" t="s">
        <v>2061</v>
      </c>
      <c r="E835" t="s">
        <v>2062</v>
      </c>
      <c r="F835" t="s">
        <v>1512</v>
      </c>
      <c r="G835" t="s">
        <v>1513</v>
      </c>
      <c r="H835" t="s">
        <v>2235</v>
      </c>
      <c r="I835" t="s">
        <v>4426</v>
      </c>
      <c r="J835" t="s">
        <v>3915</v>
      </c>
      <c r="K835" t="s">
        <v>3916</v>
      </c>
      <c r="M835" t="e">
        <v>#N/A</v>
      </c>
      <c r="N835" t="e">
        <v>#N/A</v>
      </c>
      <c r="O835" t="e">
        <v>#N/A</v>
      </c>
      <c r="P835" t="e">
        <v>#N/A</v>
      </c>
      <c r="R835" t="e">
        <v>#N/A</v>
      </c>
      <c r="T835" t="s">
        <v>2437</v>
      </c>
      <c r="U835" t="s">
        <v>2437</v>
      </c>
      <c r="V835" t="s">
        <v>2437</v>
      </c>
      <c r="Y835" t="s">
        <v>6948</v>
      </c>
      <c r="Z835" t="s">
        <v>6949</v>
      </c>
      <c r="AA835" t="s">
        <v>6950</v>
      </c>
      <c r="AB835" t="s">
        <v>6951</v>
      </c>
      <c r="AC835" t="s">
        <v>6952</v>
      </c>
      <c r="AD835" t="s">
        <v>6953</v>
      </c>
      <c r="AR835" t="s">
        <v>4284</v>
      </c>
    </row>
    <row r="836" spans="1:44">
      <c r="A836">
        <v>11133708</v>
      </c>
      <c r="B836" t="s">
        <v>930</v>
      </c>
      <c r="C836" t="s">
        <v>1463</v>
      </c>
      <c r="D836" t="s">
        <v>2063</v>
      </c>
      <c r="E836" t="s">
        <v>2064</v>
      </c>
      <c r="F836" t="s">
        <v>1515</v>
      </c>
      <c r="G836" t="s">
        <v>36</v>
      </c>
      <c r="H836" t="s">
        <v>37</v>
      </c>
      <c r="I836" t="s">
        <v>38</v>
      </c>
      <c r="J836" t="s">
        <v>3917</v>
      </c>
      <c r="K836" t="s">
        <v>3918</v>
      </c>
      <c r="M836" t="e">
        <v>#N/A</v>
      </c>
      <c r="N836" t="e">
        <v>#N/A</v>
      </c>
      <c r="O836" t="e">
        <v>#N/A</v>
      </c>
      <c r="P836" t="e">
        <v>#N/A</v>
      </c>
      <c r="R836" t="e">
        <v>#N/A</v>
      </c>
      <c r="T836" t="s">
        <v>2437</v>
      </c>
      <c r="U836" t="s">
        <v>2437</v>
      </c>
      <c r="V836" t="s">
        <v>2437</v>
      </c>
      <c r="Y836" t="s">
        <v>6948</v>
      </c>
      <c r="Z836" t="s">
        <v>6949</v>
      </c>
      <c r="AA836" t="s">
        <v>6950</v>
      </c>
      <c r="AB836" t="s">
        <v>6951</v>
      </c>
      <c r="AC836" t="s">
        <v>6952</v>
      </c>
      <c r="AD836" t="s">
        <v>6953</v>
      </c>
      <c r="AR836" t="s">
        <v>4284</v>
      </c>
    </row>
    <row r="837" spans="1:44">
      <c r="A837">
        <v>11133709</v>
      </c>
      <c r="B837" t="s">
        <v>931</v>
      </c>
      <c r="C837" t="s">
        <v>1464</v>
      </c>
      <c r="D837" t="s">
        <v>2065</v>
      </c>
      <c r="E837" t="s">
        <v>2066</v>
      </c>
      <c r="F837" t="s">
        <v>1548</v>
      </c>
      <c r="G837" t="s">
        <v>1549</v>
      </c>
      <c r="H837" t="s">
        <v>2139</v>
      </c>
      <c r="I837" t="s">
        <v>4330</v>
      </c>
      <c r="J837" t="s">
        <v>3919</v>
      </c>
      <c r="K837" t="s">
        <v>3920</v>
      </c>
      <c r="M837" t="e">
        <v>#N/A</v>
      </c>
      <c r="N837" t="e">
        <v>#N/A</v>
      </c>
      <c r="O837" t="e">
        <v>#N/A</v>
      </c>
      <c r="P837" t="e">
        <v>#N/A</v>
      </c>
      <c r="R837" t="e">
        <v>#N/A</v>
      </c>
      <c r="T837" t="s">
        <v>89</v>
      </c>
      <c r="U837" t="s">
        <v>89</v>
      </c>
      <c r="V837" t="s">
        <v>89</v>
      </c>
      <c r="Y837" t="s">
        <v>6948</v>
      </c>
      <c r="Z837" t="s">
        <v>6949</v>
      </c>
      <c r="AA837" t="s">
        <v>6950</v>
      </c>
      <c r="AB837" t="s">
        <v>6951</v>
      </c>
      <c r="AC837" t="s">
        <v>6952</v>
      </c>
      <c r="AD837" t="s">
        <v>6953</v>
      </c>
      <c r="AR837" t="s">
        <v>4284</v>
      </c>
    </row>
    <row r="838" spans="1:44">
      <c r="A838">
        <v>11133715</v>
      </c>
      <c r="B838" t="s">
        <v>932</v>
      </c>
      <c r="C838" t="s">
        <v>1465</v>
      </c>
      <c r="D838" t="s">
        <v>2067</v>
      </c>
      <c r="E838" t="s">
        <v>2068</v>
      </c>
      <c r="F838" t="s">
        <v>1852</v>
      </c>
      <c r="G838" t="s">
        <v>1853</v>
      </c>
      <c r="H838" t="s">
        <v>2193</v>
      </c>
      <c r="I838" t="s">
        <v>4391</v>
      </c>
      <c r="J838" t="s">
        <v>3921</v>
      </c>
      <c r="K838" t="s">
        <v>3922</v>
      </c>
      <c r="M838" t="e">
        <v>#N/A</v>
      </c>
      <c r="N838" t="e">
        <v>#N/A</v>
      </c>
      <c r="O838" t="e">
        <v>#N/A</v>
      </c>
      <c r="P838" t="e">
        <v>#N/A</v>
      </c>
      <c r="R838" t="e">
        <v>#N/A</v>
      </c>
      <c r="T838" t="s">
        <v>89</v>
      </c>
      <c r="U838" t="s">
        <v>89</v>
      </c>
      <c r="V838" t="s">
        <v>2437</v>
      </c>
      <c r="Y838" t="s">
        <v>6948</v>
      </c>
      <c r="Z838" t="s">
        <v>6949</v>
      </c>
      <c r="AA838" t="s">
        <v>6950</v>
      </c>
      <c r="AB838" t="s">
        <v>6951</v>
      </c>
      <c r="AC838" t="s">
        <v>6952</v>
      </c>
      <c r="AD838" t="s">
        <v>6953</v>
      </c>
      <c r="AR838" t="s">
        <v>4284</v>
      </c>
    </row>
    <row r="839" spans="1:44">
      <c r="A839">
        <v>11133716</v>
      </c>
      <c r="B839" t="s">
        <v>933</v>
      </c>
      <c r="C839" t="s">
        <v>1466</v>
      </c>
      <c r="D839" t="s">
        <v>2067</v>
      </c>
      <c r="E839" t="s">
        <v>2068</v>
      </c>
      <c r="F839" t="s">
        <v>1852</v>
      </c>
      <c r="G839" t="s">
        <v>1853</v>
      </c>
      <c r="H839" t="s">
        <v>2430</v>
      </c>
      <c r="I839" t="s">
        <v>4602</v>
      </c>
      <c r="J839" t="s">
        <v>3923</v>
      </c>
      <c r="K839" t="s">
        <v>3924</v>
      </c>
      <c r="M839" t="e">
        <v>#N/A</v>
      </c>
      <c r="N839" t="e">
        <v>#N/A</v>
      </c>
      <c r="O839" t="e">
        <v>#N/A</v>
      </c>
      <c r="P839" t="e">
        <v>#N/A</v>
      </c>
      <c r="R839" t="e">
        <v>#N/A</v>
      </c>
      <c r="T839" t="s">
        <v>89</v>
      </c>
      <c r="U839" t="s">
        <v>89</v>
      </c>
      <c r="V839" t="s">
        <v>2437</v>
      </c>
      <c r="Y839" t="s">
        <v>6948</v>
      </c>
      <c r="Z839" t="s">
        <v>6949</v>
      </c>
      <c r="AA839" t="s">
        <v>6950</v>
      </c>
      <c r="AB839" t="s">
        <v>6951</v>
      </c>
      <c r="AC839" t="s">
        <v>6952</v>
      </c>
      <c r="AD839" t="s">
        <v>6953</v>
      </c>
      <c r="AR839" t="s">
        <v>4284</v>
      </c>
    </row>
    <row r="840" spans="1:44">
      <c r="A840">
        <v>11103769</v>
      </c>
      <c r="B840" t="s">
        <v>934</v>
      </c>
      <c r="C840" t="s">
        <v>996</v>
      </c>
      <c r="D840" t="s">
        <v>1730</v>
      </c>
      <c r="E840" t="s">
        <v>1731</v>
      </c>
      <c r="F840" t="s">
        <v>1550</v>
      </c>
      <c r="G840" t="s">
        <v>1551</v>
      </c>
      <c r="H840" t="s">
        <v>2143</v>
      </c>
      <c r="I840" t="s">
        <v>4417</v>
      </c>
      <c r="J840" t="s">
        <v>3120</v>
      </c>
      <c r="K840" t="s">
        <v>3121</v>
      </c>
      <c r="M840">
        <v>50</v>
      </c>
      <c r="N840">
        <v>70</v>
      </c>
      <c r="O840" t="s">
        <v>2437</v>
      </c>
      <c r="P840" t="s">
        <v>2437</v>
      </c>
      <c r="R840" t="s">
        <v>2437</v>
      </c>
      <c r="T840" t="s">
        <v>2437</v>
      </c>
      <c r="U840" t="s">
        <v>2437</v>
      </c>
      <c r="V840" t="s">
        <v>2437</v>
      </c>
      <c r="Y840" t="s">
        <v>6948</v>
      </c>
      <c r="Z840" t="s">
        <v>6949</v>
      </c>
      <c r="AA840" t="s">
        <v>6950</v>
      </c>
      <c r="AB840" t="s">
        <v>6951</v>
      </c>
      <c r="AC840" t="s">
        <v>6952</v>
      </c>
      <c r="AD840" t="s">
        <v>6953</v>
      </c>
      <c r="AE840" t="s">
        <v>6954</v>
      </c>
      <c r="AF840" t="s">
        <v>6955</v>
      </c>
      <c r="AG840" t="s">
        <v>6956</v>
      </c>
      <c r="AH840" t="s">
        <v>6957</v>
      </c>
      <c r="AI840" t="s">
        <v>6958</v>
      </c>
      <c r="AJ840" t="s">
        <v>6959</v>
      </c>
      <c r="AR840" t="s">
        <v>4284</v>
      </c>
    </row>
    <row r="841" spans="1:44">
      <c r="A841">
        <v>11133733</v>
      </c>
      <c r="B841" t="s">
        <v>935</v>
      </c>
      <c r="C841" t="s">
        <v>1241</v>
      </c>
      <c r="D841" t="s">
        <v>2069</v>
      </c>
      <c r="E841" t="s">
        <v>1711</v>
      </c>
      <c r="F841" t="s">
        <v>1712</v>
      </c>
      <c r="G841" t="s">
        <v>1713</v>
      </c>
      <c r="H841" t="s">
        <v>2297</v>
      </c>
      <c r="I841" t="s">
        <v>4483</v>
      </c>
      <c r="J841" t="s">
        <v>3090</v>
      </c>
      <c r="K841" t="s">
        <v>3091</v>
      </c>
      <c r="M841">
        <v>60</v>
      </c>
      <c r="N841">
        <v>70</v>
      </c>
      <c r="O841" t="s">
        <v>2437</v>
      </c>
      <c r="P841" t="s">
        <v>2437</v>
      </c>
      <c r="R841" t="s">
        <v>2437</v>
      </c>
      <c r="T841" t="s">
        <v>2437</v>
      </c>
      <c r="U841" t="s">
        <v>2437</v>
      </c>
      <c r="V841" t="s">
        <v>2437</v>
      </c>
      <c r="Y841" t="s">
        <v>6948</v>
      </c>
      <c r="Z841" t="s">
        <v>6949</v>
      </c>
      <c r="AA841" t="s">
        <v>6950</v>
      </c>
      <c r="AB841" t="s">
        <v>6951</v>
      </c>
      <c r="AC841" t="s">
        <v>6952</v>
      </c>
      <c r="AD841" t="s">
        <v>6953</v>
      </c>
      <c r="AE841" t="s">
        <v>6961</v>
      </c>
      <c r="AF841" t="s">
        <v>6962</v>
      </c>
      <c r="AG841" t="s">
        <v>6963</v>
      </c>
      <c r="AH841" t="s">
        <v>6964</v>
      </c>
      <c r="AI841" t="s">
        <v>6965</v>
      </c>
      <c r="AJ841" t="s">
        <v>6966</v>
      </c>
      <c r="AR841" t="s">
        <v>4284</v>
      </c>
    </row>
    <row r="842" spans="1:44">
      <c r="A842">
        <v>11133734</v>
      </c>
      <c r="B842" t="s">
        <v>936</v>
      </c>
      <c r="C842" t="s">
        <v>1245</v>
      </c>
      <c r="D842" t="s">
        <v>2069</v>
      </c>
      <c r="E842" t="s">
        <v>1711</v>
      </c>
      <c r="F842" t="s">
        <v>1712</v>
      </c>
      <c r="G842" t="s">
        <v>1713</v>
      </c>
      <c r="H842" t="s">
        <v>2301</v>
      </c>
      <c r="I842" t="s">
        <v>4487</v>
      </c>
      <c r="J842" t="s">
        <v>3098</v>
      </c>
      <c r="K842" t="s">
        <v>3099</v>
      </c>
      <c r="M842">
        <v>60</v>
      </c>
      <c r="N842">
        <v>70</v>
      </c>
      <c r="O842" t="s">
        <v>2437</v>
      </c>
      <c r="P842" t="s">
        <v>2437</v>
      </c>
      <c r="R842" t="s">
        <v>2437</v>
      </c>
      <c r="T842" t="s">
        <v>2437</v>
      </c>
      <c r="U842" t="s">
        <v>2437</v>
      </c>
      <c r="V842" t="s">
        <v>2437</v>
      </c>
      <c r="Y842" t="s">
        <v>6948</v>
      </c>
      <c r="Z842" t="s">
        <v>6949</v>
      </c>
      <c r="AA842" t="s">
        <v>6950</v>
      </c>
      <c r="AB842" t="s">
        <v>6951</v>
      </c>
      <c r="AC842" t="s">
        <v>6952</v>
      </c>
      <c r="AD842" t="s">
        <v>6953</v>
      </c>
      <c r="AE842" t="s">
        <v>6961</v>
      </c>
      <c r="AF842" t="s">
        <v>6962</v>
      </c>
      <c r="AG842" t="s">
        <v>6963</v>
      </c>
      <c r="AH842" t="s">
        <v>6964</v>
      </c>
      <c r="AI842" t="s">
        <v>6965</v>
      </c>
      <c r="AJ842" t="s">
        <v>6966</v>
      </c>
      <c r="AR842" t="s">
        <v>4284</v>
      </c>
    </row>
    <row r="843" spans="1:44">
      <c r="A843">
        <v>11133735</v>
      </c>
      <c r="B843" t="s">
        <v>937</v>
      </c>
      <c r="C843" t="s">
        <v>1244</v>
      </c>
      <c r="D843" t="s">
        <v>2069</v>
      </c>
      <c r="E843" t="s">
        <v>1711</v>
      </c>
      <c r="F843" t="s">
        <v>1712</v>
      </c>
      <c r="G843" t="s">
        <v>1713</v>
      </c>
      <c r="H843" t="s">
        <v>2300</v>
      </c>
      <c r="I843" t="s">
        <v>4486</v>
      </c>
      <c r="J843" t="s">
        <v>3096</v>
      </c>
      <c r="K843" t="s">
        <v>3097</v>
      </c>
      <c r="M843">
        <v>60</v>
      </c>
      <c r="N843">
        <v>70</v>
      </c>
      <c r="O843" t="s">
        <v>2437</v>
      </c>
      <c r="P843" t="s">
        <v>2437</v>
      </c>
      <c r="R843" t="s">
        <v>2437</v>
      </c>
      <c r="T843" t="s">
        <v>2437</v>
      </c>
      <c r="U843" t="s">
        <v>2437</v>
      </c>
      <c r="V843" t="s">
        <v>2437</v>
      </c>
      <c r="Y843" t="s">
        <v>6948</v>
      </c>
      <c r="Z843" t="s">
        <v>6949</v>
      </c>
      <c r="AA843" t="s">
        <v>6950</v>
      </c>
      <c r="AB843" t="s">
        <v>6951</v>
      </c>
      <c r="AC843" t="s">
        <v>6952</v>
      </c>
      <c r="AD843" t="s">
        <v>6953</v>
      </c>
      <c r="AE843" t="s">
        <v>6961</v>
      </c>
      <c r="AF843" t="s">
        <v>6962</v>
      </c>
      <c r="AG843" t="s">
        <v>6963</v>
      </c>
      <c r="AH843" t="s">
        <v>6964</v>
      </c>
      <c r="AI843" t="s">
        <v>6965</v>
      </c>
      <c r="AJ843" t="s">
        <v>6966</v>
      </c>
      <c r="AR843" t="s">
        <v>4284</v>
      </c>
    </row>
    <row r="844" spans="1:44">
      <c r="A844">
        <v>11133736</v>
      </c>
      <c r="B844" t="s">
        <v>938</v>
      </c>
      <c r="C844" t="s">
        <v>1246</v>
      </c>
      <c r="D844" t="s">
        <v>2069</v>
      </c>
      <c r="E844" t="s">
        <v>1711</v>
      </c>
      <c r="F844" t="s">
        <v>1712</v>
      </c>
      <c r="G844" t="s">
        <v>1713</v>
      </c>
      <c r="H844" t="s">
        <v>2302</v>
      </c>
      <c r="I844" t="s">
        <v>4488</v>
      </c>
      <c r="J844" t="s">
        <v>3100</v>
      </c>
      <c r="K844" t="s">
        <v>3101</v>
      </c>
      <c r="M844">
        <v>60</v>
      </c>
      <c r="N844">
        <v>70</v>
      </c>
      <c r="O844" t="s">
        <v>2437</v>
      </c>
      <c r="P844" t="s">
        <v>2437</v>
      </c>
      <c r="R844" t="s">
        <v>2437</v>
      </c>
      <c r="T844" t="s">
        <v>2437</v>
      </c>
      <c r="U844" t="s">
        <v>2437</v>
      </c>
      <c r="V844" t="s">
        <v>2437</v>
      </c>
      <c r="Y844" t="s">
        <v>6948</v>
      </c>
      <c r="Z844" t="s">
        <v>6949</v>
      </c>
      <c r="AA844" t="s">
        <v>6950</v>
      </c>
      <c r="AB844" t="s">
        <v>6951</v>
      </c>
      <c r="AC844" t="s">
        <v>6952</v>
      </c>
      <c r="AD844" t="s">
        <v>6953</v>
      </c>
      <c r="AE844" t="s">
        <v>6961</v>
      </c>
      <c r="AF844" t="s">
        <v>6962</v>
      </c>
      <c r="AG844" t="s">
        <v>6963</v>
      </c>
      <c r="AH844" t="s">
        <v>6964</v>
      </c>
      <c r="AI844" t="s">
        <v>6965</v>
      </c>
      <c r="AJ844" t="s">
        <v>6966</v>
      </c>
      <c r="AR844" t="s">
        <v>4284</v>
      </c>
    </row>
    <row r="845" spans="1:44">
      <c r="A845">
        <v>11133737</v>
      </c>
      <c r="B845" t="s">
        <v>939</v>
      </c>
      <c r="C845" t="s">
        <v>1242</v>
      </c>
      <c r="D845" t="s">
        <v>2069</v>
      </c>
      <c r="E845" t="s">
        <v>1711</v>
      </c>
      <c r="F845" t="s">
        <v>1712</v>
      </c>
      <c r="G845" t="s">
        <v>1713</v>
      </c>
      <c r="H845" t="s">
        <v>2298</v>
      </c>
      <c r="I845" t="s">
        <v>4484</v>
      </c>
      <c r="J845" t="s">
        <v>3092</v>
      </c>
      <c r="K845" t="s">
        <v>3093</v>
      </c>
      <c r="M845">
        <v>60</v>
      </c>
      <c r="N845">
        <v>70</v>
      </c>
      <c r="O845" t="s">
        <v>2437</v>
      </c>
      <c r="P845" t="s">
        <v>2437</v>
      </c>
      <c r="R845" t="s">
        <v>2437</v>
      </c>
      <c r="T845" t="s">
        <v>2437</v>
      </c>
      <c r="U845" t="s">
        <v>2437</v>
      </c>
      <c r="V845" t="s">
        <v>2437</v>
      </c>
      <c r="Y845" t="s">
        <v>6948</v>
      </c>
      <c r="Z845" t="s">
        <v>6949</v>
      </c>
      <c r="AA845" t="s">
        <v>6950</v>
      </c>
      <c r="AB845" t="s">
        <v>6951</v>
      </c>
      <c r="AC845" t="s">
        <v>6952</v>
      </c>
      <c r="AD845" t="s">
        <v>6953</v>
      </c>
      <c r="AE845" t="s">
        <v>6961</v>
      </c>
      <c r="AF845" t="s">
        <v>6962</v>
      </c>
      <c r="AG845" t="s">
        <v>6963</v>
      </c>
      <c r="AH845" t="s">
        <v>6964</v>
      </c>
      <c r="AI845" t="s">
        <v>6965</v>
      </c>
      <c r="AJ845" t="s">
        <v>6966</v>
      </c>
      <c r="AR845" t="s">
        <v>4284</v>
      </c>
    </row>
    <row r="846" spans="1:44">
      <c r="A846">
        <v>11133738</v>
      </c>
      <c r="B846" t="s">
        <v>940</v>
      </c>
      <c r="C846" t="s">
        <v>1243</v>
      </c>
      <c r="D846" t="s">
        <v>2069</v>
      </c>
      <c r="E846" t="s">
        <v>1711</v>
      </c>
      <c r="F846" t="s">
        <v>1712</v>
      </c>
      <c r="G846" t="s">
        <v>1713</v>
      </c>
      <c r="H846" t="s">
        <v>2299</v>
      </c>
      <c r="I846" t="s">
        <v>4485</v>
      </c>
      <c r="J846" t="s">
        <v>3094</v>
      </c>
      <c r="K846" t="s">
        <v>3095</v>
      </c>
      <c r="M846">
        <v>60</v>
      </c>
      <c r="N846">
        <v>70</v>
      </c>
      <c r="O846" t="s">
        <v>2437</v>
      </c>
      <c r="P846" t="s">
        <v>2437</v>
      </c>
      <c r="R846" t="s">
        <v>2437</v>
      </c>
      <c r="T846" t="s">
        <v>2437</v>
      </c>
      <c r="U846" t="s">
        <v>2437</v>
      </c>
      <c r="V846" t="s">
        <v>2437</v>
      </c>
      <c r="Y846" t="s">
        <v>6948</v>
      </c>
      <c r="Z846" t="s">
        <v>6949</v>
      </c>
      <c r="AA846" t="s">
        <v>6950</v>
      </c>
      <c r="AB846" t="s">
        <v>6951</v>
      </c>
      <c r="AC846" t="s">
        <v>6952</v>
      </c>
      <c r="AD846" t="s">
        <v>6953</v>
      </c>
      <c r="AE846" t="s">
        <v>6961</v>
      </c>
      <c r="AF846" t="s">
        <v>6962</v>
      </c>
      <c r="AG846" t="s">
        <v>6963</v>
      </c>
      <c r="AH846" t="s">
        <v>6964</v>
      </c>
      <c r="AI846" t="s">
        <v>6965</v>
      </c>
      <c r="AJ846" t="s">
        <v>6966</v>
      </c>
      <c r="AR846" t="s">
        <v>4284</v>
      </c>
    </row>
    <row r="847" spans="1:44">
      <c r="A847">
        <v>11133739</v>
      </c>
      <c r="B847" t="s">
        <v>941</v>
      </c>
      <c r="C847" t="s">
        <v>1244</v>
      </c>
      <c r="D847" t="s">
        <v>2070</v>
      </c>
      <c r="E847" t="s">
        <v>1715</v>
      </c>
      <c r="F847" t="s">
        <v>1716</v>
      </c>
      <c r="G847" t="s">
        <v>1717</v>
      </c>
      <c r="H847" t="s">
        <v>2306</v>
      </c>
      <c r="I847" t="s">
        <v>4492</v>
      </c>
      <c r="J847" t="s">
        <v>3108</v>
      </c>
      <c r="K847" t="s">
        <v>3109</v>
      </c>
      <c r="M847">
        <v>60</v>
      </c>
      <c r="N847">
        <v>70</v>
      </c>
      <c r="O847" t="s">
        <v>2437</v>
      </c>
      <c r="P847" t="s">
        <v>2437</v>
      </c>
      <c r="R847" t="s">
        <v>2437</v>
      </c>
      <c r="T847" t="s">
        <v>2437</v>
      </c>
      <c r="U847" t="s">
        <v>2437</v>
      </c>
      <c r="V847" t="s">
        <v>2437</v>
      </c>
      <c r="Y847" t="s">
        <v>6948</v>
      </c>
      <c r="Z847" t="s">
        <v>6949</v>
      </c>
      <c r="AA847" t="s">
        <v>6950</v>
      </c>
      <c r="AB847" t="s">
        <v>6951</v>
      </c>
      <c r="AC847" t="s">
        <v>6952</v>
      </c>
      <c r="AD847" t="s">
        <v>6953</v>
      </c>
      <c r="AE847" t="s">
        <v>6961</v>
      </c>
      <c r="AF847" t="s">
        <v>6962</v>
      </c>
      <c r="AG847" t="s">
        <v>6963</v>
      </c>
      <c r="AH847" t="s">
        <v>6964</v>
      </c>
      <c r="AI847" t="s">
        <v>6965</v>
      </c>
      <c r="AJ847" t="s">
        <v>6966</v>
      </c>
      <c r="AR847" t="s">
        <v>4284</v>
      </c>
    </row>
    <row r="848" spans="1:44">
      <c r="A848">
        <v>11133740</v>
      </c>
      <c r="B848" t="s">
        <v>942</v>
      </c>
      <c r="C848" t="s">
        <v>1245</v>
      </c>
      <c r="D848" t="s">
        <v>2070</v>
      </c>
      <c r="E848" t="s">
        <v>1715</v>
      </c>
      <c r="F848" t="s">
        <v>1716</v>
      </c>
      <c r="G848" t="s">
        <v>1717</v>
      </c>
      <c r="H848" t="s">
        <v>2307</v>
      </c>
      <c r="I848" t="s">
        <v>4493</v>
      </c>
      <c r="J848" t="s">
        <v>3110</v>
      </c>
      <c r="K848" t="s">
        <v>3111</v>
      </c>
      <c r="M848">
        <v>60</v>
      </c>
      <c r="N848">
        <v>70</v>
      </c>
      <c r="O848" t="s">
        <v>2437</v>
      </c>
      <c r="P848" t="s">
        <v>2437</v>
      </c>
      <c r="R848" t="s">
        <v>2437</v>
      </c>
      <c r="T848" t="s">
        <v>2437</v>
      </c>
      <c r="U848" t="s">
        <v>2437</v>
      </c>
      <c r="V848" t="s">
        <v>2437</v>
      </c>
      <c r="Y848" t="s">
        <v>6948</v>
      </c>
      <c r="Z848" t="s">
        <v>6949</v>
      </c>
      <c r="AA848" t="s">
        <v>6950</v>
      </c>
      <c r="AB848" t="s">
        <v>6951</v>
      </c>
      <c r="AC848" t="s">
        <v>6952</v>
      </c>
      <c r="AD848" t="s">
        <v>6953</v>
      </c>
      <c r="AE848" t="s">
        <v>6961</v>
      </c>
      <c r="AF848" t="s">
        <v>6962</v>
      </c>
      <c r="AG848" t="s">
        <v>6963</v>
      </c>
      <c r="AH848" t="s">
        <v>6964</v>
      </c>
      <c r="AI848" t="s">
        <v>6965</v>
      </c>
      <c r="AJ848" t="s">
        <v>6966</v>
      </c>
      <c r="AR848" t="s">
        <v>4284</v>
      </c>
    </row>
    <row r="849" spans="1:44">
      <c r="A849">
        <v>11133741</v>
      </c>
      <c r="B849" t="s">
        <v>943</v>
      </c>
      <c r="C849" t="s">
        <v>1241</v>
      </c>
      <c r="D849" t="s">
        <v>2070</v>
      </c>
      <c r="E849" t="s">
        <v>1715</v>
      </c>
      <c r="F849" t="s">
        <v>1716</v>
      </c>
      <c r="G849" t="s">
        <v>1717</v>
      </c>
      <c r="H849" t="s">
        <v>2303</v>
      </c>
      <c r="I849" t="s">
        <v>4489</v>
      </c>
      <c r="J849" t="s">
        <v>3102</v>
      </c>
      <c r="K849" t="s">
        <v>3103</v>
      </c>
      <c r="M849">
        <v>60</v>
      </c>
      <c r="N849">
        <v>70</v>
      </c>
      <c r="O849" t="s">
        <v>2437</v>
      </c>
      <c r="P849" t="s">
        <v>2437</v>
      </c>
      <c r="R849" t="s">
        <v>2437</v>
      </c>
      <c r="T849" t="s">
        <v>2437</v>
      </c>
      <c r="U849" t="s">
        <v>2437</v>
      </c>
      <c r="V849" t="s">
        <v>2437</v>
      </c>
      <c r="Y849" t="s">
        <v>6948</v>
      </c>
      <c r="Z849" t="s">
        <v>6949</v>
      </c>
      <c r="AA849" t="s">
        <v>6950</v>
      </c>
      <c r="AB849" t="s">
        <v>6951</v>
      </c>
      <c r="AC849" t="s">
        <v>6952</v>
      </c>
      <c r="AD849" t="s">
        <v>6953</v>
      </c>
      <c r="AE849" t="s">
        <v>6961</v>
      </c>
      <c r="AF849" t="s">
        <v>6962</v>
      </c>
      <c r="AG849" t="s">
        <v>6963</v>
      </c>
      <c r="AH849" t="s">
        <v>6964</v>
      </c>
      <c r="AI849" t="s">
        <v>6965</v>
      </c>
      <c r="AJ849" t="s">
        <v>6966</v>
      </c>
      <c r="AR849" t="s">
        <v>4284</v>
      </c>
    </row>
    <row r="850" spans="1:44">
      <c r="A850">
        <v>11133742</v>
      </c>
      <c r="B850" t="s">
        <v>944</v>
      </c>
      <c r="C850" t="s">
        <v>1246</v>
      </c>
      <c r="D850" t="s">
        <v>2070</v>
      </c>
      <c r="E850" t="s">
        <v>1715</v>
      </c>
      <c r="F850" t="s">
        <v>1716</v>
      </c>
      <c r="G850" t="s">
        <v>1717</v>
      </c>
      <c r="H850" t="s">
        <v>2308</v>
      </c>
      <c r="I850" t="s">
        <v>4494</v>
      </c>
      <c r="J850" t="s">
        <v>3112</v>
      </c>
      <c r="K850" t="s">
        <v>3113</v>
      </c>
      <c r="M850">
        <v>60</v>
      </c>
      <c r="N850">
        <v>70</v>
      </c>
      <c r="O850" t="s">
        <v>2437</v>
      </c>
      <c r="P850" t="s">
        <v>2437</v>
      </c>
      <c r="R850" t="s">
        <v>2437</v>
      </c>
      <c r="T850" t="s">
        <v>2437</v>
      </c>
      <c r="U850" t="s">
        <v>2437</v>
      </c>
      <c r="V850" t="s">
        <v>2437</v>
      </c>
      <c r="Y850" t="s">
        <v>6948</v>
      </c>
      <c r="Z850" t="s">
        <v>6949</v>
      </c>
      <c r="AA850" t="s">
        <v>6950</v>
      </c>
      <c r="AB850" t="s">
        <v>6951</v>
      </c>
      <c r="AC850" t="s">
        <v>6952</v>
      </c>
      <c r="AD850" t="s">
        <v>6953</v>
      </c>
      <c r="AE850" t="s">
        <v>6961</v>
      </c>
      <c r="AF850" t="s">
        <v>6962</v>
      </c>
      <c r="AG850" t="s">
        <v>6963</v>
      </c>
      <c r="AH850" t="s">
        <v>6964</v>
      </c>
      <c r="AI850" t="s">
        <v>6965</v>
      </c>
      <c r="AJ850" t="s">
        <v>6966</v>
      </c>
      <c r="AR850" t="s">
        <v>4284</v>
      </c>
    </row>
    <row r="851" spans="1:44">
      <c r="A851">
        <v>11133743</v>
      </c>
      <c r="B851" t="s">
        <v>945</v>
      </c>
      <c r="C851" t="s">
        <v>1242</v>
      </c>
      <c r="D851" t="s">
        <v>2070</v>
      </c>
      <c r="E851" t="s">
        <v>1715</v>
      </c>
      <c r="F851" t="s">
        <v>1716</v>
      </c>
      <c r="G851" t="s">
        <v>1717</v>
      </c>
      <c r="H851" t="s">
        <v>2304</v>
      </c>
      <c r="I851" t="s">
        <v>4490</v>
      </c>
      <c r="J851" t="s">
        <v>3104</v>
      </c>
      <c r="K851" t="s">
        <v>3105</v>
      </c>
      <c r="M851">
        <v>60</v>
      </c>
      <c r="N851">
        <v>70</v>
      </c>
      <c r="O851" t="s">
        <v>2437</v>
      </c>
      <c r="P851" t="s">
        <v>2437</v>
      </c>
      <c r="R851" t="s">
        <v>2437</v>
      </c>
      <c r="T851" t="s">
        <v>2437</v>
      </c>
      <c r="U851" t="s">
        <v>2437</v>
      </c>
      <c r="V851" t="s">
        <v>2437</v>
      </c>
      <c r="Y851" t="s">
        <v>6948</v>
      </c>
      <c r="Z851" t="s">
        <v>6949</v>
      </c>
      <c r="AA851" t="s">
        <v>6950</v>
      </c>
      <c r="AB851" t="s">
        <v>6951</v>
      </c>
      <c r="AC851" t="s">
        <v>6952</v>
      </c>
      <c r="AD851" t="s">
        <v>6953</v>
      </c>
      <c r="AE851" t="s">
        <v>6961</v>
      </c>
      <c r="AF851" t="s">
        <v>6962</v>
      </c>
      <c r="AG851" t="s">
        <v>6963</v>
      </c>
      <c r="AH851" t="s">
        <v>6964</v>
      </c>
      <c r="AI851" t="s">
        <v>6965</v>
      </c>
      <c r="AJ851" t="s">
        <v>6966</v>
      </c>
      <c r="AR851" t="s">
        <v>4284</v>
      </c>
    </row>
    <row r="852" spans="1:44">
      <c r="A852">
        <v>11133744</v>
      </c>
      <c r="B852" t="s">
        <v>946</v>
      </c>
      <c r="C852" t="s">
        <v>1243</v>
      </c>
      <c r="D852" t="s">
        <v>2070</v>
      </c>
      <c r="E852" t="s">
        <v>1715</v>
      </c>
      <c r="F852" t="s">
        <v>1716</v>
      </c>
      <c r="G852" t="s">
        <v>1717</v>
      </c>
      <c r="H852" t="s">
        <v>2305</v>
      </c>
      <c r="I852" t="s">
        <v>4491</v>
      </c>
      <c r="J852" t="s">
        <v>3106</v>
      </c>
      <c r="K852" t="s">
        <v>3107</v>
      </c>
      <c r="M852">
        <v>60</v>
      </c>
      <c r="N852">
        <v>70</v>
      </c>
      <c r="O852" t="s">
        <v>2437</v>
      </c>
      <c r="P852" t="s">
        <v>2437</v>
      </c>
      <c r="R852" t="s">
        <v>2437</v>
      </c>
      <c r="T852" t="s">
        <v>2437</v>
      </c>
      <c r="U852" t="s">
        <v>2437</v>
      </c>
      <c r="V852" t="s">
        <v>2437</v>
      </c>
      <c r="Y852" t="s">
        <v>6948</v>
      </c>
      <c r="Z852" t="s">
        <v>6949</v>
      </c>
      <c r="AA852" t="s">
        <v>6950</v>
      </c>
      <c r="AB852" t="s">
        <v>6951</v>
      </c>
      <c r="AC852" t="s">
        <v>6952</v>
      </c>
      <c r="AD852" t="s">
        <v>6953</v>
      </c>
      <c r="AE852" t="s">
        <v>6961</v>
      </c>
      <c r="AF852" t="s">
        <v>6962</v>
      </c>
      <c r="AG852" t="s">
        <v>6963</v>
      </c>
      <c r="AH852" t="s">
        <v>6964</v>
      </c>
      <c r="AI852" t="s">
        <v>6965</v>
      </c>
      <c r="AJ852" t="s">
        <v>6966</v>
      </c>
      <c r="AR852" t="s">
        <v>4284</v>
      </c>
    </row>
    <row r="853" spans="1:44">
      <c r="A853">
        <v>11133745</v>
      </c>
      <c r="B853" t="s">
        <v>947</v>
      </c>
      <c r="C853" t="s">
        <v>1227</v>
      </c>
      <c r="D853" t="s">
        <v>2071</v>
      </c>
      <c r="E853" t="s">
        <v>1709</v>
      </c>
      <c r="F853" t="s">
        <v>1701</v>
      </c>
      <c r="G853" t="s">
        <v>1702</v>
      </c>
      <c r="H853" t="s">
        <v>2285</v>
      </c>
      <c r="I853" t="s">
        <v>4472</v>
      </c>
      <c r="J853" t="s">
        <v>3086</v>
      </c>
      <c r="K853" t="s">
        <v>3087</v>
      </c>
      <c r="M853">
        <v>50</v>
      </c>
      <c r="N853">
        <v>70</v>
      </c>
      <c r="O853" t="s">
        <v>2437</v>
      </c>
      <c r="P853" t="s">
        <v>2437</v>
      </c>
      <c r="R853" t="s">
        <v>2437</v>
      </c>
      <c r="T853" t="s">
        <v>2437</v>
      </c>
      <c r="U853" t="s">
        <v>2437</v>
      </c>
      <c r="V853" t="s">
        <v>2437</v>
      </c>
      <c r="Y853" t="s">
        <v>6948</v>
      </c>
      <c r="Z853" t="s">
        <v>6949</v>
      </c>
      <c r="AA853" t="s">
        <v>6950</v>
      </c>
      <c r="AB853" t="s">
        <v>6951</v>
      </c>
      <c r="AC853" t="s">
        <v>6952</v>
      </c>
      <c r="AD853" t="s">
        <v>6953</v>
      </c>
      <c r="AE853" t="s">
        <v>6954</v>
      </c>
      <c r="AF853" t="s">
        <v>6955</v>
      </c>
      <c r="AG853" t="s">
        <v>6956</v>
      </c>
      <c r="AH853" t="s">
        <v>6957</v>
      </c>
      <c r="AI853" t="s">
        <v>6958</v>
      </c>
      <c r="AJ853" t="s">
        <v>6959</v>
      </c>
      <c r="AR853" t="s">
        <v>4284</v>
      </c>
    </row>
    <row r="854" spans="1:44">
      <c r="A854">
        <v>11133746</v>
      </c>
      <c r="B854" t="s">
        <v>948</v>
      </c>
      <c r="C854" t="s">
        <v>1228</v>
      </c>
      <c r="D854" t="s">
        <v>2071</v>
      </c>
      <c r="E854" t="s">
        <v>1709</v>
      </c>
      <c r="F854" t="s">
        <v>1701</v>
      </c>
      <c r="G854" t="s">
        <v>1702</v>
      </c>
      <c r="H854" t="s">
        <v>2286</v>
      </c>
      <c r="I854" t="s">
        <v>4473</v>
      </c>
      <c r="J854" t="s">
        <v>3088</v>
      </c>
      <c r="K854" t="s">
        <v>3089</v>
      </c>
      <c r="M854">
        <v>50</v>
      </c>
      <c r="N854">
        <v>70</v>
      </c>
      <c r="O854" t="s">
        <v>2437</v>
      </c>
      <c r="P854" t="s">
        <v>2437</v>
      </c>
      <c r="R854" t="s">
        <v>2437</v>
      </c>
      <c r="T854" t="s">
        <v>2437</v>
      </c>
      <c r="U854" t="s">
        <v>2437</v>
      </c>
      <c r="V854" t="s">
        <v>2437</v>
      </c>
      <c r="Y854" t="s">
        <v>6948</v>
      </c>
      <c r="Z854" t="s">
        <v>6949</v>
      </c>
      <c r="AA854" t="s">
        <v>6950</v>
      </c>
      <c r="AB854" t="s">
        <v>6951</v>
      </c>
      <c r="AC854" t="s">
        <v>6952</v>
      </c>
      <c r="AD854" t="s">
        <v>6953</v>
      </c>
      <c r="AE854" t="s">
        <v>6954</v>
      </c>
      <c r="AF854" t="s">
        <v>6955</v>
      </c>
      <c r="AG854" t="s">
        <v>6956</v>
      </c>
      <c r="AH854" t="s">
        <v>6957</v>
      </c>
      <c r="AI854" t="s">
        <v>6958</v>
      </c>
      <c r="AJ854" t="s">
        <v>6959</v>
      </c>
      <c r="AR854" t="s">
        <v>4284</v>
      </c>
    </row>
    <row r="855" spans="1:44">
      <c r="A855">
        <v>11134062</v>
      </c>
      <c r="B855" t="s">
        <v>949</v>
      </c>
      <c r="C855" t="s">
        <v>1009</v>
      </c>
      <c r="D855" t="s">
        <v>1930</v>
      </c>
      <c r="E855" t="s">
        <v>1521</v>
      </c>
      <c r="F855" t="s">
        <v>1792</v>
      </c>
      <c r="G855" t="s">
        <v>1793</v>
      </c>
      <c r="H855" t="s">
        <v>2268</v>
      </c>
      <c r="I855" t="s">
        <v>4459</v>
      </c>
      <c r="J855" t="s">
        <v>3511</v>
      </c>
      <c r="K855" t="s">
        <v>3512</v>
      </c>
      <c r="M855">
        <v>50</v>
      </c>
      <c r="N855">
        <v>70</v>
      </c>
      <c r="O855" t="s">
        <v>2437</v>
      </c>
      <c r="P855" t="s">
        <v>2437</v>
      </c>
      <c r="R855" t="s">
        <v>89</v>
      </c>
      <c r="T855" t="s">
        <v>2437</v>
      </c>
      <c r="U855" t="s">
        <v>2437</v>
      </c>
      <c r="V855" t="s">
        <v>3925</v>
      </c>
      <c r="Y855" t="s">
        <v>6948</v>
      </c>
      <c r="Z855" t="s">
        <v>6949</v>
      </c>
      <c r="AA855" t="s">
        <v>6950</v>
      </c>
      <c r="AB855" t="s">
        <v>6951</v>
      </c>
      <c r="AC855" t="s">
        <v>6952</v>
      </c>
      <c r="AD855" t="s">
        <v>6953</v>
      </c>
      <c r="AE855" t="s">
        <v>6954</v>
      </c>
      <c r="AF855" t="s">
        <v>6955</v>
      </c>
      <c r="AG855" t="s">
        <v>6956</v>
      </c>
      <c r="AH855" t="s">
        <v>6957</v>
      </c>
      <c r="AI855" t="s">
        <v>6958</v>
      </c>
      <c r="AJ855" t="s">
        <v>6959</v>
      </c>
      <c r="AR855" t="s">
        <v>4284</v>
      </c>
    </row>
    <row r="856" spans="1:44">
      <c r="A856">
        <v>11134063</v>
      </c>
      <c r="B856" t="s">
        <v>950</v>
      </c>
      <c r="C856" t="s">
        <v>1196</v>
      </c>
      <c r="D856" t="s">
        <v>1930</v>
      </c>
      <c r="E856" t="s">
        <v>1521</v>
      </c>
      <c r="F856" t="s">
        <v>1792</v>
      </c>
      <c r="G856" t="s">
        <v>1793</v>
      </c>
      <c r="H856" t="s">
        <v>2269</v>
      </c>
      <c r="I856" t="s">
        <v>4460</v>
      </c>
      <c r="J856" t="s">
        <v>3926</v>
      </c>
      <c r="K856" t="s">
        <v>3927</v>
      </c>
      <c r="M856">
        <v>50</v>
      </c>
      <c r="N856">
        <v>70</v>
      </c>
      <c r="O856" t="s">
        <v>2437</v>
      </c>
      <c r="P856" t="s">
        <v>2437</v>
      </c>
      <c r="R856" t="s">
        <v>89</v>
      </c>
      <c r="T856" t="s">
        <v>2437</v>
      </c>
      <c r="U856" t="s">
        <v>2437</v>
      </c>
      <c r="V856" t="s">
        <v>3925</v>
      </c>
      <c r="Y856" t="s">
        <v>6948</v>
      </c>
      <c r="Z856" t="s">
        <v>6949</v>
      </c>
      <c r="AA856" t="s">
        <v>6950</v>
      </c>
      <c r="AB856" t="s">
        <v>6951</v>
      </c>
      <c r="AC856" t="s">
        <v>6952</v>
      </c>
      <c r="AD856" t="s">
        <v>6953</v>
      </c>
      <c r="AE856" t="s">
        <v>6954</v>
      </c>
      <c r="AF856" t="s">
        <v>6955</v>
      </c>
      <c r="AG856" t="s">
        <v>6956</v>
      </c>
      <c r="AH856" t="s">
        <v>6957</v>
      </c>
      <c r="AI856" t="s">
        <v>6958</v>
      </c>
      <c r="AJ856" t="s">
        <v>6959</v>
      </c>
      <c r="AR856" t="s">
        <v>4284</v>
      </c>
    </row>
    <row r="857" spans="1:44">
      <c r="A857">
        <v>11134070</v>
      </c>
      <c r="B857" t="s">
        <v>951</v>
      </c>
      <c r="C857" t="s">
        <v>969</v>
      </c>
      <c r="D857" t="s">
        <v>2072</v>
      </c>
      <c r="E857" t="s">
        <v>2073</v>
      </c>
      <c r="F857" t="s">
        <v>1526</v>
      </c>
      <c r="G857" t="s">
        <v>1527</v>
      </c>
      <c r="H857" t="s">
        <v>2274</v>
      </c>
      <c r="I857" t="s">
        <v>4464</v>
      </c>
      <c r="J857" t="s">
        <v>3928</v>
      </c>
      <c r="K857" t="s">
        <v>3929</v>
      </c>
      <c r="M857">
        <v>60</v>
      </c>
      <c r="N857">
        <v>70</v>
      </c>
      <c r="O857" t="s">
        <v>2437</v>
      </c>
      <c r="P857" t="s">
        <v>2437</v>
      </c>
      <c r="R857" t="s">
        <v>2437</v>
      </c>
      <c r="T857" t="s">
        <v>2437</v>
      </c>
      <c r="U857" t="s">
        <v>2437</v>
      </c>
      <c r="V857" t="s">
        <v>3925</v>
      </c>
      <c r="Y857" t="s">
        <v>6948</v>
      </c>
      <c r="Z857" t="s">
        <v>6949</v>
      </c>
      <c r="AA857" t="s">
        <v>6950</v>
      </c>
      <c r="AB857" t="s">
        <v>6951</v>
      </c>
      <c r="AC857" t="s">
        <v>6952</v>
      </c>
      <c r="AD857" t="s">
        <v>6953</v>
      </c>
      <c r="AE857" t="s">
        <v>6961</v>
      </c>
      <c r="AF857" t="s">
        <v>6962</v>
      </c>
      <c r="AG857" t="s">
        <v>6963</v>
      </c>
      <c r="AH857" t="s">
        <v>6964</v>
      </c>
      <c r="AI857" t="s">
        <v>6965</v>
      </c>
      <c r="AJ857" t="s">
        <v>6966</v>
      </c>
      <c r="AR857" t="s">
        <v>4284</v>
      </c>
    </row>
    <row r="858" spans="1:44">
      <c r="A858">
        <v>11134076</v>
      </c>
      <c r="B858" t="s">
        <v>952</v>
      </c>
      <c r="C858" t="s">
        <v>1064</v>
      </c>
      <c r="D858" t="s">
        <v>1931</v>
      </c>
      <c r="E858" t="s">
        <v>1932</v>
      </c>
      <c r="F858" t="s">
        <v>1798</v>
      </c>
      <c r="G858" t="s">
        <v>1799</v>
      </c>
      <c r="H858" t="s">
        <v>2224</v>
      </c>
      <c r="I858" t="s">
        <v>4312</v>
      </c>
      <c r="J858" t="s">
        <v>3930</v>
      </c>
      <c r="K858" t="s">
        <v>3931</v>
      </c>
      <c r="M858">
        <v>60</v>
      </c>
      <c r="N858">
        <v>70</v>
      </c>
      <c r="O858" t="s">
        <v>2437</v>
      </c>
      <c r="P858" t="s">
        <v>2437</v>
      </c>
      <c r="R858" t="s">
        <v>2437</v>
      </c>
      <c r="T858" t="s">
        <v>2437</v>
      </c>
      <c r="U858" t="s">
        <v>2437</v>
      </c>
      <c r="V858" t="s">
        <v>3925</v>
      </c>
      <c r="Y858" t="s">
        <v>6948</v>
      </c>
      <c r="Z858" t="s">
        <v>6949</v>
      </c>
      <c r="AA858" t="s">
        <v>6950</v>
      </c>
      <c r="AB858" t="s">
        <v>6951</v>
      </c>
      <c r="AC858" t="s">
        <v>6952</v>
      </c>
      <c r="AD858" t="s">
        <v>6953</v>
      </c>
      <c r="AE858" t="s">
        <v>6961</v>
      </c>
      <c r="AF858" t="s">
        <v>6962</v>
      </c>
      <c r="AG858" t="s">
        <v>6963</v>
      </c>
      <c r="AH858" t="s">
        <v>6964</v>
      </c>
      <c r="AI858" t="s">
        <v>6965</v>
      </c>
      <c r="AJ858" t="s">
        <v>6966</v>
      </c>
      <c r="AR858" t="s">
        <v>4284</v>
      </c>
    </row>
    <row r="859" spans="1:44">
      <c r="A859">
        <v>11134082</v>
      </c>
      <c r="B859" t="s">
        <v>953</v>
      </c>
      <c r="C859" t="s">
        <v>1141</v>
      </c>
      <c r="D859" t="s">
        <v>1933</v>
      </c>
      <c r="E859" t="s">
        <v>1523</v>
      </c>
      <c r="F859" t="s">
        <v>1596</v>
      </c>
      <c r="G859" t="s">
        <v>1597</v>
      </c>
      <c r="H859" t="s">
        <v>2216</v>
      </c>
      <c r="I859" t="s">
        <v>4409</v>
      </c>
      <c r="J859" t="s">
        <v>3932</v>
      </c>
      <c r="K859" t="s">
        <v>3933</v>
      </c>
      <c r="M859">
        <v>60</v>
      </c>
      <c r="N859">
        <v>70</v>
      </c>
      <c r="O859" t="s">
        <v>2437</v>
      </c>
      <c r="P859" t="s">
        <v>2437</v>
      </c>
      <c r="R859" t="s">
        <v>2437</v>
      </c>
      <c r="T859" t="s">
        <v>2437</v>
      </c>
      <c r="U859" t="s">
        <v>2437</v>
      </c>
      <c r="V859" t="s">
        <v>3925</v>
      </c>
      <c r="Y859" t="s">
        <v>6948</v>
      </c>
      <c r="Z859" t="s">
        <v>6949</v>
      </c>
      <c r="AA859" t="s">
        <v>6950</v>
      </c>
      <c r="AB859" t="s">
        <v>6951</v>
      </c>
      <c r="AC859" t="s">
        <v>6952</v>
      </c>
      <c r="AD859" t="s">
        <v>6953</v>
      </c>
      <c r="AE859" t="s">
        <v>6961</v>
      </c>
      <c r="AF859" t="s">
        <v>6962</v>
      </c>
      <c r="AG859" t="s">
        <v>6963</v>
      </c>
      <c r="AH859" t="s">
        <v>6964</v>
      </c>
      <c r="AI859" t="s">
        <v>6965</v>
      </c>
      <c r="AJ859" t="s">
        <v>6966</v>
      </c>
      <c r="AR859" t="s">
        <v>4284</v>
      </c>
    </row>
    <row r="860" spans="1:44">
      <c r="A860">
        <v>11134088</v>
      </c>
      <c r="B860" t="s">
        <v>954</v>
      </c>
      <c r="C860" t="s">
        <v>1467</v>
      </c>
      <c r="D860" t="s">
        <v>1934</v>
      </c>
      <c r="E860" t="s">
        <v>1524</v>
      </c>
      <c r="F860" t="s">
        <v>1688</v>
      </c>
      <c r="G860" t="s">
        <v>1689</v>
      </c>
      <c r="H860" t="s">
        <v>2192</v>
      </c>
      <c r="I860" t="s">
        <v>4411</v>
      </c>
      <c r="J860" t="s">
        <v>3934</v>
      </c>
      <c r="K860" t="s">
        <v>3935</v>
      </c>
      <c r="M860">
        <v>60</v>
      </c>
      <c r="N860">
        <v>70</v>
      </c>
      <c r="O860" t="s">
        <v>2437</v>
      </c>
      <c r="P860" t="s">
        <v>2437</v>
      </c>
      <c r="R860" t="s">
        <v>2437</v>
      </c>
      <c r="T860" t="s">
        <v>2437</v>
      </c>
      <c r="U860" t="s">
        <v>2437</v>
      </c>
      <c r="V860" t="s">
        <v>3925</v>
      </c>
      <c r="Y860" t="s">
        <v>6948</v>
      </c>
      <c r="Z860" t="s">
        <v>6949</v>
      </c>
      <c r="AA860" t="s">
        <v>6950</v>
      </c>
      <c r="AB860" t="s">
        <v>6951</v>
      </c>
      <c r="AC860" t="s">
        <v>6952</v>
      </c>
      <c r="AD860" t="s">
        <v>6953</v>
      </c>
      <c r="AE860" t="s">
        <v>6961</v>
      </c>
      <c r="AF860" t="s">
        <v>6962</v>
      </c>
      <c r="AG860" t="s">
        <v>6963</v>
      </c>
      <c r="AH860" t="s">
        <v>6964</v>
      </c>
      <c r="AI860" t="s">
        <v>6965</v>
      </c>
      <c r="AJ860" t="s">
        <v>6966</v>
      </c>
      <c r="AR860" t="s">
        <v>4284</v>
      </c>
    </row>
    <row r="861" spans="1:44">
      <c r="A861">
        <v>11123343</v>
      </c>
      <c r="B861" t="s">
        <v>955</v>
      </c>
      <c r="C861" t="s">
        <v>1355</v>
      </c>
      <c r="D861" t="s">
        <v>1722</v>
      </c>
      <c r="E861" t="s">
        <v>1723</v>
      </c>
      <c r="F861" t="s">
        <v>1724</v>
      </c>
      <c r="G861" t="s">
        <v>1725</v>
      </c>
      <c r="H861" t="s">
        <v>2431</v>
      </c>
      <c r="I861" t="s">
        <v>4603</v>
      </c>
      <c r="J861" t="s">
        <v>3936</v>
      </c>
      <c r="K861" t="s">
        <v>3937</v>
      </c>
      <c r="M861">
        <v>60</v>
      </c>
      <c r="N861">
        <v>70</v>
      </c>
      <c r="O861" t="s">
        <v>2437</v>
      </c>
      <c r="P861" t="s">
        <v>2437</v>
      </c>
      <c r="R861" t="s">
        <v>2437</v>
      </c>
      <c r="T861" t="s">
        <v>2437</v>
      </c>
      <c r="U861" t="s">
        <v>2437</v>
      </c>
      <c r="V861" t="s">
        <v>2437</v>
      </c>
      <c r="Y861" t="s">
        <v>6948</v>
      </c>
      <c r="Z861" t="s">
        <v>6949</v>
      </c>
      <c r="AA861" t="s">
        <v>6950</v>
      </c>
      <c r="AB861" t="s">
        <v>6951</v>
      </c>
      <c r="AC861" t="s">
        <v>6952</v>
      </c>
      <c r="AD861" t="s">
        <v>6953</v>
      </c>
      <c r="AE861" t="s">
        <v>6961</v>
      </c>
      <c r="AF861" t="s">
        <v>6962</v>
      </c>
      <c r="AG861" t="s">
        <v>6963</v>
      </c>
      <c r="AH861" t="s">
        <v>6964</v>
      </c>
      <c r="AI861" t="s">
        <v>6965</v>
      </c>
      <c r="AJ861" t="s">
        <v>6966</v>
      </c>
      <c r="AR861" t="s">
        <v>4284</v>
      </c>
    </row>
    <row r="862" spans="1:44">
      <c r="A862">
        <v>11127801</v>
      </c>
      <c r="B862" t="s">
        <v>956</v>
      </c>
      <c r="C862" t="s">
        <v>1468</v>
      </c>
      <c r="D862" t="s">
        <v>1974</v>
      </c>
      <c r="E862" t="s">
        <v>1975</v>
      </c>
      <c r="F862" t="s">
        <v>1712</v>
      </c>
      <c r="G862" t="s">
        <v>1713</v>
      </c>
      <c r="H862" t="s">
        <v>2298</v>
      </c>
      <c r="I862" t="s">
        <v>4484</v>
      </c>
      <c r="J862" t="s">
        <v>3938</v>
      </c>
      <c r="K862" t="s">
        <v>3939</v>
      </c>
      <c r="M862">
        <v>60</v>
      </c>
      <c r="N862">
        <v>70</v>
      </c>
      <c r="O862" t="s">
        <v>2437</v>
      </c>
      <c r="P862" t="s">
        <v>2437</v>
      </c>
      <c r="R862" t="s">
        <v>2437</v>
      </c>
      <c r="T862" t="s">
        <v>2437</v>
      </c>
      <c r="U862" t="s">
        <v>2437</v>
      </c>
      <c r="V862" t="s">
        <v>2437</v>
      </c>
      <c r="Y862" t="s">
        <v>6948</v>
      </c>
      <c r="Z862" t="s">
        <v>6949</v>
      </c>
      <c r="AA862" t="s">
        <v>6950</v>
      </c>
      <c r="AB862" t="s">
        <v>6951</v>
      </c>
      <c r="AC862" t="s">
        <v>6952</v>
      </c>
      <c r="AD862" t="s">
        <v>6953</v>
      </c>
      <c r="AE862" t="s">
        <v>6961</v>
      </c>
      <c r="AF862" t="s">
        <v>6962</v>
      </c>
      <c r="AG862" t="s">
        <v>6963</v>
      </c>
      <c r="AH862" t="s">
        <v>6964</v>
      </c>
      <c r="AI862" t="s">
        <v>6965</v>
      </c>
      <c r="AJ862" t="s">
        <v>6966</v>
      </c>
      <c r="AR862" t="s">
        <v>4284</v>
      </c>
    </row>
    <row r="863" spans="1:44">
      <c r="A863">
        <v>11127807</v>
      </c>
      <c r="B863" t="s">
        <v>957</v>
      </c>
      <c r="C863" t="s">
        <v>1469</v>
      </c>
      <c r="D863" t="s">
        <v>1976</v>
      </c>
      <c r="E863" t="s">
        <v>1977</v>
      </c>
      <c r="F863" t="s">
        <v>1716</v>
      </c>
      <c r="G863" t="s">
        <v>1717</v>
      </c>
      <c r="H863" t="s">
        <v>2304</v>
      </c>
      <c r="I863" t="s">
        <v>4490</v>
      </c>
      <c r="J863" t="s">
        <v>3940</v>
      </c>
      <c r="K863" t="s">
        <v>3941</v>
      </c>
      <c r="M863">
        <v>60</v>
      </c>
      <c r="N863">
        <v>70</v>
      </c>
      <c r="O863" t="s">
        <v>2437</v>
      </c>
      <c r="P863" t="s">
        <v>2437</v>
      </c>
      <c r="R863" t="s">
        <v>2437</v>
      </c>
      <c r="T863" t="s">
        <v>2437</v>
      </c>
      <c r="U863" t="s">
        <v>2437</v>
      </c>
      <c r="V863" t="s">
        <v>2437</v>
      </c>
      <c r="Y863" t="s">
        <v>6948</v>
      </c>
      <c r="Z863" t="s">
        <v>6949</v>
      </c>
      <c r="AA863" t="s">
        <v>6950</v>
      </c>
      <c r="AB863" t="s">
        <v>6951</v>
      </c>
      <c r="AC863" t="s">
        <v>6952</v>
      </c>
      <c r="AD863" t="s">
        <v>6953</v>
      </c>
      <c r="AE863" t="s">
        <v>6961</v>
      </c>
      <c r="AF863" t="s">
        <v>6962</v>
      </c>
      <c r="AG863" t="s">
        <v>6963</v>
      </c>
      <c r="AH863" t="s">
        <v>6964</v>
      </c>
      <c r="AI863" t="s">
        <v>6965</v>
      </c>
      <c r="AJ863" t="s">
        <v>6966</v>
      </c>
      <c r="AR863" t="s">
        <v>4284</v>
      </c>
    </row>
    <row r="864" spans="1:44">
      <c r="A864">
        <v>11134115</v>
      </c>
      <c r="B864" t="s">
        <v>958</v>
      </c>
      <c r="C864" t="s">
        <v>1470</v>
      </c>
      <c r="D864" t="s">
        <v>2074</v>
      </c>
      <c r="E864" t="s">
        <v>2075</v>
      </c>
      <c r="F864" t="s">
        <v>1482</v>
      </c>
      <c r="G864" t="s">
        <v>1483</v>
      </c>
      <c r="H864" t="s">
        <v>2081</v>
      </c>
      <c r="I864" t="s">
        <v>4416</v>
      </c>
      <c r="J864" t="s">
        <v>3942</v>
      </c>
      <c r="K864" t="s">
        <v>3943</v>
      </c>
      <c r="M864" t="e">
        <v>#N/A</v>
      </c>
      <c r="N864" t="e">
        <v>#N/A</v>
      </c>
      <c r="O864" t="e">
        <v>#N/A</v>
      </c>
      <c r="P864" t="e">
        <v>#N/A</v>
      </c>
      <c r="R864" t="e">
        <v>#N/A</v>
      </c>
      <c r="T864" t="s">
        <v>2437</v>
      </c>
      <c r="U864" t="s">
        <v>2437</v>
      </c>
      <c r="V864" t="s">
        <v>2437</v>
      </c>
      <c r="Y864" t="s">
        <v>6948</v>
      </c>
      <c r="Z864" t="s">
        <v>6949</v>
      </c>
      <c r="AA864" t="s">
        <v>6950</v>
      </c>
      <c r="AB864" t="s">
        <v>6951</v>
      </c>
      <c r="AC864" t="s">
        <v>6952</v>
      </c>
      <c r="AD864" t="s">
        <v>6953</v>
      </c>
      <c r="AR864" t="s">
        <v>4284</v>
      </c>
    </row>
    <row r="865" spans="1:30" s="69" customFormat="1">
      <c r="A865" s="69">
        <v>11007539</v>
      </c>
      <c r="B865" s="69" t="s">
        <v>4605</v>
      </c>
      <c r="C865" s="69" t="s">
        <v>5613</v>
      </c>
      <c r="D865" s="69" t="s">
        <v>5948</v>
      </c>
      <c r="E865" s="69" t="s">
        <v>5949</v>
      </c>
      <c r="J865" s="69" t="s">
        <v>6519</v>
      </c>
      <c r="M865" t="e">
        <v>#N/A</v>
      </c>
      <c r="N865" t="e">
        <v>#N/A</v>
      </c>
      <c r="O865" t="e">
        <v>#N/A</v>
      </c>
      <c r="P865" t="e">
        <v>#N/A</v>
      </c>
      <c r="R865" t="e">
        <v>#N/A</v>
      </c>
      <c r="T865" s="69" t="s">
        <v>5983</v>
      </c>
      <c r="U865" s="69" t="s">
        <v>5983</v>
      </c>
      <c r="V865" s="69" t="s">
        <v>5983</v>
      </c>
      <c r="Y865" s="69" t="s">
        <v>6948</v>
      </c>
      <c r="Z865" s="69" t="s">
        <v>6949</v>
      </c>
      <c r="AA865" s="69" t="s">
        <v>6950</v>
      </c>
      <c r="AB865" s="69" t="s">
        <v>6951</v>
      </c>
      <c r="AC865" s="69" t="s">
        <v>6952</v>
      </c>
      <c r="AD865" s="69" t="s">
        <v>6953</v>
      </c>
    </row>
    <row r="866" spans="1:30">
      <c r="A866">
        <v>11007537</v>
      </c>
      <c r="B866" t="s">
        <v>4606</v>
      </c>
      <c r="C866" t="s">
        <v>5614</v>
      </c>
      <c r="D866" t="s">
        <v>5948</v>
      </c>
      <c r="E866" t="s">
        <v>5949</v>
      </c>
      <c r="J866" t="s">
        <v>6520</v>
      </c>
      <c r="M866" t="e">
        <v>#N/A</v>
      </c>
      <c r="N866" t="e">
        <v>#N/A</v>
      </c>
      <c r="O866" t="e">
        <v>#N/A</v>
      </c>
      <c r="P866" t="e">
        <v>#N/A</v>
      </c>
      <c r="R866" t="e">
        <v>#N/A</v>
      </c>
      <c r="T866" t="s">
        <v>5983</v>
      </c>
      <c r="U866" t="s">
        <v>5983</v>
      </c>
      <c r="V866" t="s">
        <v>5983</v>
      </c>
      <c r="Y866" t="s">
        <v>6948</v>
      </c>
      <c r="Z866" t="s">
        <v>6949</v>
      </c>
      <c r="AA866" t="s">
        <v>6950</v>
      </c>
      <c r="AB866" t="s">
        <v>6951</v>
      </c>
      <c r="AC866" t="s">
        <v>6952</v>
      </c>
      <c r="AD866" t="s">
        <v>6953</v>
      </c>
    </row>
    <row r="867" spans="1:30">
      <c r="A867" t="s">
        <v>4604</v>
      </c>
      <c r="B867" t="s">
        <v>4607</v>
      </c>
      <c r="C867" t="s">
        <v>5615</v>
      </c>
      <c r="D867" t="s">
        <v>5950</v>
      </c>
      <c r="E867" t="s">
        <v>5949</v>
      </c>
      <c r="J867" t="s">
        <v>6521</v>
      </c>
      <c r="M867" t="e">
        <v>#N/A</v>
      </c>
      <c r="N867" t="e">
        <v>#N/A</v>
      </c>
      <c r="O867" t="e">
        <v>#N/A</v>
      </c>
      <c r="P867" t="e">
        <v>#N/A</v>
      </c>
      <c r="R867" t="e">
        <v>#N/A</v>
      </c>
      <c r="T867" t="s">
        <v>5983</v>
      </c>
      <c r="U867" t="s">
        <v>5983</v>
      </c>
      <c r="V867" t="s">
        <v>5983</v>
      </c>
      <c r="Y867" t="s">
        <v>6948</v>
      </c>
      <c r="Z867" t="s">
        <v>6949</v>
      </c>
      <c r="AA867" t="s">
        <v>6950</v>
      </c>
      <c r="AB867" t="s">
        <v>6951</v>
      </c>
      <c r="AC867" t="s">
        <v>6952</v>
      </c>
      <c r="AD867" t="s">
        <v>6953</v>
      </c>
    </row>
    <row r="868" spans="1:30">
      <c r="B868" t="s">
        <v>4608</v>
      </c>
      <c r="C868" t="s">
        <v>1195</v>
      </c>
      <c r="D868" t="s">
        <v>5951</v>
      </c>
      <c r="E868" t="s">
        <v>5952</v>
      </c>
      <c r="J868" t="s">
        <v>6522</v>
      </c>
      <c r="M868" t="e">
        <v>#N/A</v>
      </c>
      <c r="N868" t="e">
        <v>#N/A</v>
      </c>
      <c r="O868" t="e">
        <v>#N/A</v>
      </c>
      <c r="P868" t="e">
        <v>#N/A</v>
      </c>
      <c r="R868" t="e">
        <v>#N/A</v>
      </c>
      <c r="T868" t="s">
        <v>6924</v>
      </c>
      <c r="U868" t="s">
        <v>6936</v>
      </c>
      <c r="V868" t="s">
        <v>5983</v>
      </c>
      <c r="Y868" t="s">
        <v>6948</v>
      </c>
      <c r="Z868" t="s">
        <v>6949</v>
      </c>
      <c r="AA868" t="s">
        <v>6950</v>
      </c>
      <c r="AB868" t="s">
        <v>6951</v>
      </c>
      <c r="AC868" t="s">
        <v>6952</v>
      </c>
      <c r="AD868" t="s">
        <v>6953</v>
      </c>
    </row>
    <row r="869" spans="1:30">
      <c r="A869" t="s">
        <v>4604</v>
      </c>
      <c r="B869" t="s">
        <v>4609</v>
      </c>
      <c r="C869" t="s">
        <v>1196</v>
      </c>
      <c r="D869" t="s">
        <v>5951</v>
      </c>
      <c r="E869" t="s">
        <v>5952</v>
      </c>
      <c r="J869" t="s">
        <v>6523</v>
      </c>
      <c r="M869" t="e">
        <v>#N/A</v>
      </c>
      <c r="N869" t="e">
        <v>#N/A</v>
      </c>
      <c r="O869" t="e">
        <v>#N/A</v>
      </c>
      <c r="P869" t="e">
        <v>#N/A</v>
      </c>
      <c r="R869" t="e">
        <v>#N/A</v>
      </c>
      <c r="T869" t="s">
        <v>6925</v>
      </c>
      <c r="U869" t="s">
        <v>6937</v>
      </c>
      <c r="V869" t="s">
        <v>5983</v>
      </c>
      <c r="Y869" t="s">
        <v>6948</v>
      </c>
      <c r="Z869" t="s">
        <v>6949</v>
      </c>
      <c r="AA869" t="s">
        <v>6950</v>
      </c>
      <c r="AB869" t="s">
        <v>6951</v>
      </c>
      <c r="AC869" t="s">
        <v>6952</v>
      </c>
      <c r="AD869" t="s">
        <v>6953</v>
      </c>
    </row>
    <row r="870" spans="1:30">
      <c r="A870" t="s">
        <v>4604</v>
      </c>
      <c r="B870" t="s">
        <v>4610</v>
      </c>
      <c r="C870" t="s">
        <v>1177</v>
      </c>
      <c r="D870" t="s">
        <v>5953</v>
      </c>
      <c r="E870" t="s">
        <v>5952</v>
      </c>
      <c r="J870" t="s">
        <v>6524</v>
      </c>
      <c r="M870" t="e">
        <v>#N/A</v>
      </c>
      <c r="N870" t="e">
        <v>#N/A</v>
      </c>
      <c r="O870" t="e">
        <v>#N/A</v>
      </c>
      <c r="P870" t="e">
        <v>#N/A</v>
      </c>
      <c r="R870" t="e">
        <v>#N/A</v>
      </c>
      <c r="T870" t="s">
        <v>6926</v>
      </c>
      <c r="U870" t="s">
        <v>6938</v>
      </c>
      <c r="V870" t="s">
        <v>5983</v>
      </c>
      <c r="Y870" t="s">
        <v>6948</v>
      </c>
      <c r="Z870" t="s">
        <v>6949</v>
      </c>
      <c r="AA870" t="s">
        <v>6950</v>
      </c>
      <c r="AB870" t="s">
        <v>6951</v>
      </c>
      <c r="AC870" t="s">
        <v>6952</v>
      </c>
      <c r="AD870" t="s">
        <v>6953</v>
      </c>
    </row>
    <row r="871" spans="1:30">
      <c r="A871" t="s">
        <v>4604</v>
      </c>
      <c r="B871" t="s">
        <v>4611</v>
      </c>
      <c r="C871" t="s">
        <v>1081</v>
      </c>
      <c r="D871" t="s">
        <v>5953</v>
      </c>
      <c r="E871" t="s">
        <v>5952</v>
      </c>
      <c r="J871" t="s">
        <v>6525</v>
      </c>
      <c r="M871" t="e">
        <v>#N/A</v>
      </c>
      <c r="N871" t="e">
        <v>#N/A</v>
      </c>
      <c r="O871" t="e">
        <v>#N/A</v>
      </c>
      <c r="P871" t="e">
        <v>#N/A</v>
      </c>
      <c r="R871" t="e">
        <v>#N/A</v>
      </c>
      <c r="T871" t="s">
        <v>6927</v>
      </c>
      <c r="U871" t="s">
        <v>6939</v>
      </c>
      <c r="V871" t="s">
        <v>5983</v>
      </c>
      <c r="Y871" t="s">
        <v>6948</v>
      </c>
      <c r="Z871" t="s">
        <v>6949</v>
      </c>
      <c r="AA871" t="s">
        <v>6950</v>
      </c>
      <c r="AB871" t="s">
        <v>6951</v>
      </c>
      <c r="AC871" t="s">
        <v>6952</v>
      </c>
      <c r="AD871" t="s">
        <v>6953</v>
      </c>
    </row>
    <row r="872" spans="1:30">
      <c r="A872" t="s">
        <v>4604</v>
      </c>
      <c r="B872" t="s">
        <v>4612</v>
      </c>
      <c r="C872" t="s">
        <v>1197</v>
      </c>
      <c r="D872" t="s">
        <v>5954</v>
      </c>
      <c r="E872" t="s">
        <v>5952</v>
      </c>
      <c r="J872" t="s">
        <v>6526</v>
      </c>
      <c r="M872" t="e">
        <v>#N/A</v>
      </c>
      <c r="N872" t="e">
        <v>#N/A</v>
      </c>
      <c r="O872" t="e">
        <v>#N/A</v>
      </c>
      <c r="P872" t="e">
        <v>#N/A</v>
      </c>
      <c r="R872" t="e">
        <v>#N/A</v>
      </c>
      <c r="T872" t="s">
        <v>6928</v>
      </c>
      <c r="U872" t="s">
        <v>6940</v>
      </c>
      <c r="V872" t="s">
        <v>5985</v>
      </c>
      <c r="Y872" t="s">
        <v>6948</v>
      </c>
      <c r="Z872" t="s">
        <v>6949</v>
      </c>
      <c r="AA872" t="s">
        <v>6950</v>
      </c>
      <c r="AB872" t="s">
        <v>6951</v>
      </c>
      <c r="AC872" t="s">
        <v>6952</v>
      </c>
      <c r="AD872" t="s">
        <v>6953</v>
      </c>
    </row>
    <row r="873" spans="1:30">
      <c r="A873" t="s">
        <v>4604</v>
      </c>
      <c r="B873" t="s">
        <v>4613</v>
      </c>
      <c r="C873" t="s">
        <v>1006</v>
      </c>
      <c r="D873" t="s">
        <v>5954</v>
      </c>
      <c r="E873" t="s">
        <v>5952</v>
      </c>
      <c r="J873" t="s">
        <v>6527</v>
      </c>
      <c r="M873" t="e">
        <v>#N/A</v>
      </c>
      <c r="N873" t="e">
        <v>#N/A</v>
      </c>
      <c r="O873" t="e">
        <v>#N/A</v>
      </c>
      <c r="P873" t="e">
        <v>#N/A</v>
      </c>
      <c r="R873" t="e">
        <v>#N/A</v>
      </c>
      <c r="T873" t="s">
        <v>6929</v>
      </c>
      <c r="U873" t="s">
        <v>6941</v>
      </c>
      <c r="V873" t="s">
        <v>5985</v>
      </c>
      <c r="Y873" t="s">
        <v>6948</v>
      </c>
      <c r="Z873" t="s">
        <v>6949</v>
      </c>
      <c r="AA873" t="s">
        <v>6950</v>
      </c>
      <c r="AB873" t="s">
        <v>6951</v>
      </c>
      <c r="AC873" t="s">
        <v>6952</v>
      </c>
      <c r="AD873" t="s">
        <v>6953</v>
      </c>
    </row>
    <row r="874" spans="1:30">
      <c r="A874" t="s">
        <v>4604</v>
      </c>
      <c r="B874" t="s">
        <v>4614</v>
      </c>
      <c r="C874" t="s">
        <v>5616</v>
      </c>
      <c r="D874" t="s">
        <v>5955</v>
      </c>
      <c r="E874" t="s">
        <v>5956</v>
      </c>
      <c r="J874" t="s">
        <v>5985</v>
      </c>
      <c r="M874" t="e">
        <v>#N/A</v>
      </c>
      <c r="N874" t="e">
        <v>#N/A</v>
      </c>
      <c r="O874" t="e">
        <v>#N/A</v>
      </c>
      <c r="P874" t="e">
        <v>#N/A</v>
      </c>
      <c r="R874" t="e">
        <v>#N/A</v>
      </c>
      <c r="T874" t="s">
        <v>5985</v>
      </c>
      <c r="U874" t="s">
        <v>5985</v>
      </c>
      <c r="V874" t="s">
        <v>5983</v>
      </c>
      <c r="Y874" t="s">
        <v>6948</v>
      </c>
      <c r="Z874" t="s">
        <v>6949</v>
      </c>
      <c r="AA874" t="s">
        <v>6950</v>
      </c>
      <c r="AB874" t="s">
        <v>6951</v>
      </c>
      <c r="AC874" t="s">
        <v>6952</v>
      </c>
      <c r="AD874" t="s">
        <v>6953</v>
      </c>
    </row>
    <row r="875" spans="1:30">
      <c r="A875" t="s">
        <v>4604</v>
      </c>
      <c r="B875" t="s">
        <v>4615</v>
      </c>
      <c r="C875" t="s">
        <v>5617</v>
      </c>
      <c r="D875" t="s">
        <v>5955</v>
      </c>
      <c r="E875" t="s">
        <v>5956</v>
      </c>
      <c r="J875" t="s">
        <v>5985</v>
      </c>
      <c r="M875" t="e">
        <v>#N/A</v>
      </c>
      <c r="N875" t="e">
        <v>#N/A</v>
      </c>
      <c r="O875" t="e">
        <v>#N/A</v>
      </c>
      <c r="P875" t="e">
        <v>#N/A</v>
      </c>
      <c r="R875" t="e">
        <v>#N/A</v>
      </c>
      <c r="T875" t="s">
        <v>5985</v>
      </c>
      <c r="U875" t="s">
        <v>5985</v>
      </c>
      <c r="V875" t="s">
        <v>5983</v>
      </c>
      <c r="Y875" t="s">
        <v>6948</v>
      </c>
      <c r="Z875" t="s">
        <v>6949</v>
      </c>
      <c r="AA875" t="s">
        <v>6950</v>
      </c>
      <c r="AB875" t="s">
        <v>6951</v>
      </c>
      <c r="AC875" t="s">
        <v>6952</v>
      </c>
      <c r="AD875" t="s">
        <v>6953</v>
      </c>
    </row>
    <row r="876" spans="1:30">
      <c r="A876" t="s">
        <v>4604</v>
      </c>
      <c r="B876" t="s">
        <v>4616</v>
      </c>
      <c r="C876" t="s">
        <v>5618</v>
      </c>
      <c r="D876" t="s">
        <v>5957</v>
      </c>
      <c r="E876" t="s">
        <v>5949</v>
      </c>
      <c r="J876" t="s">
        <v>6528</v>
      </c>
      <c r="M876" t="e">
        <v>#N/A</v>
      </c>
      <c r="N876" t="e">
        <v>#N/A</v>
      </c>
      <c r="O876" t="e">
        <v>#N/A</v>
      </c>
      <c r="P876" t="e">
        <v>#N/A</v>
      </c>
      <c r="R876" t="e">
        <v>#N/A</v>
      </c>
      <c r="T876" t="s">
        <v>5983</v>
      </c>
      <c r="U876" t="s">
        <v>5983</v>
      </c>
      <c r="V876" t="s">
        <v>5983</v>
      </c>
      <c r="Y876" t="s">
        <v>6948</v>
      </c>
      <c r="Z876" t="s">
        <v>6949</v>
      </c>
      <c r="AA876" t="s">
        <v>6950</v>
      </c>
      <c r="AB876" t="s">
        <v>6951</v>
      </c>
      <c r="AC876" t="s">
        <v>6952</v>
      </c>
      <c r="AD876" t="s">
        <v>6953</v>
      </c>
    </row>
    <row r="877" spans="1:30">
      <c r="A877">
        <v>11007178</v>
      </c>
      <c r="B877" t="s">
        <v>4617</v>
      </c>
      <c r="C877" t="s">
        <v>5618</v>
      </c>
      <c r="D877" t="s">
        <v>5958</v>
      </c>
      <c r="E877" t="s">
        <v>5949</v>
      </c>
      <c r="J877" t="s">
        <v>6528</v>
      </c>
      <c r="M877" t="e">
        <v>#N/A</v>
      </c>
      <c r="N877" t="e">
        <v>#N/A</v>
      </c>
      <c r="O877" t="e">
        <v>#N/A</v>
      </c>
      <c r="P877" t="e">
        <v>#N/A</v>
      </c>
      <c r="R877" t="e">
        <v>#N/A</v>
      </c>
      <c r="T877" t="s">
        <v>5983</v>
      </c>
      <c r="U877" t="s">
        <v>5983</v>
      </c>
      <c r="V877" t="s">
        <v>5983</v>
      </c>
      <c r="Y877" t="s">
        <v>6948</v>
      </c>
      <c r="Z877" t="s">
        <v>6949</v>
      </c>
      <c r="AA877" t="s">
        <v>6950</v>
      </c>
      <c r="AB877" t="s">
        <v>6951</v>
      </c>
      <c r="AC877" t="s">
        <v>6952</v>
      </c>
      <c r="AD877" t="s">
        <v>6953</v>
      </c>
    </row>
    <row r="878" spans="1:30">
      <c r="A878" t="s">
        <v>4604</v>
      </c>
      <c r="B878" t="s">
        <v>4618</v>
      </c>
      <c r="C878" t="s">
        <v>5619</v>
      </c>
      <c r="D878" t="s">
        <v>5959</v>
      </c>
      <c r="E878" t="s">
        <v>5949</v>
      </c>
      <c r="J878" t="s">
        <v>6529</v>
      </c>
      <c r="M878" t="e">
        <v>#N/A</v>
      </c>
      <c r="N878" t="e">
        <v>#N/A</v>
      </c>
      <c r="O878" t="e">
        <v>#N/A</v>
      </c>
      <c r="P878" t="e">
        <v>#N/A</v>
      </c>
      <c r="R878" t="e">
        <v>#N/A</v>
      </c>
      <c r="T878" t="s">
        <v>5983</v>
      </c>
      <c r="U878" t="s">
        <v>5983</v>
      </c>
      <c r="V878" t="s">
        <v>5983</v>
      </c>
      <c r="Y878" t="s">
        <v>6948</v>
      </c>
      <c r="Z878" t="s">
        <v>6949</v>
      </c>
      <c r="AA878" t="s">
        <v>6950</v>
      </c>
      <c r="AB878" t="s">
        <v>6951</v>
      </c>
      <c r="AC878" t="s">
        <v>6952</v>
      </c>
      <c r="AD878" t="s">
        <v>6953</v>
      </c>
    </row>
    <row r="879" spans="1:30">
      <c r="A879" t="s">
        <v>4604</v>
      </c>
      <c r="B879" t="s">
        <v>4619</v>
      </c>
      <c r="C879" t="s">
        <v>5619</v>
      </c>
      <c r="D879" t="s">
        <v>5958</v>
      </c>
      <c r="E879" t="s">
        <v>5949</v>
      </c>
      <c r="J879" t="s">
        <v>6529</v>
      </c>
      <c r="M879" t="e">
        <v>#N/A</v>
      </c>
      <c r="N879" t="e">
        <v>#N/A</v>
      </c>
      <c r="O879" t="e">
        <v>#N/A</v>
      </c>
      <c r="P879" t="e">
        <v>#N/A</v>
      </c>
      <c r="R879" t="e">
        <v>#N/A</v>
      </c>
      <c r="T879" t="s">
        <v>5983</v>
      </c>
      <c r="U879" t="s">
        <v>5983</v>
      </c>
      <c r="V879" t="s">
        <v>5983</v>
      </c>
      <c r="Y879" t="s">
        <v>6948</v>
      </c>
      <c r="Z879" t="s">
        <v>6949</v>
      </c>
      <c r="AA879" t="s">
        <v>6950</v>
      </c>
      <c r="AB879" t="s">
        <v>6951</v>
      </c>
      <c r="AC879" t="s">
        <v>6952</v>
      </c>
      <c r="AD879" t="s">
        <v>6953</v>
      </c>
    </row>
    <row r="880" spans="1:30">
      <c r="A880" t="s">
        <v>4604</v>
      </c>
      <c r="B880" t="s">
        <v>4620</v>
      </c>
      <c r="C880" t="s">
        <v>5620</v>
      </c>
      <c r="D880" t="s">
        <v>5960</v>
      </c>
      <c r="E880" t="s">
        <v>5949</v>
      </c>
      <c r="J880" t="s">
        <v>6530</v>
      </c>
      <c r="M880" t="e">
        <v>#N/A</v>
      </c>
      <c r="N880" t="e">
        <v>#N/A</v>
      </c>
      <c r="O880" t="e">
        <v>#N/A</v>
      </c>
      <c r="P880" t="e">
        <v>#N/A</v>
      </c>
      <c r="R880" t="e">
        <v>#N/A</v>
      </c>
      <c r="T880" t="s">
        <v>5983</v>
      </c>
      <c r="U880" t="s">
        <v>5983</v>
      </c>
      <c r="V880" t="s">
        <v>5983</v>
      </c>
      <c r="Y880" t="s">
        <v>6948</v>
      </c>
      <c r="Z880" t="s">
        <v>6949</v>
      </c>
      <c r="AA880" t="s">
        <v>6950</v>
      </c>
      <c r="AB880" t="s">
        <v>6951</v>
      </c>
      <c r="AC880" t="s">
        <v>6952</v>
      </c>
      <c r="AD880" t="s">
        <v>6953</v>
      </c>
    </row>
    <row r="881" spans="1:30">
      <c r="A881">
        <v>11007176</v>
      </c>
      <c r="B881" t="s">
        <v>4621</v>
      </c>
      <c r="C881" t="s">
        <v>5620</v>
      </c>
      <c r="D881" t="s">
        <v>5961</v>
      </c>
      <c r="E881" t="s">
        <v>5949</v>
      </c>
      <c r="J881" t="s">
        <v>6530</v>
      </c>
      <c r="M881" t="e">
        <v>#N/A</v>
      </c>
      <c r="N881" t="e">
        <v>#N/A</v>
      </c>
      <c r="O881" t="e">
        <v>#N/A</v>
      </c>
      <c r="P881" t="e">
        <v>#N/A</v>
      </c>
      <c r="R881" t="e">
        <v>#N/A</v>
      </c>
      <c r="T881" t="s">
        <v>5983</v>
      </c>
      <c r="U881" t="s">
        <v>5983</v>
      </c>
      <c r="V881" t="s">
        <v>5983</v>
      </c>
      <c r="Y881" t="s">
        <v>6948</v>
      </c>
      <c r="Z881" t="s">
        <v>6949</v>
      </c>
      <c r="AA881" t="s">
        <v>6950</v>
      </c>
      <c r="AB881" t="s">
        <v>6951</v>
      </c>
      <c r="AC881" t="s">
        <v>6952</v>
      </c>
      <c r="AD881" t="s">
        <v>6953</v>
      </c>
    </row>
    <row r="882" spans="1:30">
      <c r="A882" t="s">
        <v>4604</v>
      </c>
      <c r="B882" t="s">
        <v>4622</v>
      </c>
      <c r="C882" t="s">
        <v>5621</v>
      </c>
      <c r="D882">
        <v>0</v>
      </c>
      <c r="E882">
        <v>0</v>
      </c>
      <c r="J882">
        <v>0</v>
      </c>
      <c r="M882" t="e">
        <v>#N/A</v>
      </c>
      <c r="N882" t="e">
        <v>#N/A</v>
      </c>
      <c r="O882" t="e">
        <v>#N/A</v>
      </c>
      <c r="P882" t="e">
        <v>#N/A</v>
      </c>
      <c r="R882" t="e">
        <v>#N/A</v>
      </c>
      <c r="T882">
        <v>0</v>
      </c>
      <c r="U882" t="s">
        <v>5983</v>
      </c>
      <c r="V882" t="s">
        <v>5983</v>
      </c>
      <c r="Y882" t="s">
        <v>6948</v>
      </c>
      <c r="Z882" t="s">
        <v>6949</v>
      </c>
      <c r="AA882" t="s">
        <v>6950</v>
      </c>
      <c r="AB882" t="s">
        <v>6951</v>
      </c>
      <c r="AC882" t="s">
        <v>6952</v>
      </c>
      <c r="AD882" t="s">
        <v>6953</v>
      </c>
    </row>
    <row r="883" spans="1:30">
      <c r="A883" t="s">
        <v>4604</v>
      </c>
      <c r="B883" t="s">
        <v>4623</v>
      </c>
      <c r="C883" t="s">
        <v>5621</v>
      </c>
      <c r="D883" t="s">
        <v>5961</v>
      </c>
      <c r="E883" t="s">
        <v>5949</v>
      </c>
      <c r="J883" t="s">
        <v>6531</v>
      </c>
      <c r="M883" t="e">
        <v>#N/A</v>
      </c>
      <c r="N883" t="e">
        <v>#N/A</v>
      </c>
      <c r="O883" t="e">
        <v>#N/A</v>
      </c>
      <c r="P883" t="e">
        <v>#N/A</v>
      </c>
      <c r="R883" t="e">
        <v>#N/A</v>
      </c>
      <c r="T883" t="s">
        <v>5983</v>
      </c>
      <c r="U883" t="s">
        <v>5983</v>
      </c>
      <c r="V883" t="s">
        <v>5983</v>
      </c>
      <c r="Y883" t="s">
        <v>6948</v>
      </c>
      <c r="Z883" t="s">
        <v>6949</v>
      </c>
      <c r="AA883" t="s">
        <v>6950</v>
      </c>
      <c r="AB883" t="s">
        <v>6951</v>
      </c>
      <c r="AC883" t="s">
        <v>6952</v>
      </c>
      <c r="AD883" t="s">
        <v>6953</v>
      </c>
    </row>
    <row r="884" spans="1:30">
      <c r="A884" t="s">
        <v>4604</v>
      </c>
      <c r="B884" t="s">
        <v>4624</v>
      </c>
      <c r="C884" t="s">
        <v>5622</v>
      </c>
      <c r="D884" t="s">
        <v>5960</v>
      </c>
      <c r="E884" t="s">
        <v>5949</v>
      </c>
      <c r="J884" t="s">
        <v>6532</v>
      </c>
      <c r="M884" t="e">
        <v>#N/A</v>
      </c>
      <c r="N884" t="e">
        <v>#N/A</v>
      </c>
      <c r="O884" t="e">
        <v>#N/A</v>
      </c>
      <c r="P884" t="e">
        <v>#N/A</v>
      </c>
      <c r="R884" t="e">
        <v>#N/A</v>
      </c>
      <c r="T884" t="s">
        <v>5983</v>
      </c>
      <c r="U884" t="s">
        <v>5983</v>
      </c>
      <c r="V884" t="s">
        <v>5983</v>
      </c>
      <c r="Y884" t="s">
        <v>6948</v>
      </c>
      <c r="Z884" t="s">
        <v>6949</v>
      </c>
      <c r="AA884" t="s">
        <v>6950</v>
      </c>
      <c r="AB884" t="s">
        <v>6951</v>
      </c>
      <c r="AC884" t="s">
        <v>6952</v>
      </c>
      <c r="AD884" t="s">
        <v>6953</v>
      </c>
    </row>
    <row r="885" spans="1:30">
      <c r="A885">
        <v>11007174</v>
      </c>
      <c r="B885" t="s">
        <v>4625</v>
      </c>
      <c r="C885" t="s">
        <v>5622</v>
      </c>
      <c r="D885" t="s">
        <v>5961</v>
      </c>
      <c r="E885" t="s">
        <v>5949</v>
      </c>
      <c r="J885" t="s">
        <v>6532</v>
      </c>
      <c r="M885" t="e">
        <v>#N/A</v>
      </c>
      <c r="N885" t="e">
        <v>#N/A</v>
      </c>
      <c r="O885" t="e">
        <v>#N/A</v>
      </c>
      <c r="P885" t="e">
        <v>#N/A</v>
      </c>
      <c r="R885" t="e">
        <v>#N/A</v>
      </c>
      <c r="T885" t="s">
        <v>5983</v>
      </c>
      <c r="U885" t="s">
        <v>5983</v>
      </c>
      <c r="V885" t="s">
        <v>5983</v>
      </c>
      <c r="Y885" t="s">
        <v>6948</v>
      </c>
      <c r="Z885" t="s">
        <v>6949</v>
      </c>
      <c r="AA885" t="s">
        <v>6950</v>
      </c>
      <c r="AB885" t="s">
        <v>6951</v>
      </c>
      <c r="AC885" t="s">
        <v>6952</v>
      </c>
      <c r="AD885" t="s">
        <v>6953</v>
      </c>
    </row>
    <row r="886" spans="1:30">
      <c r="A886" t="s">
        <v>4604</v>
      </c>
      <c r="B886" t="s">
        <v>4626</v>
      </c>
      <c r="C886" t="s">
        <v>5623</v>
      </c>
      <c r="D886">
        <v>0</v>
      </c>
      <c r="E886">
        <v>0</v>
      </c>
      <c r="J886">
        <v>0</v>
      </c>
      <c r="M886" t="e">
        <v>#N/A</v>
      </c>
      <c r="N886" t="e">
        <v>#N/A</v>
      </c>
      <c r="O886" t="e">
        <v>#N/A</v>
      </c>
      <c r="P886" t="e">
        <v>#N/A</v>
      </c>
      <c r="R886" t="e">
        <v>#N/A</v>
      </c>
      <c r="T886">
        <v>0</v>
      </c>
      <c r="U886" t="s">
        <v>5983</v>
      </c>
      <c r="V886" t="s">
        <v>5983</v>
      </c>
      <c r="Y886" t="s">
        <v>6948</v>
      </c>
      <c r="Z886" t="s">
        <v>6949</v>
      </c>
      <c r="AA886" t="s">
        <v>6950</v>
      </c>
      <c r="AB886" t="s">
        <v>6951</v>
      </c>
      <c r="AC886" t="s">
        <v>6952</v>
      </c>
      <c r="AD886" t="s">
        <v>6953</v>
      </c>
    </row>
    <row r="887" spans="1:30">
      <c r="A887" t="s">
        <v>4604</v>
      </c>
      <c r="B887" t="s">
        <v>4627</v>
      </c>
      <c r="C887" t="s">
        <v>5623</v>
      </c>
      <c r="D887" t="s">
        <v>5961</v>
      </c>
      <c r="E887" t="s">
        <v>5949</v>
      </c>
      <c r="J887" t="s">
        <v>6533</v>
      </c>
      <c r="M887" t="e">
        <v>#N/A</v>
      </c>
      <c r="N887" t="e">
        <v>#N/A</v>
      </c>
      <c r="O887" t="e">
        <v>#N/A</v>
      </c>
      <c r="P887" t="e">
        <v>#N/A</v>
      </c>
      <c r="R887" t="e">
        <v>#N/A</v>
      </c>
      <c r="T887" t="s">
        <v>5983</v>
      </c>
      <c r="U887" t="s">
        <v>5983</v>
      </c>
      <c r="V887" t="s">
        <v>5983</v>
      </c>
      <c r="Y887" t="s">
        <v>6948</v>
      </c>
      <c r="Z887" t="s">
        <v>6949</v>
      </c>
      <c r="AA887" t="s">
        <v>6950</v>
      </c>
      <c r="AB887" t="s">
        <v>6951</v>
      </c>
      <c r="AC887" t="s">
        <v>6952</v>
      </c>
      <c r="AD887" t="s">
        <v>6953</v>
      </c>
    </row>
    <row r="888" spans="1:30">
      <c r="A888" t="s">
        <v>4604</v>
      </c>
      <c r="B888" t="s">
        <v>4628</v>
      </c>
      <c r="C888" t="s">
        <v>5624</v>
      </c>
      <c r="D888" t="s">
        <v>5962</v>
      </c>
      <c r="E888" t="s">
        <v>5949</v>
      </c>
      <c r="J888" t="s">
        <v>6534</v>
      </c>
      <c r="M888" t="e">
        <v>#N/A</v>
      </c>
      <c r="N888" t="e">
        <v>#N/A</v>
      </c>
      <c r="O888" t="e">
        <v>#N/A</v>
      </c>
      <c r="P888" t="e">
        <v>#N/A</v>
      </c>
      <c r="R888" t="e">
        <v>#N/A</v>
      </c>
      <c r="T888" t="s">
        <v>5983</v>
      </c>
      <c r="U888" t="s">
        <v>5983</v>
      </c>
      <c r="V888" t="s">
        <v>5983</v>
      </c>
      <c r="Y888" t="s">
        <v>6948</v>
      </c>
      <c r="Z888" t="s">
        <v>6949</v>
      </c>
      <c r="AA888" t="s">
        <v>6950</v>
      </c>
      <c r="AB888" t="s">
        <v>6951</v>
      </c>
      <c r="AC888" t="s">
        <v>6952</v>
      </c>
      <c r="AD888" t="s">
        <v>6953</v>
      </c>
    </row>
    <row r="889" spans="1:30">
      <c r="A889" t="s">
        <v>4604</v>
      </c>
      <c r="B889" t="s">
        <v>4629</v>
      </c>
      <c r="C889" t="s">
        <v>5624</v>
      </c>
      <c r="D889" t="s">
        <v>5963</v>
      </c>
      <c r="E889" t="s">
        <v>5949</v>
      </c>
      <c r="J889" t="s">
        <v>6534</v>
      </c>
      <c r="M889" t="e">
        <v>#N/A</v>
      </c>
      <c r="N889" t="e">
        <v>#N/A</v>
      </c>
      <c r="O889" t="e">
        <v>#N/A</v>
      </c>
      <c r="P889" t="e">
        <v>#N/A</v>
      </c>
      <c r="R889" t="e">
        <v>#N/A</v>
      </c>
      <c r="T889" t="s">
        <v>5983</v>
      </c>
      <c r="U889" t="s">
        <v>5983</v>
      </c>
      <c r="V889" t="s">
        <v>5983</v>
      </c>
      <c r="Y889" t="s">
        <v>6948</v>
      </c>
      <c r="Z889" t="s">
        <v>6949</v>
      </c>
      <c r="AA889" t="s">
        <v>6950</v>
      </c>
      <c r="AB889" t="s">
        <v>6951</v>
      </c>
      <c r="AC889" t="s">
        <v>6952</v>
      </c>
      <c r="AD889" t="s">
        <v>6953</v>
      </c>
    </row>
    <row r="890" spans="1:30">
      <c r="A890" t="s">
        <v>4604</v>
      </c>
      <c r="B890" t="s">
        <v>4630</v>
      </c>
      <c r="C890" t="s">
        <v>5625</v>
      </c>
      <c r="D890" t="s">
        <v>5962</v>
      </c>
      <c r="E890" t="s">
        <v>5949</v>
      </c>
      <c r="J890" t="s">
        <v>6535</v>
      </c>
      <c r="M890" t="e">
        <v>#N/A</v>
      </c>
      <c r="N890" t="e">
        <v>#N/A</v>
      </c>
      <c r="O890" t="e">
        <v>#N/A</v>
      </c>
      <c r="P890" t="e">
        <v>#N/A</v>
      </c>
      <c r="R890" t="e">
        <v>#N/A</v>
      </c>
      <c r="T890" t="s">
        <v>5983</v>
      </c>
      <c r="U890" t="s">
        <v>5983</v>
      </c>
      <c r="V890" t="s">
        <v>5983</v>
      </c>
      <c r="Y890" t="s">
        <v>6948</v>
      </c>
      <c r="Z890" t="s">
        <v>6949</v>
      </c>
      <c r="AA890" t="s">
        <v>6950</v>
      </c>
      <c r="AB890" t="s">
        <v>6951</v>
      </c>
      <c r="AC890" t="s">
        <v>6952</v>
      </c>
      <c r="AD890" t="s">
        <v>6953</v>
      </c>
    </row>
    <row r="891" spans="1:30">
      <c r="A891" t="s">
        <v>4604</v>
      </c>
      <c r="B891" t="s">
        <v>4631</v>
      </c>
      <c r="C891" t="s">
        <v>5625</v>
      </c>
      <c r="D891" t="s">
        <v>5963</v>
      </c>
      <c r="E891" t="s">
        <v>5949</v>
      </c>
      <c r="J891" t="s">
        <v>6535</v>
      </c>
      <c r="M891" t="e">
        <v>#N/A</v>
      </c>
      <c r="N891" t="e">
        <v>#N/A</v>
      </c>
      <c r="O891" t="e">
        <v>#N/A</v>
      </c>
      <c r="P891" t="e">
        <v>#N/A</v>
      </c>
      <c r="R891" t="e">
        <v>#N/A</v>
      </c>
      <c r="T891" t="s">
        <v>5983</v>
      </c>
      <c r="U891" t="s">
        <v>5983</v>
      </c>
      <c r="V891" t="s">
        <v>5983</v>
      </c>
      <c r="Y891" t="s">
        <v>6948</v>
      </c>
      <c r="Z891" t="s">
        <v>6949</v>
      </c>
      <c r="AA891" t="s">
        <v>6950</v>
      </c>
      <c r="AB891" t="s">
        <v>6951</v>
      </c>
      <c r="AC891" t="s">
        <v>6952</v>
      </c>
      <c r="AD891" t="s">
        <v>6953</v>
      </c>
    </row>
    <row r="892" spans="1:30">
      <c r="A892" t="s">
        <v>4604</v>
      </c>
      <c r="B892" t="s">
        <v>4632</v>
      </c>
      <c r="C892" t="s">
        <v>5626</v>
      </c>
      <c r="D892">
        <v>0</v>
      </c>
      <c r="E892">
        <v>0</v>
      </c>
      <c r="J892">
        <v>0</v>
      </c>
      <c r="M892" t="e">
        <v>#N/A</v>
      </c>
      <c r="N892" t="e">
        <v>#N/A</v>
      </c>
      <c r="O892" t="e">
        <v>#N/A</v>
      </c>
      <c r="P892" t="e">
        <v>#N/A</v>
      </c>
      <c r="R892" t="e">
        <v>#N/A</v>
      </c>
      <c r="T892">
        <v>0</v>
      </c>
      <c r="U892" t="s">
        <v>5983</v>
      </c>
      <c r="V892" t="s">
        <v>5983</v>
      </c>
      <c r="Y892" t="s">
        <v>6948</v>
      </c>
      <c r="Z892" t="s">
        <v>6949</v>
      </c>
      <c r="AA892" t="s">
        <v>6950</v>
      </c>
      <c r="AB892" t="s">
        <v>6951</v>
      </c>
      <c r="AC892" t="s">
        <v>6952</v>
      </c>
      <c r="AD892" t="s">
        <v>6953</v>
      </c>
    </row>
    <row r="893" spans="1:30">
      <c r="A893" t="s">
        <v>4604</v>
      </c>
      <c r="B893" t="s">
        <v>4633</v>
      </c>
      <c r="C893" t="s">
        <v>5626</v>
      </c>
      <c r="D893" t="s">
        <v>5963</v>
      </c>
      <c r="E893" t="s">
        <v>5949</v>
      </c>
      <c r="J893" t="s">
        <v>6536</v>
      </c>
      <c r="M893" t="e">
        <v>#N/A</v>
      </c>
      <c r="N893" t="e">
        <v>#N/A</v>
      </c>
      <c r="O893" t="e">
        <v>#N/A</v>
      </c>
      <c r="P893" t="e">
        <v>#N/A</v>
      </c>
      <c r="R893" t="e">
        <v>#N/A</v>
      </c>
      <c r="T893" t="s">
        <v>5983</v>
      </c>
      <c r="U893" t="s">
        <v>5983</v>
      </c>
      <c r="V893" t="s">
        <v>5983</v>
      </c>
      <c r="Y893" t="s">
        <v>6948</v>
      </c>
      <c r="Z893" t="s">
        <v>6949</v>
      </c>
      <c r="AA893" t="s">
        <v>6950</v>
      </c>
      <c r="AB893" t="s">
        <v>6951</v>
      </c>
      <c r="AC893" t="s">
        <v>6952</v>
      </c>
      <c r="AD893" t="s">
        <v>6953</v>
      </c>
    </row>
    <row r="894" spans="1:30">
      <c r="A894" t="s">
        <v>4604</v>
      </c>
      <c r="B894" t="s">
        <v>4634</v>
      </c>
      <c r="C894" t="s">
        <v>5627</v>
      </c>
      <c r="D894">
        <v>0</v>
      </c>
      <c r="E894">
        <v>0</v>
      </c>
      <c r="J894">
        <v>0</v>
      </c>
      <c r="M894" t="e">
        <v>#N/A</v>
      </c>
      <c r="N894" t="e">
        <v>#N/A</v>
      </c>
      <c r="O894" t="e">
        <v>#N/A</v>
      </c>
      <c r="P894" t="e">
        <v>#N/A</v>
      </c>
      <c r="R894" t="e">
        <v>#N/A</v>
      </c>
      <c r="T894">
        <v>0</v>
      </c>
      <c r="U894" t="s">
        <v>5983</v>
      </c>
      <c r="V894" t="s">
        <v>5983</v>
      </c>
      <c r="Y894" t="s">
        <v>6948</v>
      </c>
      <c r="Z894" t="s">
        <v>6949</v>
      </c>
      <c r="AA894" t="s">
        <v>6950</v>
      </c>
      <c r="AB894" t="s">
        <v>6951</v>
      </c>
      <c r="AC894" t="s">
        <v>6952</v>
      </c>
      <c r="AD894" t="s">
        <v>6953</v>
      </c>
    </row>
    <row r="895" spans="1:30">
      <c r="A895" t="s">
        <v>4604</v>
      </c>
      <c r="B895" t="s">
        <v>4635</v>
      </c>
      <c r="C895" t="s">
        <v>5627</v>
      </c>
      <c r="D895" t="s">
        <v>5963</v>
      </c>
      <c r="E895" t="s">
        <v>5949</v>
      </c>
      <c r="J895" t="s">
        <v>6537</v>
      </c>
      <c r="M895" t="e">
        <v>#N/A</v>
      </c>
      <c r="N895" t="e">
        <v>#N/A</v>
      </c>
      <c r="O895" t="e">
        <v>#N/A</v>
      </c>
      <c r="P895" t="e">
        <v>#N/A</v>
      </c>
      <c r="R895" t="e">
        <v>#N/A</v>
      </c>
      <c r="T895" t="s">
        <v>5983</v>
      </c>
      <c r="U895" t="s">
        <v>5983</v>
      </c>
      <c r="V895" t="s">
        <v>5983</v>
      </c>
      <c r="Y895" t="s">
        <v>6948</v>
      </c>
      <c r="Z895" t="s">
        <v>6949</v>
      </c>
      <c r="AA895" t="s">
        <v>6950</v>
      </c>
      <c r="AB895" t="s">
        <v>6951</v>
      </c>
      <c r="AC895" t="s">
        <v>6952</v>
      </c>
      <c r="AD895" t="s">
        <v>6953</v>
      </c>
    </row>
    <row r="896" spans="1:30">
      <c r="A896" t="s">
        <v>4604</v>
      </c>
      <c r="B896" t="s">
        <v>4636</v>
      </c>
      <c r="C896" t="s">
        <v>5628</v>
      </c>
      <c r="D896" t="s">
        <v>5964</v>
      </c>
      <c r="E896" t="s">
        <v>5949</v>
      </c>
      <c r="J896" t="s">
        <v>6538</v>
      </c>
      <c r="M896" t="e">
        <v>#N/A</v>
      </c>
      <c r="N896" t="e">
        <v>#N/A</v>
      </c>
      <c r="O896" t="e">
        <v>#N/A</v>
      </c>
      <c r="P896" t="e">
        <v>#N/A</v>
      </c>
      <c r="R896" t="e">
        <v>#N/A</v>
      </c>
      <c r="T896" t="s">
        <v>5983</v>
      </c>
      <c r="U896" t="s">
        <v>5983</v>
      </c>
      <c r="V896" t="s">
        <v>5983</v>
      </c>
      <c r="Y896" t="s">
        <v>6948</v>
      </c>
      <c r="Z896" t="s">
        <v>6949</v>
      </c>
      <c r="AA896" t="s">
        <v>6950</v>
      </c>
      <c r="AB896" t="s">
        <v>6951</v>
      </c>
      <c r="AC896" t="s">
        <v>6952</v>
      </c>
      <c r="AD896" t="s">
        <v>6953</v>
      </c>
    </row>
    <row r="897" spans="1:30">
      <c r="A897">
        <v>11007172</v>
      </c>
      <c r="B897" t="s">
        <v>4637</v>
      </c>
      <c r="C897" t="s">
        <v>5628</v>
      </c>
      <c r="D897" t="s">
        <v>5965</v>
      </c>
      <c r="E897" t="s">
        <v>5949</v>
      </c>
      <c r="J897" t="s">
        <v>6538</v>
      </c>
      <c r="M897" t="e">
        <v>#N/A</v>
      </c>
      <c r="N897" t="e">
        <v>#N/A</v>
      </c>
      <c r="O897" t="e">
        <v>#N/A</v>
      </c>
      <c r="P897" t="e">
        <v>#N/A</v>
      </c>
      <c r="R897" t="e">
        <v>#N/A</v>
      </c>
      <c r="T897" t="s">
        <v>5983</v>
      </c>
      <c r="U897" t="s">
        <v>5983</v>
      </c>
      <c r="V897" t="s">
        <v>5983</v>
      </c>
      <c r="Y897" t="s">
        <v>6948</v>
      </c>
      <c r="Z897" t="s">
        <v>6949</v>
      </c>
      <c r="AA897" t="s">
        <v>6950</v>
      </c>
      <c r="AB897" t="s">
        <v>6951</v>
      </c>
      <c r="AC897" t="s">
        <v>6952</v>
      </c>
      <c r="AD897" t="s">
        <v>6953</v>
      </c>
    </row>
    <row r="898" spans="1:30">
      <c r="A898" t="s">
        <v>4604</v>
      </c>
      <c r="B898" t="s">
        <v>4638</v>
      </c>
      <c r="C898" t="s">
        <v>5629</v>
      </c>
      <c r="D898" t="s">
        <v>5964</v>
      </c>
      <c r="E898" t="s">
        <v>5949</v>
      </c>
      <c r="J898" t="s">
        <v>6539</v>
      </c>
      <c r="M898" t="e">
        <v>#N/A</v>
      </c>
      <c r="N898" t="e">
        <v>#N/A</v>
      </c>
      <c r="O898" t="e">
        <v>#N/A</v>
      </c>
      <c r="P898" t="e">
        <v>#N/A</v>
      </c>
      <c r="R898" t="e">
        <v>#N/A</v>
      </c>
      <c r="T898" t="s">
        <v>5983</v>
      </c>
      <c r="U898" t="s">
        <v>5983</v>
      </c>
      <c r="V898" t="s">
        <v>5983</v>
      </c>
      <c r="Y898" t="s">
        <v>6948</v>
      </c>
      <c r="Z898" t="s">
        <v>6949</v>
      </c>
      <c r="AA898" t="s">
        <v>6950</v>
      </c>
      <c r="AB898" t="s">
        <v>6951</v>
      </c>
      <c r="AC898" t="s">
        <v>6952</v>
      </c>
      <c r="AD898" t="s">
        <v>6953</v>
      </c>
    </row>
    <row r="899" spans="1:30">
      <c r="A899" t="s">
        <v>4604</v>
      </c>
      <c r="B899" t="s">
        <v>4639</v>
      </c>
      <c r="C899" t="s">
        <v>5629</v>
      </c>
      <c r="D899" t="s">
        <v>5965</v>
      </c>
      <c r="E899" t="s">
        <v>5949</v>
      </c>
      <c r="J899" t="s">
        <v>6539</v>
      </c>
      <c r="M899" t="e">
        <v>#N/A</v>
      </c>
      <c r="N899" t="e">
        <v>#N/A</v>
      </c>
      <c r="O899" t="e">
        <v>#N/A</v>
      </c>
      <c r="P899" t="e">
        <v>#N/A</v>
      </c>
      <c r="R899" t="e">
        <v>#N/A</v>
      </c>
      <c r="T899" t="s">
        <v>5983</v>
      </c>
      <c r="U899" t="s">
        <v>5983</v>
      </c>
      <c r="V899" t="s">
        <v>5983</v>
      </c>
      <c r="Y899" t="s">
        <v>6948</v>
      </c>
      <c r="Z899" t="s">
        <v>6949</v>
      </c>
      <c r="AA899" t="s">
        <v>6950</v>
      </c>
      <c r="AB899" t="s">
        <v>6951</v>
      </c>
      <c r="AC899" t="s">
        <v>6952</v>
      </c>
      <c r="AD899" t="s">
        <v>6953</v>
      </c>
    </row>
    <row r="900" spans="1:30">
      <c r="A900" t="s">
        <v>4604</v>
      </c>
      <c r="B900" t="s">
        <v>4640</v>
      </c>
      <c r="C900" t="s">
        <v>5630</v>
      </c>
      <c r="D900" t="s">
        <v>5964</v>
      </c>
      <c r="E900" t="s">
        <v>5949</v>
      </c>
      <c r="J900" t="s">
        <v>6540</v>
      </c>
      <c r="M900" t="e">
        <v>#N/A</v>
      </c>
      <c r="N900" t="e">
        <v>#N/A</v>
      </c>
      <c r="O900" t="e">
        <v>#N/A</v>
      </c>
      <c r="P900" t="e">
        <v>#N/A</v>
      </c>
      <c r="R900" t="e">
        <v>#N/A</v>
      </c>
      <c r="T900" t="s">
        <v>5983</v>
      </c>
      <c r="U900" t="s">
        <v>5983</v>
      </c>
      <c r="V900" t="s">
        <v>5983</v>
      </c>
      <c r="Y900" t="s">
        <v>6948</v>
      </c>
      <c r="Z900" t="s">
        <v>6949</v>
      </c>
      <c r="AA900" t="s">
        <v>6950</v>
      </c>
      <c r="AB900" t="s">
        <v>6951</v>
      </c>
      <c r="AC900" t="s">
        <v>6952</v>
      </c>
      <c r="AD900" t="s">
        <v>6953</v>
      </c>
    </row>
    <row r="901" spans="1:30">
      <c r="A901">
        <v>11007170</v>
      </c>
      <c r="B901" t="s">
        <v>4641</v>
      </c>
      <c r="C901" t="s">
        <v>5630</v>
      </c>
      <c r="D901" t="s">
        <v>5965</v>
      </c>
      <c r="E901" t="s">
        <v>5949</v>
      </c>
      <c r="J901" t="s">
        <v>6540</v>
      </c>
      <c r="M901" t="e">
        <v>#N/A</v>
      </c>
      <c r="N901" t="e">
        <v>#N/A</v>
      </c>
      <c r="O901" t="e">
        <v>#N/A</v>
      </c>
      <c r="P901" t="e">
        <v>#N/A</v>
      </c>
      <c r="R901" t="e">
        <v>#N/A</v>
      </c>
      <c r="T901" t="s">
        <v>5983</v>
      </c>
      <c r="U901" t="s">
        <v>5983</v>
      </c>
      <c r="V901" t="s">
        <v>5983</v>
      </c>
      <c r="Y901" t="s">
        <v>6948</v>
      </c>
      <c r="Z901" t="s">
        <v>6949</v>
      </c>
      <c r="AA901" t="s">
        <v>6950</v>
      </c>
      <c r="AB901" t="s">
        <v>6951</v>
      </c>
      <c r="AC901" t="s">
        <v>6952</v>
      </c>
      <c r="AD901" t="s">
        <v>6953</v>
      </c>
    </row>
    <row r="902" spans="1:30">
      <c r="A902" t="s">
        <v>4604</v>
      </c>
      <c r="B902" t="s">
        <v>4642</v>
      </c>
      <c r="C902" t="s">
        <v>5631</v>
      </c>
      <c r="D902" t="s">
        <v>5964</v>
      </c>
      <c r="E902" t="s">
        <v>5949</v>
      </c>
      <c r="J902" t="s">
        <v>6541</v>
      </c>
      <c r="M902" t="e">
        <v>#N/A</v>
      </c>
      <c r="N902" t="e">
        <v>#N/A</v>
      </c>
      <c r="O902" t="e">
        <v>#N/A</v>
      </c>
      <c r="P902" t="e">
        <v>#N/A</v>
      </c>
      <c r="R902" t="e">
        <v>#N/A</v>
      </c>
      <c r="T902" t="s">
        <v>5983</v>
      </c>
      <c r="U902" t="s">
        <v>5983</v>
      </c>
      <c r="V902" t="s">
        <v>5983</v>
      </c>
      <c r="Y902" t="s">
        <v>6948</v>
      </c>
      <c r="Z902" t="s">
        <v>6949</v>
      </c>
      <c r="AA902" t="s">
        <v>6950</v>
      </c>
      <c r="AB902" t="s">
        <v>6951</v>
      </c>
      <c r="AC902" t="s">
        <v>6952</v>
      </c>
      <c r="AD902" t="s">
        <v>6953</v>
      </c>
    </row>
    <row r="903" spans="1:30">
      <c r="A903" t="s">
        <v>4604</v>
      </c>
      <c r="B903" t="s">
        <v>4643</v>
      </c>
      <c r="C903" t="s">
        <v>5631</v>
      </c>
      <c r="D903" t="s">
        <v>5965</v>
      </c>
      <c r="E903" t="s">
        <v>5949</v>
      </c>
      <c r="J903" t="s">
        <v>6541</v>
      </c>
      <c r="M903" t="e">
        <v>#N/A</v>
      </c>
      <c r="N903" t="e">
        <v>#N/A</v>
      </c>
      <c r="O903" t="e">
        <v>#N/A</v>
      </c>
      <c r="P903" t="e">
        <v>#N/A</v>
      </c>
      <c r="R903" t="e">
        <v>#N/A</v>
      </c>
      <c r="T903" t="s">
        <v>5983</v>
      </c>
      <c r="U903" t="s">
        <v>5983</v>
      </c>
      <c r="V903" t="s">
        <v>5983</v>
      </c>
      <c r="Y903" t="s">
        <v>6948</v>
      </c>
      <c r="Z903" t="s">
        <v>6949</v>
      </c>
      <c r="AA903" t="s">
        <v>6950</v>
      </c>
      <c r="AB903" t="s">
        <v>6951</v>
      </c>
      <c r="AC903" t="s">
        <v>6952</v>
      </c>
      <c r="AD903" t="s">
        <v>6953</v>
      </c>
    </row>
    <row r="904" spans="1:30">
      <c r="A904" t="s">
        <v>4604</v>
      </c>
      <c r="B904" t="s">
        <v>4644</v>
      </c>
      <c r="C904" t="s">
        <v>5632</v>
      </c>
      <c r="D904" t="s">
        <v>5966</v>
      </c>
      <c r="E904" t="s">
        <v>5949</v>
      </c>
      <c r="J904" t="s">
        <v>6542</v>
      </c>
      <c r="M904" t="e">
        <v>#N/A</v>
      </c>
      <c r="N904" t="e">
        <v>#N/A</v>
      </c>
      <c r="O904" t="e">
        <v>#N/A</v>
      </c>
      <c r="P904" t="e">
        <v>#N/A</v>
      </c>
      <c r="R904" t="e">
        <v>#N/A</v>
      </c>
      <c r="T904" t="s">
        <v>5983</v>
      </c>
      <c r="U904" t="s">
        <v>5983</v>
      </c>
      <c r="V904" t="s">
        <v>5983</v>
      </c>
      <c r="Y904" t="s">
        <v>6948</v>
      </c>
      <c r="Z904" t="s">
        <v>6949</v>
      </c>
      <c r="AA904" t="s">
        <v>6950</v>
      </c>
      <c r="AB904" t="s">
        <v>6951</v>
      </c>
      <c r="AC904" t="s">
        <v>6952</v>
      </c>
      <c r="AD904" t="s">
        <v>6953</v>
      </c>
    </row>
    <row r="905" spans="1:30">
      <c r="A905">
        <v>11007169</v>
      </c>
      <c r="B905" t="s">
        <v>4645</v>
      </c>
      <c r="C905" t="s">
        <v>5632</v>
      </c>
      <c r="D905" t="s">
        <v>5967</v>
      </c>
      <c r="E905" t="s">
        <v>5949</v>
      </c>
      <c r="J905" t="s">
        <v>6542</v>
      </c>
      <c r="M905" t="e">
        <v>#N/A</v>
      </c>
      <c r="N905" t="e">
        <v>#N/A</v>
      </c>
      <c r="O905" t="e">
        <v>#N/A</v>
      </c>
      <c r="P905" t="e">
        <v>#N/A</v>
      </c>
      <c r="R905" t="e">
        <v>#N/A</v>
      </c>
      <c r="T905" t="s">
        <v>5983</v>
      </c>
      <c r="U905" t="s">
        <v>5983</v>
      </c>
      <c r="V905" t="s">
        <v>5983</v>
      </c>
      <c r="Y905" t="s">
        <v>6948</v>
      </c>
      <c r="Z905" t="s">
        <v>6949</v>
      </c>
      <c r="AA905" t="s">
        <v>6950</v>
      </c>
      <c r="AB905" t="s">
        <v>6951</v>
      </c>
      <c r="AC905" t="s">
        <v>6952</v>
      </c>
      <c r="AD905" t="s">
        <v>6953</v>
      </c>
    </row>
    <row r="906" spans="1:30">
      <c r="A906" t="s">
        <v>4604</v>
      </c>
      <c r="B906" t="s">
        <v>4646</v>
      </c>
      <c r="C906" t="s">
        <v>5633</v>
      </c>
      <c r="D906" t="s">
        <v>5966</v>
      </c>
      <c r="E906" t="s">
        <v>5949</v>
      </c>
      <c r="J906" t="s">
        <v>6543</v>
      </c>
      <c r="M906" t="e">
        <v>#N/A</v>
      </c>
      <c r="N906" t="e">
        <v>#N/A</v>
      </c>
      <c r="O906" t="e">
        <v>#N/A</v>
      </c>
      <c r="P906" t="e">
        <v>#N/A</v>
      </c>
      <c r="R906" t="e">
        <v>#N/A</v>
      </c>
      <c r="T906" t="s">
        <v>5983</v>
      </c>
      <c r="U906" t="s">
        <v>5983</v>
      </c>
      <c r="V906" t="s">
        <v>5983</v>
      </c>
      <c r="Y906" t="s">
        <v>6948</v>
      </c>
      <c r="Z906" t="s">
        <v>6949</v>
      </c>
      <c r="AA906" t="s">
        <v>6950</v>
      </c>
      <c r="AB906" t="s">
        <v>6951</v>
      </c>
      <c r="AC906" t="s">
        <v>6952</v>
      </c>
      <c r="AD906" t="s">
        <v>6953</v>
      </c>
    </row>
    <row r="907" spans="1:30">
      <c r="A907" t="s">
        <v>4604</v>
      </c>
      <c r="B907" t="s">
        <v>4647</v>
      </c>
      <c r="C907" t="s">
        <v>5633</v>
      </c>
      <c r="D907" t="s">
        <v>5967</v>
      </c>
      <c r="E907" t="s">
        <v>5949</v>
      </c>
      <c r="J907" t="s">
        <v>6543</v>
      </c>
      <c r="M907" t="e">
        <v>#N/A</v>
      </c>
      <c r="N907" t="e">
        <v>#N/A</v>
      </c>
      <c r="O907" t="e">
        <v>#N/A</v>
      </c>
      <c r="P907" t="e">
        <v>#N/A</v>
      </c>
      <c r="R907" t="e">
        <v>#N/A</v>
      </c>
      <c r="T907" t="s">
        <v>5983</v>
      </c>
      <c r="U907" t="s">
        <v>5983</v>
      </c>
      <c r="V907" t="s">
        <v>5983</v>
      </c>
      <c r="Y907" t="s">
        <v>6948</v>
      </c>
      <c r="Z907" t="s">
        <v>6949</v>
      </c>
      <c r="AA907" t="s">
        <v>6950</v>
      </c>
      <c r="AB907" t="s">
        <v>6951</v>
      </c>
      <c r="AC907" t="s">
        <v>6952</v>
      </c>
      <c r="AD907" t="s">
        <v>6953</v>
      </c>
    </row>
    <row r="908" spans="1:30">
      <c r="A908" t="s">
        <v>4604</v>
      </c>
      <c r="B908" t="s">
        <v>4648</v>
      </c>
      <c r="C908" t="s">
        <v>5634</v>
      </c>
      <c r="D908" t="s">
        <v>5968</v>
      </c>
      <c r="E908" t="s">
        <v>5949</v>
      </c>
      <c r="J908" t="s">
        <v>6544</v>
      </c>
      <c r="M908" t="e">
        <v>#N/A</v>
      </c>
      <c r="N908" t="e">
        <v>#N/A</v>
      </c>
      <c r="O908" t="e">
        <v>#N/A</v>
      </c>
      <c r="P908" t="e">
        <v>#N/A</v>
      </c>
      <c r="R908" t="e">
        <v>#N/A</v>
      </c>
      <c r="T908" t="s">
        <v>5983</v>
      </c>
      <c r="U908" t="s">
        <v>5983</v>
      </c>
      <c r="V908" t="s">
        <v>5983</v>
      </c>
      <c r="Y908" t="s">
        <v>6948</v>
      </c>
      <c r="Z908" t="s">
        <v>6949</v>
      </c>
      <c r="AA908" t="s">
        <v>6950</v>
      </c>
      <c r="AB908" t="s">
        <v>6951</v>
      </c>
      <c r="AC908" t="s">
        <v>6952</v>
      </c>
      <c r="AD908" t="s">
        <v>6953</v>
      </c>
    </row>
    <row r="909" spans="1:30">
      <c r="A909">
        <v>11007167</v>
      </c>
      <c r="B909" t="s">
        <v>4649</v>
      </c>
      <c r="C909" t="s">
        <v>5634</v>
      </c>
      <c r="D909" t="s">
        <v>5969</v>
      </c>
      <c r="E909" t="s">
        <v>5949</v>
      </c>
      <c r="J909" t="s">
        <v>6544</v>
      </c>
      <c r="M909" t="e">
        <v>#N/A</v>
      </c>
      <c r="N909" t="e">
        <v>#N/A</v>
      </c>
      <c r="O909" t="e">
        <v>#N/A</v>
      </c>
      <c r="P909" t="e">
        <v>#N/A</v>
      </c>
      <c r="R909" t="e">
        <v>#N/A</v>
      </c>
      <c r="T909" t="s">
        <v>5983</v>
      </c>
      <c r="U909" t="s">
        <v>5983</v>
      </c>
      <c r="V909" t="s">
        <v>5983</v>
      </c>
      <c r="Y909" t="s">
        <v>6948</v>
      </c>
      <c r="Z909" t="s">
        <v>6949</v>
      </c>
      <c r="AA909" t="s">
        <v>6950</v>
      </c>
      <c r="AB909" t="s">
        <v>6951</v>
      </c>
      <c r="AC909" t="s">
        <v>6952</v>
      </c>
      <c r="AD909" t="s">
        <v>6953</v>
      </c>
    </row>
    <row r="910" spans="1:30">
      <c r="A910" t="s">
        <v>4604</v>
      </c>
      <c r="B910" t="s">
        <v>4650</v>
      </c>
      <c r="C910" t="s">
        <v>5635</v>
      </c>
      <c r="D910" t="s">
        <v>5968</v>
      </c>
      <c r="E910" t="s">
        <v>5949</v>
      </c>
      <c r="J910" t="s">
        <v>6545</v>
      </c>
      <c r="M910" t="e">
        <v>#N/A</v>
      </c>
      <c r="N910" t="e">
        <v>#N/A</v>
      </c>
      <c r="O910" t="e">
        <v>#N/A</v>
      </c>
      <c r="P910" t="e">
        <v>#N/A</v>
      </c>
      <c r="R910" t="e">
        <v>#N/A</v>
      </c>
      <c r="T910" t="s">
        <v>5983</v>
      </c>
      <c r="U910" t="s">
        <v>5983</v>
      </c>
      <c r="V910" t="s">
        <v>5983</v>
      </c>
      <c r="Y910" t="s">
        <v>6948</v>
      </c>
      <c r="Z910" t="s">
        <v>6949</v>
      </c>
      <c r="AA910" t="s">
        <v>6950</v>
      </c>
      <c r="AB910" t="s">
        <v>6951</v>
      </c>
      <c r="AC910" t="s">
        <v>6952</v>
      </c>
      <c r="AD910" t="s">
        <v>6953</v>
      </c>
    </row>
    <row r="911" spans="1:30">
      <c r="A911">
        <v>11007166</v>
      </c>
      <c r="B911" t="s">
        <v>4651</v>
      </c>
      <c r="C911" t="s">
        <v>5635</v>
      </c>
      <c r="D911" t="s">
        <v>5969</v>
      </c>
      <c r="E911" t="s">
        <v>5949</v>
      </c>
      <c r="J911" t="s">
        <v>6545</v>
      </c>
      <c r="M911" t="e">
        <v>#N/A</v>
      </c>
      <c r="N911" t="e">
        <v>#N/A</v>
      </c>
      <c r="O911" t="e">
        <v>#N/A</v>
      </c>
      <c r="P911" t="e">
        <v>#N/A</v>
      </c>
      <c r="R911" t="e">
        <v>#N/A</v>
      </c>
      <c r="T911" t="s">
        <v>5983</v>
      </c>
      <c r="U911" t="s">
        <v>5983</v>
      </c>
      <c r="V911" t="s">
        <v>5983</v>
      </c>
      <c r="Y911" t="s">
        <v>6948</v>
      </c>
      <c r="Z911" t="s">
        <v>6949</v>
      </c>
      <c r="AA911" t="s">
        <v>6950</v>
      </c>
      <c r="AB911" t="s">
        <v>6951</v>
      </c>
      <c r="AC911" t="s">
        <v>6952</v>
      </c>
      <c r="AD911" t="s">
        <v>6953</v>
      </c>
    </row>
    <row r="912" spans="1:30">
      <c r="A912" t="s">
        <v>4604</v>
      </c>
      <c r="B912" t="s">
        <v>4652</v>
      </c>
      <c r="C912" t="s">
        <v>5636</v>
      </c>
      <c r="D912" t="s">
        <v>5968</v>
      </c>
      <c r="E912" t="s">
        <v>5949</v>
      </c>
      <c r="J912" t="s">
        <v>6546</v>
      </c>
      <c r="M912" t="e">
        <v>#N/A</v>
      </c>
      <c r="N912" t="e">
        <v>#N/A</v>
      </c>
      <c r="O912" t="e">
        <v>#N/A</v>
      </c>
      <c r="P912" t="e">
        <v>#N/A</v>
      </c>
      <c r="R912" t="e">
        <v>#N/A</v>
      </c>
      <c r="T912" t="s">
        <v>5983</v>
      </c>
      <c r="U912" t="s">
        <v>5983</v>
      </c>
      <c r="V912" t="s">
        <v>5983</v>
      </c>
      <c r="Y912" t="s">
        <v>6948</v>
      </c>
      <c r="Z912" t="s">
        <v>6949</v>
      </c>
      <c r="AA912" t="s">
        <v>6950</v>
      </c>
      <c r="AB912" t="s">
        <v>6951</v>
      </c>
      <c r="AC912" t="s">
        <v>6952</v>
      </c>
      <c r="AD912" t="s">
        <v>6953</v>
      </c>
    </row>
    <row r="913" spans="1:30">
      <c r="A913">
        <v>11007165</v>
      </c>
      <c r="B913" t="s">
        <v>4653</v>
      </c>
      <c r="C913" t="s">
        <v>5636</v>
      </c>
      <c r="D913" t="s">
        <v>5969</v>
      </c>
      <c r="E913" t="s">
        <v>5949</v>
      </c>
      <c r="J913" t="s">
        <v>6546</v>
      </c>
      <c r="M913" t="e">
        <v>#N/A</v>
      </c>
      <c r="N913" t="e">
        <v>#N/A</v>
      </c>
      <c r="O913" t="e">
        <v>#N/A</v>
      </c>
      <c r="P913" t="e">
        <v>#N/A</v>
      </c>
      <c r="R913" t="e">
        <v>#N/A</v>
      </c>
      <c r="T913" t="s">
        <v>5983</v>
      </c>
      <c r="U913" t="s">
        <v>5983</v>
      </c>
      <c r="V913" t="s">
        <v>5983</v>
      </c>
      <c r="Y913" t="s">
        <v>6948</v>
      </c>
      <c r="Z913" t="s">
        <v>6949</v>
      </c>
      <c r="AA913" t="s">
        <v>6950</v>
      </c>
      <c r="AB913" t="s">
        <v>6951</v>
      </c>
      <c r="AC913" t="s">
        <v>6952</v>
      </c>
      <c r="AD913" t="s">
        <v>6953</v>
      </c>
    </row>
    <row r="914" spans="1:30">
      <c r="A914" t="s">
        <v>4604</v>
      </c>
      <c r="B914" t="s">
        <v>4654</v>
      </c>
      <c r="C914" t="s">
        <v>5637</v>
      </c>
      <c r="D914" t="s">
        <v>5968</v>
      </c>
      <c r="E914" t="s">
        <v>5949</v>
      </c>
      <c r="J914" t="s">
        <v>6547</v>
      </c>
      <c r="M914" t="e">
        <v>#N/A</v>
      </c>
      <c r="N914" t="e">
        <v>#N/A</v>
      </c>
      <c r="O914" t="e">
        <v>#N/A</v>
      </c>
      <c r="P914" t="e">
        <v>#N/A</v>
      </c>
      <c r="R914" t="e">
        <v>#N/A</v>
      </c>
      <c r="T914" t="s">
        <v>5983</v>
      </c>
      <c r="U914" t="s">
        <v>5983</v>
      </c>
      <c r="V914" t="s">
        <v>5983</v>
      </c>
      <c r="Y914" t="s">
        <v>6948</v>
      </c>
      <c r="Z914" t="s">
        <v>6949</v>
      </c>
      <c r="AA914" t="s">
        <v>6950</v>
      </c>
      <c r="AB914" t="s">
        <v>6951</v>
      </c>
      <c r="AC914" t="s">
        <v>6952</v>
      </c>
      <c r="AD914" t="s">
        <v>6953</v>
      </c>
    </row>
    <row r="915" spans="1:30">
      <c r="A915">
        <v>11007164</v>
      </c>
      <c r="B915" t="s">
        <v>4655</v>
      </c>
      <c r="C915" t="s">
        <v>5637</v>
      </c>
      <c r="D915" t="s">
        <v>5969</v>
      </c>
      <c r="E915" t="s">
        <v>5949</v>
      </c>
      <c r="J915" t="s">
        <v>6547</v>
      </c>
      <c r="M915" t="e">
        <v>#N/A</v>
      </c>
      <c r="N915" t="e">
        <v>#N/A</v>
      </c>
      <c r="O915" t="e">
        <v>#N/A</v>
      </c>
      <c r="P915" t="e">
        <v>#N/A</v>
      </c>
      <c r="R915" t="e">
        <v>#N/A</v>
      </c>
      <c r="T915" t="s">
        <v>5983</v>
      </c>
      <c r="U915" t="s">
        <v>5983</v>
      </c>
      <c r="V915" t="s">
        <v>5983</v>
      </c>
      <c r="Y915" t="s">
        <v>6948</v>
      </c>
      <c r="Z915" t="s">
        <v>6949</v>
      </c>
      <c r="AA915" t="s">
        <v>6950</v>
      </c>
      <c r="AB915" t="s">
        <v>6951</v>
      </c>
      <c r="AC915" t="s">
        <v>6952</v>
      </c>
      <c r="AD915" t="s">
        <v>6953</v>
      </c>
    </row>
    <row r="916" spans="1:30">
      <c r="A916" t="s">
        <v>4604</v>
      </c>
      <c r="B916" t="s">
        <v>4656</v>
      </c>
      <c r="C916" t="s">
        <v>5638</v>
      </c>
      <c r="D916">
        <v>0</v>
      </c>
      <c r="E916">
        <v>0</v>
      </c>
      <c r="J916">
        <v>0</v>
      </c>
      <c r="M916" t="e">
        <v>#N/A</v>
      </c>
      <c r="N916" t="e">
        <v>#N/A</v>
      </c>
      <c r="O916" t="e">
        <v>#N/A</v>
      </c>
      <c r="P916" t="e">
        <v>#N/A</v>
      </c>
      <c r="R916" t="e">
        <v>#N/A</v>
      </c>
      <c r="T916" t="s">
        <v>5983</v>
      </c>
      <c r="U916" t="s">
        <v>5983</v>
      </c>
      <c r="V916" t="s">
        <v>5983</v>
      </c>
      <c r="Y916" t="s">
        <v>6948</v>
      </c>
      <c r="Z916" t="s">
        <v>6949</v>
      </c>
      <c r="AA916" t="s">
        <v>6950</v>
      </c>
      <c r="AB916" t="s">
        <v>6951</v>
      </c>
      <c r="AC916" t="s">
        <v>6952</v>
      </c>
      <c r="AD916" t="s">
        <v>6953</v>
      </c>
    </row>
    <row r="917" spans="1:30">
      <c r="A917" t="s">
        <v>4604</v>
      </c>
      <c r="B917" t="s">
        <v>4657</v>
      </c>
      <c r="C917" t="s">
        <v>5638</v>
      </c>
      <c r="D917" t="s">
        <v>5970</v>
      </c>
      <c r="E917" t="s">
        <v>5949</v>
      </c>
      <c r="J917" t="s">
        <v>6548</v>
      </c>
      <c r="M917" t="e">
        <v>#N/A</v>
      </c>
      <c r="N917" t="e">
        <v>#N/A</v>
      </c>
      <c r="O917" t="e">
        <v>#N/A</v>
      </c>
      <c r="P917" t="e">
        <v>#N/A</v>
      </c>
      <c r="R917" t="e">
        <v>#N/A</v>
      </c>
      <c r="T917" t="s">
        <v>5983</v>
      </c>
      <c r="U917" t="s">
        <v>5983</v>
      </c>
      <c r="V917" t="s">
        <v>5983</v>
      </c>
      <c r="Y917" t="s">
        <v>6948</v>
      </c>
      <c r="Z917" t="s">
        <v>6949</v>
      </c>
      <c r="AA917" t="s">
        <v>6950</v>
      </c>
      <c r="AB917" t="s">
        <v>6951</v>
      </c>
      <c r="AC917" t="s">
        <v>6952</v>
      </c>
      <c r="AD917" t="s">
        <v>6953</v>
      </c>
    </row>
    <row r="918" spans="1:30">
      <c r="A918" t="s">
        <v>4604</v>
      </c>
      <c r="B918" t="s">
        <v>4658</v>
      </c>
      <c r="C918" t="s">
        <v>5639</v>
      </c>
      <c r="D918">
        <v>0</v>
      </c>
      <c r="E918">
        <v>0</v>
      </c>
      <c r="J918">
        <v>0</v>
      </c>
      <c r="M918" t="e">
        <v>#N/A</v>
      </c>
      <c r="N918" t="e">
        <v>#N/A</v>
      </c>
      <c r="O918" t="e">
        <v>#N/A</v>
      </c>
      <c r="P918" t="e">
        <v>#N/A</v>
      </c>
      <c r="R918" t="e">
        <v>#N/A</v>
      </c>
      <c r="T918">
        <v>0</v>
      </c>
      <c r="U918" t="s">
        <v>5983</v>
      </c>
      <c r="V918" t="s">
        <v>5983</v>
      </c>
      <c r="Y918" t="s">
        <v>6948</v>
      </c>
      <c r="Z918" t="s">
        <v>6949</v>
      </c>
      <c r="AA918" t="s">
        <v>6950</v>
      </c>
      <c r="AB918" t="s">
        <v>6951</v>
      </c>
      <c r="AC918" t="s">
        <v>6952</v>
      </c>
      <c r="AD918" t="s">
        <v>6953</v>
      </c>
    </row>
    <row r="919" spans="1:30">
      <c r="A919" t="s">
        <v>4604</v>
      </c>
      <c r="B919" t="s">
        <v>4659</v>
      </c>
      <c r="C919" t="s">
        <v>5639</v>
      </c>
      <c r="D919" t="s">
        <v>5970</v>
      </c>
      <c r="E919" t="s">
        <v>5949</v>
      </c>
      <c r="J919" t="s">
        <v>6549</v>
      </c>
      <c r="M919" t="e">
        <v>#N/A</v>
      </c>
      <c r="N919" t="e">
        <v>#N/A</v>
      </c>
      <c r="O919" t="e">
        <v>#N/A</v>
      </c>
      <c r="P919" t="e">
        <v>#N/A</v>
      </c>
      <c r="R919" t="e">
        <v>#N/A</v>
      </c>
      <c r="T919" t="s">
        <v>5983</v>
      </c>
      <c r="U919" t="s">
        <v>5983</v>
      </c>
      <c r="V919" t="s">
        <v>5983</v>
      </c>
      <c r="Y919" t="s">
        <v>6948</v>
      </c>
      <c r="Z919" t="s">
        <v>6949</v>
      </c>
      <c r="AA919" t="s">
        <v>6950</v>
      </c>
      <c r="AB919" t="s">
        <v>6951</v>
      </c>
      <c r="AC919" t="s">
        <v>6952</v>
      </c>
      <c r="AD919" t="s">
        <v>6953</v>
      </c>
    </row>
    <row r="920" spans="1:30">
      <c r="A920" t="s">
        <v>4604</v>
      </c>
      <c r="B920" t="s">
        <v>4660</v>
      </c>
      <c r="C920" t="s">
        <v>5640</v>
      </c>
      <c r="D920" t="s">
        <v>5971</v>
      </c>
      <c r="E920" t="s">
        <v>5949</v>
      </c>
      <c r="J920" t="s">
        <v>6550</v>
      </c>
      <c r="M920" t="e">
        <v>#N/A</v>
      </c>
      <c r="N920" t="e">
        <v>#N/A</v>
      </c>
      <c r="O920" t="e">
        <v>#N/A</v>
      </c>
      <c r="P920" t="e">
        <v>#N/A</v>
      </c>
      <c r="R920" t="e">
        <v>#N/A</v>
      </c>
      <c r="T920" t="s">
        <v>5983</v>
      </c>
      <c r="U920" t="s">
        <v>5983</v>
      </c>
      <c r="V920" t="s">
        <v>5983</v>
      </c>
      <c r="Y920" t="s">
        <v>6948</v>
      </c>
      <c r="Z920" t="s">
        <v>6949</v>
      </c>
      <c r="AA920" t="s">
        <v>6950</v>
      </c>
      <c r="AB920" t="s">
        <v>6951</v>
      </c>
      <c r="AC920" t="s">
        <v>6952</v>
      </c>
      <c r="AD920" t="s">
        <v>6953</v>
      </c>
    </row>
    <row r="921" spans="1:30">
      <c r="A921">
        <v>11007163</v>
      </c>
      <c r="B921" t="s">
        <v>4661</v>
      </c>
      <c r="C921" t="s">
        <v>5640</v>
      </c>
      <c r="D921" t="s">
        <v>5972</v>
      </c>
      <c r="E921" t="s">
        <v>5949</v>
      </c>
      <c r="J921" t="s">
        <v>6550</v>
      </c>
      <c r="M921" t="e">
        <v>#N/A</v>
      </c>
      <c r="N921" t="e">
        <v>#N/A</v>
      </c>
      <c r="O921" t="e">
        <v>#N/A</v>
      </c>
      <c r="P921" t="e">
        <v>#N/A</v>
      </c>
      <c r="R921" t="e">
        <v>#N/A</v>
      </c>
      <c r="T921" t="s">
        <v>5983</v>
      </c>
      <c r="U921" t="s">
        <v>5983</v>
      </c>
      <c r="V921" t="s">
        <v>5983</v>
      </c>
      <c r="Y921" t="s">
        <v>6948</v>
      </c>
      <c r="Z921" t="s">
        <v>6949</v>
      </c>
      <c r="AA921" t="s">
        <v>6950</v>
      </c>
      <c r="AB921" t="s">
        <v>6951</v>
      </c>
      <c r="AC921" t="s">
        <v>6952</v>
      </c>
      <c r="AD921" t="s">
        <v>6953</v>
      </c>
    </row>
    <row r="922" spans="1:30">
      <c r="A922" t="s">
        <v>4604</v>
      </c>
      <c r="B922" t="s">
        <v>4662</v>
      </c>
      <c r="C922" t="s">
        <v>5641</v>
      </c>
      <c r="D922">
        <v>0</v>
      </c>
      <c r="E922">
        <v>0</v>
      </c>
      <c r="J922">
        <v>0</v>
      </c>
      <c r="M922" t="e">
        <v>#N/A</v>
      </c>
      <c r="N922" t="e">
        <v>#N/A</v>
      </c>
      <c r="O922" t="e">
        <v>#N/A</v>
      </c>
      <c r="P922" t="e">
        <v>#N/A</v>
      </c>
      <c r="R922" t="e">
        <v>#N/A</v>
      </c>
      <c r="T922">
        <v>0</v>
      </c>
      <c r="U922" t="s">
        <v>5983</v>
      </c>
      <c r="V922" t="s">
        <v>5983</v>
      </c>
      <c r="Y922" t="s">
        <v>6948</v>
      </c>
      <c r="Z922" t="s">
        <v>6949</v>
      </c>
      <c r="AA922" t="s">
        <v>6950</v>
      </c>
      <c r="AB922" t="s">
        <v>6951</v>
      </c>
      <c r="AC922" t="s">
        <v>6952</v>
      </c>
      <c r="AD922" t="s">
        <v>6953</v>
      </c>
    </row>
    <row r="923" spans="1:30">
      <c r="A923" t="s">
        <v>4604</v>
      </c>
      <c r="B923" t="s">
        <v>4663</v>
      </c>
      <c r="C923" t="s">
        <v>5641</v>
      </c>
      <c r="D923" t="s">
        <v>5972</v>
      </c>
      <c r="E923" t="s">
        <v>5949</v>
      </c>
      <c r="J923" t="s">
        <v>6551</v>
      </c>
      <c r="M923" t="e">
        <v>#N/A</v>
      </c>
      <c r="N923" t="e">
        <v>#N/A</v>
      </c>
      <c r="O923" t="e">
        <v>#N/A</v>
      </c>
      <c r="P923" t="e">
        <v>#N/A</v>
      </c>
      <c r="R923" t="e">
        <v>#N/A</v>
      </c>
      <c r="T923" t="s">
        <v>5983</v>
      </c>
      <c r="U923" t="s">
        <v>5983</v>
      </c>
      <c r="V923" t="s">
        <v>5983</v>
      </c>
      <c r="Y923" t="s">
        <v>6948</v>
      </c>
      <c r="Z923" t="s">
        <v>6949</v>
      </c>
      <c r="AA923" t="s">
        <v>6950</v>
      </c>
      <c r="AB923" t="s">
        <v>6951</v>
      </c>
      <c r="AC923" t="s">
        <v>6952</v>
      </c>
      <c r="AD923" t="s">
        <v>6953</v>
      </c>
    </row>
    <row r="924" spans="1:30">
      <c r="A924" t="s">
        <v>4604</v>
      </c>
      <c r="B924" t="s">
        <v>4664</v>
      </c>
      <c r="C924" t="s">
        <v>5642</v>
      </c>
      <c r="D924" t="s">
        <v>5972</v>
      </c>
      <c r="E924" t="s">
        <v>5949</v>
      </c>
      <c r="J924" t="s">
        <v>6552</v>
      </c>
      <c r="M924" t="e">
        <v>#N/A</v>
      </c>
      <c r="N924" t="e">
        <v>#N/A</v>
      </c>
      <c r="O924" t="e">
        <v>#N/A</v>
      </c>
      <c r="P924" t="e">
        <v>#N/A</v>
      </c>
      <c r="R924" t="e">
        <v>#N/A</v>
      </c>
      <c r="T924" t="s">
        <v>5983</v>
      </c>
      <c r="U924" t="s">
        <v>5983</v>
      </c>
      <c r="V924" t="s">
        <v>5983</v>
      </c>
      <c r="Y924" t="s">
        <v>6948</v>
      </c>
      <c r="Z924" t="s">
        <v>6949</v>
      </c>
      <c r="AA924" t="s">
        <v>6950</v>
      </c>
      <c r="AB924" t="s">
        <v>6951</v>
      </c>
      <c r="AC924" t="s">
        <v>6952</v>
      </c>
      <c r="AD924" t="s">
        <v>6953</v>
      </c>
    </row>
    <row r="925" spans="1:30">
      <c r="A925" t="s">
        <v>4604</v>
      </c>
      <c r="B925" t="s">
        <v>4665</v>
      </c>
      <c r="C925" t="s">
        <v>5643</v>
      </c>
      <c r="D925" t="s">
        <v>5972</v>
      </c>
      <c r="E925" t="s">
        <v>5949</v>
      </c>
      <c r="J925" t="s">
        <v>6553</v>
      </c>
      <c r="M925" t="e">
        <v>#N/A</v>
      </c>
      <c r="N925" t="e">
        <v>#N/A</v>
      </c>
      <c r="O925" t="e">
        <v>#N/A</v>
      </c>
      <c r="P925" t="e">
        <v>#N/A</v>
      </c>
      <c r="R925" t="e">
        <v>#N/A</v>
      </c>
      <c r="T925" t="s">
        <v>5983</v>
      </c>
      <c r="U925" t="s">
        <v>5983</v>
      </c>
      <c r="V925" t="s">
        <v>5983</v>
      </c>
      <c r="Y925" t="s">
        <v>6948</v>
      </c>
      <c r="Z925" t="s">
        <v>6949</v>
      </c>
      <c r="AA925" t="s">
        <v>6950</v>
      </c>
      <c r="AB925" t="s">
        <v>6951</v>
      </c>
      <c r="AC925" t="s">
        <v>6952</v>
      </c>
      <c r="AD925" t="s">
        <v>6953</v>
      </c>
    </row>
    <row r="926" spans="1:30">
      <c r="A926">
        <v>11007162</v>
      </c>
      <c r="B926" t="s">
        <v>4666</v>
      </c>
      <c r="C926" t="s">
        <v>5644</v>
      </c>
      <c r="D926" t="s">
        <v>5973</v>
      </c>
      <c r="E926" t="s">
        <v>5949</v>
      </c>
      <c r="J926" t="s">
        <v>6554</v>
      </c>
      <c r="M926" t="e">
        <v>#N/A</v>
      </c>
      <c r="N926" t="e">
        <v>#N/A</v>
      </c>
      <c r="O926" t="e">
        <v>#N/A</v>
      </c>
      <c r="P926" t="e">
        <v>#N/A</v>
      </c>
      <c r="R926" t="e">
        <v>#N/A</v>
      </c>
      <c r="T926" t="s">
        <v>5983</v>
      </c>
      <c r="U926" t="s">
        <v>5983</v>
      </c>
      <c r="V926" t="s">
        <v>5983</v>
      </c>
      <c r="Y926" t="s">
        <v>6948</v>
      </c>
      <c r="Z926" t="s">
        <v>6949</v>
      </c>
      <c r="AA926" t="s">
        <v>6950</v>
      </c>
      <c r="AB926" t="s">
        <v>6951</v>
      </c>
      <c r="AC926" t="s">
        <v>6952</v>
      </c>
      <c r="AD926" t="s">
        <v>6953</v>
      </c>
    </row>
    <row r="927" spans="1:30">
      <c r="A927">
        <v>11007160</v>
      </c>
      <c r="B927" t="s">
        <v>4667</v>
      </c>
      <c r="C927" t="s">
        <v>5645</v>
      </c>
      <c r="D927" t="s">
        <v>5973</v>
      </c>
      <c r="E927" t="s">
        <v>5949</v>
      </c>
      <c r="J927" t="s">
        <v>6555</v>
      </c>
      <c r="M927" t="e">
        <v>#N/A</v>
      </c>
      <c r="N927" t="e">
        <v>#N/A</v>
      </c>
      <c r="O927" t="e">
        <v>#N/A</v>
      </c>
      <c r="P927" t="e">
        <v>#N/A</v>
      </c>
      <c r="R927" t="e">
        <v>#N/A</v>
      </c>
      <c r="T927" t="s">
        <v>5983</v>
      </c>
      <c r="U927" t="s">
        <v>5983</v>
      </c>
      <c r="V927" t="s">
        <v>5983</v>
      </c>
      <c r="Y927" t="s">
        <v>6948</v>
      </c>
      <c r="Z927" t="s">
        <v>6949</v>
      </c>
      <c r="AA927" t="s">
        <v>6950</v>
      </c>
      <c r="AB927" t="s">
        <v>6951</v>
      </c>
      <c r="AC927" t="s">
        <v>6952</v>
      </c>
      <c r="AD927" t="s">
        <v>6953</v>
      </c>
    </row>
    <row r="928" spans="1:30">
      <c r="A928" t="s">
        <v>4604</v>
      </c>
      <c r="B928" t="s">
        <v>4668</v>
      </c>
      <c r="C928" t="s">
        <v>5646</v>
      </c>
      <c r="D928" t="s">
        <v>5973</v>
      </c>
      <c r="E928" t="s">
        <v>5949</v>
      </c>
      <c r="J928" t="s">
        <v>6556</v>
      </c>
      <c r="M928" t="e">
        <v>#N/A</v>
      </c>
      <c r="N928" t="e">
        <v>#N/A</v>
      </c>
      <c r="O928" t="e">
        <v>#N/A</v>
      </c>
      <c r="P928" t="e">
        <v>#N/A</v>
      </c>
      <c r="R928" t="e">
        <v>#N/A</v>
      </c>
      <c r="T928" t="s">
        <v>5983</v>
      </c>
      <c r="U928" t="s">
        <v>5983</v>
      </c>
      <c r="V928" t="s">
        <v>5983</v>
      </c>
      <c r="Y928" t="s">
        <v>6948</v>
      </c>
      <c r="Z928" t="s">
        <v>6949</v>
      </c>
      <c r="AA928" t="s">
        <v>6950</v>
      </c>
      <c r="AB928" t="s">
        <v>6951</v>
      </c>
      <c r="AC928" t="s">
        <v>6952</v>
      </c>
      <c r="AD928" t="s">
        <v>6953</v>
      </c>
    </row>
    <row r="929" spans="1:30">
      <c r="A929" t="s">
        <v>4604</v>
      </c>
      <c r="B929" t="s">
        <v>4669</v>
      </c>
      <c r="C929" t="s">
        <v>5647</v>
      </c>
      <c r="D929" t="s">
        <v>5973</v>
      </c>
      <c r="E929" t="s">
        <v>5949</v>
      </c>
      <c r="J929" t="s">
        <v>6557</v>
      </c>
      <c r="M929" t="e">
        <v>#N/A</v>
      </c>
      <c r="N929" t="e">
        <v>#N/A</v>
      </c>
      <c r="O929" t="e">
        <v>#N/A</v>
      </c>
      <c r="P929" t="e">
        <v>#N/A</v>
      </c>
      <c r="R929" t="e">
        <v>#N/A</v>
      </c>
      <c r="T929" t="s">
        <v>5983</v>
      </c>
      <c r="U929" t="s">
        <v>5983</v>
      </c>
      <c r="V929" t="s">
        <v>5983</v>
      </c>
      <c r="Y929" t="s">
        <v>6948</v>
      </c>
      <c r="Z929" t="s">
        <v>6949</v>
      </c>
      <c r="AA929" t="s">
        <v>6950</v>
      </c>
      <c r="AB929" t="s">
        <v>6951</v>
      </c>
      <c r="AC929" t="s">
        <v>6952</v>
      </c>
      <c r="AD929" t="s">
        <v>6953</v>
      </c>
    </row>
    <row r="930" spans="1:30">
      <c r="A930">
        <v>11007159</v>
      </c>
      <c r="B930" t="s">
        <v>4670</v>
      </c>
      <c r="C930" t="s">
        <v>5648</v>
      </c>
      <c r="D930" t="s">
        <v>5973</v>
      </c>
      <c r="E930" t="s">
        <v>5949</v>
      </c>
      <c r="J930" t="s">
        <v>6558</v>
      </c>
      <c r="M930" t="e">
        <v>#N/A</v>
      </c>
      <c r="N930" t="e">
        <v>#N/A</v>
      </c>
      <c r="O930" t="e">
        <v>#N/A</v>
      </c>
      <c r="P930" t="e">
        <v>#N/A</v>
      </c>
      <c r="R930" t="e">
        <v>#N/A</v>
      </c>
      <c r="T930" t="s">
        <v>5983</v>
      </c>
      <c r="U930" t="s">
        <v>5983</v>
      </c>
      <c r="V930" t="s">
        <v>5983</v>
      </c>
      <c r="Y930" t="s">
        <v>6948</v>
      </c>
      <c r="Z930" t="s">
        <v>6949</v>
      </c>
      <c r="AA930" t="s">
        <v>6950</v>
      </c>
      <c r="AB930" t="s">
        <v>6951</v>
      </c>
      <c r="AC930" t="s">
        <v>6952</v>
      </c>
      <c r="AD930" t="s">
        <v>6953</v>
      </c>
    </row>
    <row r="931" spans="1:30">
      <c r="A931" t="s">
        <v>4604</v>
      </c>
      <c r="B931" t="s">
        <v>4671</v>
      </c>
      <c r="C931" t="s">
        <v>5649</v>
      </c>
      <c r="D931" t="s">
        <v>5973</v>
      </c>
      <c r="E931" t="s">
        <v>5949</v>
      </c>
      <c r="J931" t="s">
        <v>6559</v>
      </c>
      <c r="M931" t="e">
        <v>#N/A</v>
      </c>
      <c r="N931" t="e">
        <v>#N/A</v>
      </c>
      <c r="O931" t="e">
        <v>#N/A</v>
      </c>
      <c r="P931" t="e">
        <v>#N/A</v>
      </c>
      <c r="R931" t="e">
        <v>#N/A</v>
      </c>
      <c r="T931" t="s">
        <v>5983</v>
      </c>
      <c r="U931" t="s">
        <v>5983</v>
      </c>
      <c r="V931" t="s">
        <v>5983</v>
      </c>
      <c r="Y931" t="s">
        <v>6948</v>
      </c>
      <c r="Z931" t="s">
        <v>6949</v>
      </c>
      <c r="AA931" t="s">
        <v>6950</v>
      </c>
      <c r="AB931" t="s">
        <v>6951</v>
      </c>
      <c r="AC931" t="s">
        <v>6952</v>
      </c>
      <c r="AD931" t="s">
        <v>6953</v>
      </c>
    </row>
    <row r="932" spans="1:30">
      <c r="A932">
        <v>11007157</v>
      </c>
      <c r="B932" t="s">
        <v>4672</v>
      </c>
      <c r="C932" t="s">
        <v>5650</v>
      </c>
      <c r="D932" t="s">
        <v>5973</v>
      </c>
      <c r="E932" t="s">
        <v>5949</v>
      </c>
      <c r="J932" t="s">
        <v>6560</v>
      </c>
      <c r="M932" t="e">
        <v>#N/A</v>
      </c>
      <c r="N932" t="e">
        <v>#N/A</v>
      </c>
      <c r="O932" t="e">
        <v>#N/A</v>
      </c>
      <c r="P932" t="e">
        <v>#N/A</v>
      </c>
      <c r="R932" t="e">
        <v>#N/A</v>
      </c>
      <c r="T932" t="s">
        <v>5983</v>
      </c>
      <c r="U932" t="s">
        <v>5983</v>
      </c>
      <c r="V932" t="s">
        <v>5983</v>
      </c>
      <c r="Y932" t="s">
        <v>6948</v>
      </c>
      <c r="Z932" t="s">
        <v>6949</v>
      </c>
      <c r="AA932" t="s">
        <v>6950</v>
      </c>
      <c r="AB932" t="s">
        <v>6951</v>
      </c>
      <c r="AC932" t="s">
        <v>6952</v>
      </c>
      <c r="AD932" t="s">
        <v>6953</v>
      </c>
    </row>
    <row r="933" spans="1:30">
      <c r="A933">
        <v>11007155</v>
      </c>
      <c r="B933" t="s">
        <v>4673</v>
      </c>
      <c r="C933" t="s">
        <v>5651</v>
      </c>
      <c r="D933" t="s">
        <v>5973</v>
      </c>
      <c r="E933" t="s">
        <v>5949</v>
      </c>
      <c r="J933" t="s">
        <v>6561</v>
      </c>
      <c r="M933" t="e">
        <v>#N/A</v>
      </c>
      <c r="N933" t="e">
        <v>#N/A</v>
      </c>
      <c r="O933" t="e">
        <v>#N/A</v>
      </c>
      <c r="P933" t="e">
        <v>#N/A</v>
      </c>
      <c r="R933" t="e">
        <v>#N/A</v>
      </c>
      <c r="T933" t="s">
        <v>5983</v>
      </c>
      <c r="U933" t="s">
        <v>5983</v>
      </c>
      <c r="V933" t="s">
        <v>5983</v>
      </c>
      <c r="Y933" t="s">
        <v>6948</v>
      </c>
      <c r="Z933" t="s">
        <v>6949</v>
      </c>
      <c r="AA933" t="s">
        <v>6950</v>
      </c>
      <c r="AB933" t="s">
        <v>6951</v>
      </c>
      <c r="AC933" t="s">
        <v>6952</v>
      </c>
      <c r="AD933" t="s">
        <v>6953</v>
      </c>
    </row>
    <row r="934" spans="1:30">
      <c r="A934" t="s">
        <v>4604</v>
      </c>
      <c r="B934" t="s">
        <v>4674</v>
      </c>
      <c r="C934" t="s">
        <v>5652</v>
      </c>
      <c r="D934" t="s">
        <v>5974</v>
      </c>
      <c r="E934" t="s">
        <v>5949</v>
      </c>
      <c r="J934" t="s">
        <v>6562</v>
      </c>
      <c r="M934" t="e">
        <v>#N/A</v>
      </c>
      <c r="N934" t="e">
        <v>#N/A</v>
      </c>
      <c r="O934" t="e">
        <v>#N/A</v>
      </c>
      <c r="P934" t="e">
        <v>#N/A</v>
      </c>
      <c r="R934" t="e">
        <v>#N/A</v>
      </c>
      <c r="T934" t="s">
        <v>5983</v>
      </c>
      <c r="U934" t="s">
        <v>5983</v>
      </c>
      <c r="V934" t="s">
        <v>5983</v>
      </c>
      <c r="Y934" t="s">
        <v>6948</v>
      </c>
      <c r="Z934" t="s">
        <v>6949</v>
      </c>
      <c r="AA934" t="s">
        <v>6950</v>
      </c>
      <c r="AB934" t="s">
        <v>6951</v>
      </c>
      <c r="AC934" t="s">
        <v>6952</v>
      </c>
      <c r="AD934" t="s">
        <v>6953</v>
      </c>
    </row>
    <row r="935" spans="1:30">
      <c r="A935" t="s">
        <v>4604</v>
      </c>
      <c r="B935" t="s">
        <v>4675</v>
      </c>
      <c r="C935" t="s">
        <v>5653</v>
      </c>
      <c r="D935" t="s">
        <v>5974</v>
      </c>
      <c r="E935" t="s">
        <v>5949</v>
      </c>
      <c r="J935" t="s">
        <v>6563</v>
      </c>
      <c r="M935" t="e">
        <v>#N/A</v>
      </c>
      <c r="N935" t="e">
        <v>#N/A</v>
      </c>
      <c r="O935" t="e">
        <v>#N/A</v>
      </c>
      <c r="P935" t="e">
        <v>#N/A</v>
      </c>
      <c r="R935" t="e">
        <v>#N/A</v>
      </c>
      <c r="T935" t="s">
        <v>5983</v>
      </c>
      <c r="U935" t="s">
        <v>5983</v>
      </c>
      <c r="V935" t="s">
        <v>5983</v>
      </c>
      <c r="Y935" t="s">
        <v>6948</v>
      </c>
      <c r="Z935" t="s">
        <v>6949</v>
      </c>
      <c r="AA935" t="s">
        <v>6950</v>
      </c>
      <c r="AB935" t="s">
        <v>6951</v>
      </c>
      <c r="AC935" t="s">
        <v>6952</v>
      </c>
      <c r="AD935" t="s">
        <v>6953</v>
      </c>
    </row>
    <row r="936" spans="1:30">
      <c r="A936" t="s">
        <v>4604</v>
      </c>
      <c r="B936" t="s">
        <v>4676</v>
      </c>
      <c r="C936" t="s">
        <v>5654</v>
      </c>
      <c r="D936" t="s">
        <v>5974</v>
      </c>
      <c r="E936" t="s">
        <v>5949</v>
      </c>
      <c r="J936" t="s">
        <v>6564</v>
      </c>
      <c r="M936" t="e">
        <v>#N/A</v>
      </c>
      <c r="N936" t="e">
        <v>#N/A</v>
      </c>
      <c r="O936" t="e">
        <v>#N/A</v>
      </c>
      <c r="P936" t="e">
        <v>#N/A</v>
      </c>
      <c r="R936" t="e">
        <v>#N/A</v>
      </c>
      <c r="T936" t="s">
        <v>5983</v>
      </c>
      <c r="U936" t="s">
        <v>5983</v>
      </c>
      <c r="V936" t="s">
        <v>5983</v>
      </c>
      <c r="Y936" t="s">
        <v>6948</v>
      </c>
      <c r="Z936" t="s">
        <v>6949</v>
      </c>
      <c r="AA936" t="s">
        <v>6950</v>
      </c>
      <c r="AB936" t="s">
        <v>6951</v>
      </c>
      <c r="AC936" t="s">
        <v>6952</v>
      </c>
      <c r="AD936" t="s">
        <v>6953</v>
      </c>
    </row>
    <row r="937" spans="1:30">
      <c r="A937" t="s">
        <v>4604</v>
      </c>
      <c r="B937" t="s">
        <v>4677</v>
      </c>
      <c r="C937" t="s">
        <v>5655</v>
      </c>
      <c r="D937" t="s">
        <v>5974</v>
      </c>
      <c r="E937" t="s">
        <v>5949</v>
      </c>
      <c r="J937" t="s">
        <v>6565</v>
      </c>
      <c r="M937" t="e">
        <v>#N/A</v>
      </c>
      <c r="N937" t="e">
        <v>#N/A</v>
      </c>
      <c r="O937" t="e">
        <v>#N/A</v>
      </c>
      <c r="P937" t="e">
        <v>#N/A</v>
      </c>
      <c r="R937" t="e">
        <v>#N/A</v>
      </c>
      <c r="T937" t="s">
        <v>5983</v>
      </c>
      <c r="U937" t="s">
        <v>5983</v>
      </c>
      <c r="V937" t="s">
        <v>5983</v>
      </c>
      <c r="Y937" t="s">
        <v>6948</v>
      </c>
      <c r="Z937" t="s">
        <v>6949</v>
      </c>
      <c r="AA937" t="s">
        <v>6950</v>
      </c>
      <c r="AB937" t="s">
        <v>6951</v>
      </c>
      <c r="AC937" t="s">
        <v>6952</v>
      </c>
      <c r="AD937" t="s">
        <v>6953</v>
      </c>
    </row>
    <row r="938" spans="1:30">
      <c r="A938">
        <v>11007153</v>
      </c>
      <c r="B938" t="s">
        <v>4678</v>
      </c>
      <c r="C938" t="s">
        <v>5656</v>
      </c>
      <c r="D938" t="s">
        <v>5975</v>
      </c>
      <c r="E938" t="s">
        <v>5949</v>
      </c>
      <c r="J938" t="s">
        <v>6566</v>
      </c>
      <c r="M938" t="e">
        <v>#N/A</v>
      </c>
      <c r="N938" t="e">
        <v>#N/A</v>
      </c>
      <c r="O938" t="e">
        <v>#N/A</v>
      </c>
      <c r="P938" t="e">
        <v>#N/A</v>
      </c>
      <c r="R938" t="e">
        <v>#N/A</v>
      </c>
      <c r="T938" t="s">
        <v>5983</v>
      </c>
      <c r="U938" t="s">
        <v>5983</v>
      </c>
      <c r="V938" t="s">
        <v>5983</v>
      </c>
      <c r="Y938" t="s">
        <v>6948</v>
      </c>
      <c r="Z938" t="s">
        <v>6949</v>
      </c>
      <c r="AA938" t="s">
        <v>6950</v>
      </c>
      <c r="AB938" t="s">
        <v>6951</v>
      </c>
      <c r="AC938" t="s">
        <v>6952</v>
      </c>
      <c r="AD938" t="s">
        <v>6953</v>
      </c>
    </row>
    <row r="939" spans="1:30">
      <c r="A939" t="s">
        <v>4604</v>
      </c>
      <c r="B939" t="s">
        <v>4679</v>
      </c>
      <c r="C939" t="s">
        <v>5657</v>
      </c>
      <c r="D939" t="s">
        <v>5975</v>
      </c>
      <c r="E939" t="s">
        <v>5949</v>
      </c>
      <c r="J939" t="s">
        <v>6567</v>
      </c>
      <c r="M939" t="e">
        <v>#N/A</v>
      </c>
      <c r="N939" t="e">
        <v>#N/A</v>
      </c>
      <c r="O939" t="e">
        <v>#N/A</v>
      </c>
      <c r="P939" t="e">
        <v>#N/A</v>
      </c>
      <c r="R939" t="e">
        <v>#N/A</v>
      </c>
      <c r="T939" t="s">
        <v>5983</v>
      </c>
      <c r="U939" t="s">
        <v>5983</v>
      </c>
      <c r="V939" t="s">
        <v>5983</v>
      </c>
      <c r="Y939" t="s">
        <v>6948</v>
      </c>
      <c r="Z939" t="s">
        <v>6949</v>
      </c>
      <c r="AA939" t="s">
        <v>6950</v>
      </c>
      <c r="AB939" t="s">
        <v>6951</v>
      </c>
      <c r="AC939" t="s">
        <v>6952</v>
      </c>
      <c r="AD939" t="s">
        <v>6953</v>
      </c>
    </row>
    <row r="940" spans="1:30">
      <c r="A940">
        <v>11007152</v>
      </c>
      <c r="B940" t="s">
        <v>4680</v>
      </c>
      <c r="C940" t="s">
        <v>5658</v>
      </c>
      <c r="D940" t="s">
        <v>5975</v>
      </c>
      <c r="E940" t="s">
        <v>5949</v>
      </c>
      <c r="J940" t="s">
        <v>6568</v>
      </c>
      <c r="M940" t="e">
        <v>#N/A</v>
      </c>
      <c r="N940" t="e">
        <v>#N/A</v>
      </c>
      <c r="O940" t="e">
        <v>#N/A</v>
      </c>
      <c r="P940" t="e">
        <v>#N/A</v>
      </c>
      <c r="R940" t="e">
        <v>#N/A</v>
      </c>
      <c r="T940" t="s">
        <v>5983</v>
      </c>
      <c r="U940" t="s">
        <v>5983</v>
      </c>
      <c r="V940" t="s">
        <v>5983</v>
      </c>
      <c r="Y940" t="s">
        <v>6948</v>
      </c>
      <c r="Z940" t="s">
        <v>6949</v>
      </c>
      <c r="AA940" t="s">
        <v>6950</v>
      </c>
      <c r="AB940" t="s">
        <v>6951</v>
      </c>
      <c r="AC940" t="s">
        <v>6952</v>
      </c>
      <c r="AD940" t="s">
        <v>6953</v>
      </c>
    </row>
    <row r="941" spans="1:30">
      <c r="A941" t="s">
        <v>4604</v>
      </c>
      <c r="B941" t="s">
        <v>4681</v>
      </c>
      <c r="C941" t="s">
        <v>5659</v>
      </c>
      <c r="D941" t="s">
        <v>5975</v>
      </c>
      <c r="E941" t="s">
        <v>5949</v>
      </c>
      <c r="J941" t="s">
        <v>6569</v>
      </c>
      <c r="M941" t="e">
        <v>#N/A</v>
      </c>
      <c r="N941" t="e">
        <v>#N/A</v>
      </c>
      <c r="O941" t="e">
        <v>#N/A</v>
      </c>
      <c r="P941" t="e">
        <v>#N/A</v>
      </c>
      <c r="R941" t="e">
        <v>#N/A</v>
      </c>
      <c r="T941" t="s">
        <v>5983</v>
      </c>
      <c r="U941" t="s">
        <v>5983</v>
      </c>
      <c r="V941" t="s">
        <v>5983</v>
      </c>
      <c r="Y941" t="s">
        <v>6948</v>
      </c>
      <c r="Z941" t="s">
        <v>6949</v>
      </c>
      <c r="AA941" t="s">
        <v>6950</v>
      </c>
      <c r="AB941" t="s">
        <v>6951</v>
      </c>
      <c r="AC941" t="s">
        <v>6952</v>
      </c>
      <c r="AD941" t="s">
        <v>6953</v>
      </c>
    </row>
    <row r="942" spans="1:30">
      <c r="A942">
        <v>11007151</v>
      </c>
      <c r="B942" t="s">
        <v>4682</v>
      </c>
      <c r="C942" t="s">
        <v>5660</v>
      </c>
      <c r="D942" t="s">
        <v>5976</v>
      </c>
      <c r="E942" t="s">
        <v>5949</v>
      </c>
      <c r="J942" t="s">
        <v>6570</v>
      </c>
      <c r="M942" t="e">
        <v>#N/A</v>
      </c>
      <c r="N942" t="e">
        <v>#N/A</v>
      </c>
      <c r="O942" t="e">
        <v>#N/A</v>
      </c>
      <c r="P942" t="e">
        <v>#N/A</v>
      </c>
      <c r="R942" t="e">
        <v>#N/A</v>
      </c>
      <c r="T942" t="s">
        <v>5983</v>
      </c>
      <c r="U942" t="s">
        <v>5983</v>
      </c>
      <c r="V942" t="s">
        <v>5983</v>
      </c>
      <c r="Y942" t="s">
        <v>6948</v>
      </c>
      <c r="Z942" t="s">
        <v>6949</v>
      </c>
      <c r="AA942" t="s">
        <v>6950</v>
      </c>
      <c r="AB942" t="s">
        <v>6951</v>
      </c>
      <c r="AC942" t="s">
        <v>6952</v>
      </c>
      <c r="AD942" t="s">
        <v>6953</v>
      </c>
    </row>
    <row r="943" spans="1:30">
      <c r="A943" t="s">
        <v>4604</v>
      </c>
      <c r="B943" t="s">
        <v>4683</v>
      </c>
      <c r="C943" t="s">
        <v>5661</v>
      </c>
      <c r="D943" t="s">
        <v>5976</v>
      </c>
      <c r="E943" t="s">
        <v>5949</v>
      </c>
      <c r="J943" t="s">
        <v>6571</v>
      </c>
      <c r="M943" t="e">
        <v>#N/A</v>
      </c>
      <c r="N943" t="e">
        <v>#N/A</v>
      </c>
      <c r="O943" t="e">
        <v>#N/A</v>
      </c>
      <c r="P943" t="e">
        <v>#N/A</v>
      </c>
      <c r="R943" t="e">
        <v>#N/A</v>
      </c>
      <c r="T943" t="s">
        <v>5983</v>
      </c>
      <c r="U943" t="s">
        <v>5983</v>
      </c>
      <c r="V943" t="s">
        <v>5983</v>
      </c>
      <c r="Y943" t="s">
        <v>6948</v>
      </c>
      <c r="Z943" t="s">
        <v>6949</v>
      </c>
      <c r="AA943" t="s">
        <v>6950</v>
      </c>
      <c r="AB943" t="s">
        <v>6951</v>
      </c>
      <c r="AC943" t="s">
        <v>6952</v>
      </c>
      <c r="AD943" t="s">
        <v>6953</v>
      </c>
    </row>
    <row r="944" spans="1:30">
      <c r="A944">
        <v>11007149</v>
      </c>
      <c r="B944" t="s">
        <v>4684</v>
      </c>
      <c r="C944" t="s">
        <v>5662</v>
      </c>
      <c r="D944" t="s">
        <v>5976</v>
      </c>
      <c r="E944" t="s">
        <v>5949</v>
      </c>
      <c r="J944" t="s">
        <v>6572</v>
      </c>
      <c r="M944" t="e">
        <v>#N/A</v>
      </c>
      <c r="N944" t="e">
        <v>#N/A</v>
      </c>
      <c r="O944" t="e">
        <v>#N/A</v>
      </c>
      <c r="P944" t="e">
        <v>#N/A</v>
      </c>
      <c r="R944" t="e">
        <v>#N/A</v>
      </c>
      <c r="T944" t="s">
        <v>5983</v>
      </c>
      <c r="U944" t="s">
        <v>5983</v>
      </c>
      <c r="V944" t="s">
        <v>5983</v>
      </c>
      <c r="Y944" t="s">
        <v>6948</v>
      </c>
      <c r="Z944" t="s">
        <v>6949</v>
      </c>
      <c r="AA944" t="s">
        <v>6950</v>
      </c>
      <c r="AB944" t="s">
        <v>6951</v>
      </c>
      <c r="AC944" t="s">
        <v>6952</v>
      </c>
      <c r="AD944" t="s">
        <v>6953</v>
      </c>
    </row>
    <row r="945" spans="1:30">
      <c r="A945" t="s">
        <v>4604</v>
      </c>
      <c r="B945" t="s">
        <v>4685</v>
      </c>
      <c r="C945" t="s">
        <v>5663</v>
      </c>
      <c r="D945" t="s">
        <v>5976</v>
      </c>
      <c r="E945" t="s">
        <v>5949</v>
      </c>
      <c r="J945" t="s">
        <v>6573</v>
      </c>
      <c r="M945" t="e">
        <v>#N/A</v>
      </c>
      <c r="N945" t="e">
        <v>#N/A</v>
      </c>
      <c r="O945" t="e">
        <v>#N/A</v>
      </c>
      <c r="P945" t="e">
        <v>#N/A</v>
      </c>
      <c r="R945" t="e">
        <v>#N/A</v>
      </c>
      <c r="T945" t="s">
        <v>5983</v>
      </c>
      <c r="U945" t="s">
        <v>5983</v>
      </c>
      <c r="V945" t="s">
        <v>5983</v>
      </c>
      <c r="Y945" t="s">
        <v>6948</v>
      </c>
      <c r="Z945" t="s">
        <v>6949</v>
      </c>
      <c r="AA945" t="s">
        <v>6950</v>
      </c>
      <c r="AB945" t="s">
        <v>6951</v>
      </c>
      <c r="AC945" t="s">
        <v>6952</v>
      </c>
      <c r="AD945" t="s">
        <v>6953</v>
      </c>
    </row>
    <row r="946" spans="1:30">
      <c r="A946" t="s">
        <v>4604</v>
      </c>
      <c r="B946" t="s">
        <v>4686</v>
      </c>
      <c r="C946" t="s">
        <v>5664</v>
      </c>
      <c r="D946" t="s">
        <v>5958</v>
      </c>
      <c r="E946" t="s">
        <v>5949</v>
      </c>
      <c r="J946" t="s">
        <v>6574</v>
      </c>
      <c r="M946" t="e">
        <v>#N/A</v>
      </c>
      <c r="N946" t="e">
        <v>#N/A</v>
      </c>
      <c r="O946" t="e">
        <v>#N/A</v>
      </c>
      <c r="P946" t="e">
        <v>#N/A</v>
      </c>
      <c r="R946" t="e">
        <v>#N/A</v>
      </c>
      <c r="T946" t="s">
        <v>5983</v>
      </c>
      <c r="U946" t="s">
        <v>5983</v>
      </c>
      <c r="V946" t="s">
        <v>5983</v>
      </c>
      <c r="Y946" t="s">
        <v>6948</v>
      </c>
      <c r="Z946" t="s">
        <v>6949</v>
      </c>
      <c r="AA946" t="s">
        <v>6950</v>
      </c>
      <c r="AB946" t="s">
        <v>6951</v>
      </c>
      <c r="AC946" t="s">
        <v>6952</v>
      </c>
      <c r="AD946" t="s">
        <v>6953</v>
      </c>
    </row>
    <row r="947" spans="1:30">
      <c r="A947" t="s">
        <v>4604</v>
      </c>
      <c r="B947" t="s">
        <v>4687</v>
      </c>
      <c r="C947" t="s">
        <v>5665</v>
      </c>
      <c r="D947" t="s">
        <v>5958</v>
      </c>
      <c r="E947" t="s">
        <v>5949</v>
      </c>
      <c r="J947" t="s">
        <v>6575</v>
      </c>
      <c r="M947" t="e">
        <v>#N/A</v>
      </c>
      <c r="N947" t="e">
        <v>#N/A</v>
      </c>
      <c r="O947" t="e">
        <v>#N/A</v>
      </c>
      <c r="P947" t="e">
        <v>#N/A</v>
      </c>
      <c r="R947" t="e">
        <v>#N/A</v>
      </c>
      <c r="T947" t="s">
        <v>5983</v>
      </c>
      <c r="U947" t="s">
        <v>5983</v>
      </c>
      <c r="V947" t="s">
        <v>5983</v>
      </c>
      <c r="Y947" t="s">
        <v>6948</v>
      </c>
      <c r="Z947" t="s">
        <v>6949</v>
      </c>
      <c r="AA947" t="s">
        <v>6950</v>
      </c>
      <c r="AB947" t="s">
        <v>6951</v>
      </c>
      <c r="AC947" t="s">
        <v>6952</v>
      </c>
      <c r="AD947" t="s">
        <v>6953</v>
      </c>
    </row>
    <row r="948" spans="1:30">
      <c r="A948">
        <v>11007148</v>
      </c>
      <c r="B948" t="s">
        <v>4688</v>
      </c>
      <c r="C948" t="s">
        <v>5666</v>
      </c>
      <c r="D948" t="s">
        <v>5950</v>
      </c>
      <c r="E948" t="s">
        <v>5949</v>
      </c>
      <c r="J948" t="s">
        <v>6576</v>
      </c>
      <c r="M948" t="e">
        <v>#N/A</v>
      </c>
      <c r="N948" t="e">
        <v>#N/A</v>
      </c>
      <c r="O948" t="e">
        <v>#N/A</v>
      </c>
      <c r="P948" t="e">
        <v>#N/A</v>
      </c>
      <c r="R948" t="e">
        <v>#N/A</v>
      </c>
      <c r="T948" t="s">
        <v>5983</v>
      </c>
      <c r="U948" t="s">
        <v>5983</v>
      </c>
      <c r="V948" t="s">
        <v>5983</v>
      </c>
      <c r="Y948" t="s">
        <v>6948</v>
      </c>
      <c r="Z948" t="s">
        <v>6949</v>
      </c>
      <c r="AA948" t="s">
        <v>6950</v>
      </c>
      <c r="AB948" t="s">
        <v>6951</v>
      </c>
      <c r="AC948" t="s">
        <v>6952</v>
      </c>
      <c r="AD948" t="s">
        <v>6953</v>
      </c>
    </row>
    <row r="949" spans="1:30">
      <c r="A949" t="s">
        <v>4604</v>
      </c>
      <c r="B949" t="s">
        <v>4689</v>
      </c>
      <c r="C949" t="s">
        <v>1216</v>
      </c>
      <c r="D949" t="s">
        <v>5977</v>
      </c>
      <c r="E949" t="s">
        <v>5949</v>
      </c>
      <c r="J949" t="s">
        <v>6577</v>
      </c>
      <c r="M949" t="e">
        <v>#N/A</v>
      </c>
      <c r="N949" t="e">
        <v>#N/A</v>
      </c>
      <c r="O949" t="e">
        <v>#N/A</v>
      </c>
      <c r="P949" t="e">
        <v>#N/A</v>
      </c>
      <c r="R949" t="e">
        <v>#N/A</v>
      </c>
      <c r="T949" t="s">
        <v>5983</v>
      </c>
      <c r="U949" t="s">
        <v>5983</v>
      </c>
      <c r="V949" t="s">
        <v>5983</v>
      </c>
      <c r="Y949" t="s">
        <v>6948</v>
      </c>
      <c r="Z949" t="s">
        <v>6949</v>
      </c>
      <c r="AA949" t="s">
        <v>6950</v>
      </c>
      <c r="AB949" t="s">
        <v>6951</v>
      </c>
      <c r="AC949" t="s">
        <v>6952</v>
      </c>
      <c r="AD949" t="s">
        <v>6953</v>
      </c>
    </row>
    <row r="950" spans="1:30">
      <c r="A950" t="s">
        <v>4604</v>
      </c>
      <c r="B950" t="s">
        <v>4690</v>
      </c>
      <c r="C950" t="s">
        <v>1216</v>
      </c>
      <c r="D950" t="s">
        <v>5978</v>
      </c>
      <c r="E950" t="s">
        <v>5949</v>
      </c>
      <c r="J950" t="s">
        <v>6577</v>
      </c>
      <c r="M950" t="e">
        <v>#N/A</v>
      </c>
      <c r="N950" t="e">
        <v>#N/A</v>
      </c>
      <c r="O950" t="e">
        <v>#N/A</v>
      </c>
      <c r="P950" t="e">
        <v>#N/A</v>
      </c>
      <c r="R950" t="e">
        <v>#N/A</v>
      </c>
      <c r="T950" t="s">
        <v>5983</v>
      </c>
      <c r="U950" t="s">
        <v>5983</v>
      </c>
      <c r="V950" t="s">
        <v>5983</v>
      </c>
      <c r="Y950" t="s">
        <v>6948</v>
      </c>
      <c r="Z950" t="s">
        <v>6949</v>
      </c>
      <c r="AA950" t="s">
        <v>6950</v>
      </c>
      <c r="AB950" t="s">
        <v>6951</v>
      </c>
      <c r="AC950" t="s">
        <v>6952</v>
      </c>
      <c r="AD950" t="s">
        <v>6953</v>
      </c>
    </row>
    <row r="951" spans="1:30">
      <c r="A951" t="s">
        <v>4604</v>
      </c>
      <c r="B951" t="s">
        <v>4691</v>
      </c>
      <c r="C951" t="s">
        <v>1030</v>
      </c>
      <c r="D951" t="s">
        <v>5977</v>
      </c>
      <c r="E951" t="s">
        <v>5949</v>
      </c>
      <c r="J951" t="s">
        <v>6578</v>
      </c>
      <c r="M951" t="e">
        <v>#N/A</v>
      </c>
      <c r="N951" t="e">
        <v>#N/A</v>
      </c>
      <c r="O951" t="e">
        <v>#N/A</v>
      </c>
      <c r="P951" t="e">
        <v>#N/A</v>
      </c>
      <c r="R951" t="e">
        <v>#N/A</v>
      </c>
      <c r="T951" t="s">
        <v>5983</v>
      </c>
      <c r="U951" t="s">
        <v>5983</v>
      </c>
      <c r="V951" t="s">
        <v>5983</v>
      </c>
      <c r="Y951" t="s">
        <v>6948</v>
      </c>
      <c r="Z951" t="s">
        <v>6949</v>
      </c>
      <c r="AA951" t="s">
        <v>6950</v>
      </c>
      <c r="AB951" t="s">
        <v>6951</v>
      </c>
      <c r="AC951" t="s">
        <v>6952</v>
      </c>
      <c r="AD951" t="s">
        <v>6953</v>
      </c>
    </row>
    <row r="952" spans="1:30">
      <c r="A952" t="s">
        <v>4604</v>
      </c>
      <c r="B952" t="s">
        <v>4692</v>
      </c>
      <c r="C952" t="s">
        <v>1030</v>
      </c>
      <c r="D952" t="s">
        <v>5978</v>
      </c>
      <c r="E952" t="s">
        <v>5949</v>
      </c>
      <c r="J952" t="s">
        <v>6578</v>
      </c>
      <c r="M952" t="e">
        <v>#N/A</v>
      </c>
      <c r="N952" t="e">
        <v>#N/A</v>
      </c>
      <c r="O952" t="e">
        <v>#N/A</v>
      </c>
      <c r="P952" t="e">
        <v>#N/A</v>
      </c>
      <c r="R952" t="e">
        <v>#N/A</v>
      </c>
      <c r="T952" t="s">
        <v>5983</v>
      </c>
      <c r="U952" t="s">
        <v>5983</v>
      </c>
      <c r="V952" t="s">
        <v>5983</v>
      </c>
      <c r="Y952" t="s">
        <v>6948</v>
      </c>
      <c r="Z952" t="s">
        <v>6949</v>
      </c>
      <c r="AA952" t="s">
        <v>6950</v>
      </c>
      <c r="AB952" t="s">
        <v>6951</v>
      </c>
      <c r="AC952" t="s">
        <v>6952</v>
      </c>
      <c r="AD952" t="s">
        <v>6953</v>
      </c>
    </row>
    <row r="953" spans="1:30">
      <c r="A953" t="s">
        <v>4604</v>
      </c>
      <c r="B953" t="s">
        <v>4693</v>
      </c>
      <c r="C953" t="s">
        <v>1031</v>
      </c>
      <c r="D953" t="s">
        <v>5978</v>
      </c>
      <c r="E953" t="s">
        <v>5949</v>
      </c>
      <c r="J953" t="s">
        <v>6579</v>
      </c>
      <c r="M953" t="e">
        <v>#N/A</v>
      </c>
      <c r="N953" t="e">
        <v>#N/A</v>
      </c>
      <c r="O953" t="e">
        <v>#N/A</v>
      </c>
      <c r="P953" t="e">
        <v>#N/A</v>
      </c>
      <c r="R953" t="e">
        <v>#N/A</v>
      </c>
      <c r="T953" t="s">
        <v>5983</v>
      </c>
      <c r="U953" t="s">
        <v>5983</v>
      </c>
      <c r="V953" t="s">
        <v>5983</v>
      </c>
      <c r="Y953" t="s">
        <v>6948</v>
      </c>
      <c r="Z953" t="s">
        <v>6949</v>
      </c>
      <c r="AA953" t="s">
        <v>6950</v>
      </c>
      <c r="AB953" t="s">
        <v>6951</v>
      </c>
      <c r="AC953" t="s">
        <v>6952</v>
      </c>
      <c r="AD953" t="s">
        <v>6953</v>
      </c>
    </row>
    <row r="954" spans="1:30">
      <c r="A954" t="s">
        <v>4604</v>
      </c>
      <c r="B954" t="s">
        <v>4694</v>
      </c>
      <c r="C954" t="s">
        <v>1032</v>
      </c>
      <c r="D954" t="s">
        <v>5978</v>
      </c>
      <c r="E954" t="s">
        <v>5949</v>
      </c>
      <c r="J954" t="s">
        <v>6580</v>
      </c>
      <c r="M954" t="e">
        <v>#N/A</v>
      </c>
      <c r="N954" t="e">
        <v>#N/A</v>
      </c>
      <c r="O954" t="e">
        <v>#N/A</v>
      </c>
      <c r="P954" t="e">
        <v>#N/A</v>
      </c>
      <c r="R954" t="e">
        <v>#N/A</v>
      </c>
      <c r="T954" t="s">
        <v>5983</v>
      </c>
      <c r="U954" t="s">
        <v>5983</v>
      </c>
      <c r="V954" t="s">
        <v>5983</v>
      </c>
      <c r="Y954" t="s">
        <v>6948</v>
      </c>
      <c r="Z954" t="s">
        <v>6949</v>
      </c>
      <c r="AA954" t="s">
        <v>6950</v>
      </c>
      <c r="AB954" t="s">
        <v>6951</v>
      </c>
      <c r="AC954" t="s">
        <v>6952</v>
      </c>
      <c r="AD954" t="s">
        <v>6953</v>
      </c>
    </row>
    <row r="955" spans="1:30">
      <c r="A955" t="s">
        <v>4604</v>
      </c>
      <c r="B955" t="s">
        <v>4695</v>
      </c>
      <c r="C955" t="s">
        <v>5667</v>
      </c>
      <c r="D955">
        <v>0</v>
      </c>
      <c r="E955">
        <v>0</v>
      </c>
      <c r="J955">
        <v>0</v>
      </c>
      <c r="M955" t="e">
        <v>#N/A</v>
      </c>
      <c r="N955" t="e">
        <v>#N/A</v>
      </c>
      <c r="O955" t="e">
        <v>#N/A</v>
      </c>
      <c r="P955" t="e">
        <v>#N/A</v>
      </c>
      <c r="R955" t="e">
        <v>#N/A</v>
      </c>
      <c r="T955">
        <v>0</v>
      </c>
      <c r="U955">
        <v>0</v>
      </c>
      <c r="V955" t="s">
        <v>5983</v>
      </c>
      <c r="Y955" t="s">
        <v>6948</v>
      </c>
      <c r="Z955" t="s">
        <v>6949</v>
      </c>
      <c r="AA955" t="s">
        <v>6950</v>
      </c>
      <c r="AB955" t="s">
        <v>6951</v>
      </c>
      <c r="AC955" t="s">
        <v>6952</v>
      </c>
      <c r="AD955" t="s">
        <v>6953</v>
      </c>
    </row>
    <row r="956" spans="1:30">
      <c r="A956">
        <v>11007146</v>
      </c>
      <c r="B956" t="s">
        <v>4696</v>
      </c>
      <c r="C956" t="s">
        <v>5667</v>
      </c>
      <c r="D956" t="s">
        <v>5979</v>
      </c>
      <c r="E956" t="s">
        <v>5980</v>
      </c>
      <c r="J956" t="s">
        <v>6581</v>
      </c>
      <c r="M956" t="e">
        <v>#N/A</v>
      </c>
      <c r="N956" t="e">
        <v>#N/A</v>
      </c>
      <c r="O956" t="e">
        <v>#N/A</v>
      </c>
      <c r="P956" t="e">
        <v>#N/A</v>
      </c>
      <c r="R956" t="e">
        <v>#N/A</v>
      </c>
      <c r="T956" t="s">
        <v>5985</v>
      </c>
      <c r="U956" t="s">
        <v>5985</v>
      </c>
      <c r="V956" t="s">
        <v>5983</v>
      </c>
      <c r="Y956" t="s">
        <v>6948</v>
      </c>
      <c r="Z956" t="s">
        <v>6949</v>
      </c>
      <c r="AA956" t="s">
        <v>6950</v>
      </c>
      <c r="AB956" t="s">
        <v>6951</v>
      </c>
      <c r="AC956" t="s">
        <v>6952</v>
      </c>
      <c r="AD956" t="s">
        <v>6953</v>
      </c>
    </row>
    <row r="957" spans="1:30">
      <c r="A957" t="s">
        <v>4604</v>
      </c>
      <c r="B957" t="s">
        <v>4697</v>
      </c>
      <c r="C957" t="s">
        <v>5668</v>
      </c>
      <c r="D957">
        <v>0</v>
      </c>
      <c r="E957">
        <v>0</v>
      </c>
      <c r="J957">
        <v>0</v>
      </c>
      <c r="M957" t="e">
        <v>#N/A</v>
      </c>
      <c r="N957" t="e">
        <v>#N/A</v>
      </c>
      <c r="O957" t="e">
        <v>#N/A</v>
      </c>
      <c r="P957" t="e">
        <v>#N/A</v>
      </c>
      <c r="R957" t="e">
        <v>#N/A</v>
      </c>
      <c r="T957">
        <v>0</v>
      </c>
      <c r="U957">
        <v>0</v>
      </c>
      <c r="V957" t="s">
        <v>5983</v>
      </c>
      <c r="Y957" t="s">
        <v>6948</v>
      </c>
      <c r="Z957" t="s">
        <v>6949</v>
      </c>
      <c r="AA957" t="s">
        <v>6950</v>
      </c>
      <c r="AB957" t="s">
        <v>6951</v>
      </c>
      <c r="AC957" t="s">
        <v>6952</v>
      </c>
      <c r="AD957" t="s">
        <v>6953</v>
      </c>
    </row>
    <row r="958" spans="1:30">
      <c r="A958">
        <v>11007144</v>
      </c>
      <c r="B958" t="s">
        <v>4698</v>
      </c>
      <c r="C958" t="s">
        <v>5668</v>
      </c>
      <c r="D958" t="s">
        <v>5979</v>
      </c>
      <c r="E958" t="s">
        <v>5980</v>
      </c>
      <c r="J958" t="s">
        <v>6582</v>
      </c>
      <c r="M958" t="e">
        <v>#N/A</v>
      </c>
      <c r="N958" t="e">
        <v>#N/A</v>
      </c>
      <c r="O958" t="e">
        <v>#N/A</v>
      </c>
      <c r="P958" t="e">
        <v>#N/A</v>
      </c>
      <c r="R958" t="e">
        <v>#N/A</v>
      </c>
      <c r="T958" t="s">
        <v>5985</v>
      </c>
      <c r="U958" t="s">
        <v>5985</v>
      </c>
      <c r="V958" t="s">
        <v>5983</v>
      </c>
      <c r="Y958" t="s">
        <v>6948</v>
      </c>
      <c r="Z958" t="s">
        <v>6949</v>
      </c>
      <c r="AA958" t="s">
        <v>6950</v>
      </c>
      <c r="AB958" t="s">
        <v>6951</v>
      </c>
      <c r="AC958" t="s">
        <v>6952</v>
      </c>
      <c r="AD958" t="s">
        <v>6953</v>
      </c>
    </row>
    <row r="959" spans="1:30">
      <c r="A959" t="s">
        <v>4604</v>
      </c>
      <c r="B959" t="s">
        <v>4699</v>
      </c>
      <c r="C959" t="s">
        <v>5667</v>
      </c>
      <c r="D959">
        <v>0</v>
      </c>
      <c r="E959">
        <v>0</v>
      </c>
      <c r="J959">
        <v>0</v>
      </c>
      <c r="M959" t="e">
        <v>#N/A</v>
      </c>
      <c r="N959" t="e">
        <v>#N/A</v>
      </c>
      <c r="O959" t="e">
        <v>#N/A</v>
      </c>
      <c r="P959" t="e">
        <v>#N/A</v>
      </c>
      <c r="R959" t="e">
        <v>#N/A</v>
      </c>
      <c r="T959">
        <v>0</v>
      </c>
      <c r="U959">
        <v>0</v>
      </c>
      <c r="V959" t="s">
        <v>5983</v>
      </c>
      <c r="Y959" t="s">
        <v>6948</v>
      </c>
      <c r="Z959" t="s">
        <v>6949</v>
      </c>
      <c r="AA959" t="s">
        <v>6950</v>
      </c>
      <c r="AB959" t="s">
        <v>6951</v>
      </c>
      <c r="AC959" t="s">
        <v>6952</v>
      </c>
      <c r="AD959" t="s">
        <v>6953</v>
      </c>
    </row>
    <row r="960" spans="1:30">
      <c r="A960">
        <v>11007143</v>
      </c>
      <c r="B960" t="s">
        <v>4700</v>
      </c>
      <c r="C960" t="s">
        <v>5667</v>
      </c>
      <c r="D960" t="s">
        <v>5981</v>
      </c>
      <c r="E960" t="s">
        <v>5949</v>
      </c>
      <c r="J960" t="s">
        <v>6583</v>
      </c>
      <c r="M960" t="e">
        <v>#N/A</v>
      </c>
      <c r="N960" t="e">
        <v>#N/A</v>
      </c>
      <c r="O960" t="e">
        <v>#N/A</v>
      </c>
      <c r="P960" t="e">
        <v>#N/A</v>
      </c>
      <c r="R960" t="e">
        <v>#N/A</v>
      </c>
      <c r="T960" t="s">
        <v>5983</v>
      </c>
      <c r="U960" t="s">
        <v>5983</v>
      </c>
      <c r="V960" t="s">
        <v>5983</v>
      </c>
      <c r="Y960" t="s">
        <v>6948</v>
      </c>
      <c r="Z960" t="s">
        <v>6949</v>
      </c>
      <c r="AA960" t="s">
        <v>6950</v>
      </c>
      <c r="AB960" t="s">
        <v>6951</v>
      </c>
      <c r="AC960" t="s">
        <v>6952</v>
      </c>
      <c r="AD960" t="s">
        <v>6953</v>
      </c>
    </row>
    <row r="961" spans="1:30">
      <c r="A961" t="s">
        <v>4604</v>
      </c>
      <c r="B961" t="s">
        <v>4701</v>
      </c>
      <c r="C961" t="s">
        <v>5668</v>
      </c>
      <c r="D961">
        <v>0</v>
      </c>
      <c r="E961">
        <v>0</v>
      </c>
      <c r="J961">
        <v>0</v>
      </c>
      <c r="M961" t="e">
        <v>#N/A</v>
      </c>
      <c r="N961" t="e">
        <v>#N/A</v>
      </c>
      <c r="O961" t="e">
        <v>#N/A</v>
      </c>
      <c r="P961" t="e">
        <v>#N/A</v>
      </c>
      <c r="R961" t="e">
        <v>#N/A</v>
      </c>
      <c r="T961">
        <v>0</v>
      </c>
      <c r="U961">
        <v>0</v>
      </c>
      <c r="V961" t="s">
        <v>5983</v>
      </c>
      <c r="Y961" t="s">
        <v>6948</v>
      </c>
      <c r="Z961" t="s">
        <v>6949</v>
      </c>
      <c r="AA961" t="s">
        <v>6950</v>
      </c>
      <c r="AB961" t="s">
        <v>6951</v>
      </c>
      <c r="AC961" t="s">
        <v>6952</v>
      </c>
      <c r="AD961" t="s">
        <v>6953</v>
      </c>
    </row>
    <row r="962" spans="1:30">
      <c r="A962" t="s">
        <v>4604</v>
      </c>
      <c r="B962" t="s">
        <v>4702</v>
      </c>
      <c r="C962" t="s">
        <v>5668</v>
      </c>
      <c r="D962" t="s">
        <v>5981</v>
      </c>
      <c r="E962" t="s">
        <v>5949</v>
      </c>
      <c r="J962" t="s">
        <v>6584</v>
      </c>
      <c r="M962" t="e">
        <v>#N/A</v>
      </c>
      <c r="N962" t="e">
        <v>#N/A</v>
      </c>
      <c r="O962" t="e">
        <v>#N/A</v>
      </c>
      <c r="P962" t="e">
        <v>#N/A</v>
      </c>
      <c r="R962" t="e">
        <v>#N/A</v>
      </c>
      <c r="T962" t="s">
        <v>5983</v>
      </c>
      <c r="U962" t="s">
        <v>5983</v>
      </c>
      <c r="V962" t="s">
        <v>5983</v>
      </c>
      <c r="Y962" t="s">
        <v>6948</v>
      </c>
      <c r="Z962" t="s">
        <v>6949</v>
      </c>
      <c r="AA962" t="s">
        <v>6950</v>
      </c>
      <c r="AB962" t="s">
        <v>6951</v>
      </c>
      <c r="AC962" t="s">
        <v>6952</v>
      </c>
      <c r="AD962" t="s">
        <v>6953</v>
      </c>
    </row>
    <row r="963" spans="1:30">
      <c r="A963" t="s">
        <v>4604</v>
      </c>
      <c r="B963" t="s">
        <v>4703</v>
      </c>
      <c r="C963" t="s">
        <v>5669</v>
      </c>
      <c r="D963" t="s">
        <v>5982</v>
      </c>
      <c r="E963" t="s">
        <v>5983</v>
      </c>
      <c r="J963" t="s">
        <v>6585</v>
      </c>
      <c r="M963" t="e">
        <v>#N/A</v>
      </c>
      <c r="N963" t="e">
        <v>#N/A</v>
      </c>
      <c r="O963" t="e">
        <v>#N/A</v>
      </c>
      <c r="P963" t="e">
        <v>#N/A</v>
      </c>
      <c r="R963" t="e">
        <v>#N/A</v>
      </c>
      <c r="T963" t="s">
        <v>5983</v>
      </c>
      <c r="U963" t="s">
        <v>5983</v>
      </c>
      <c r="V963" t="s">
        <v>5983</v>
      </c>
      <c r="Y963" t="s">
        <v>6948</v>
      </c>
      <c r="Z963" t="s">
        <v>6949</v>
      </c>
      <c r="AA963" t="s">
        <v>6950</v>
      </c>
      <c r="AB963" t="s">
        <v>6951</v>
      </c>
      <c r="AC963" t="s">
        <v>6952</v>
      </c>
      <c r="AD963" t="s">
        <v>6953</v>
      </c>
    </row>
    <row r="964" spans="1:30">
      <c r="A964" t="s">
        <v>4604</v>
      </c>
      <c r="B964" t="s">
        <v>4704</v>
      </c>
      <c r="C964" t="s">
        <v>1137</v>
      </c>
      <c r="D964" t="s">
        <v>5984</v>
      </c>
      <c r="E964" t="s">
        <v>5985</v>
      </c>
      <c r="J964" t="s">
        <v>5985</v>
      </c>
      <c r="M964" t="e">
        <v>#N/A</v>
      </c>
      <c r="N964" t="e">
        <v>#N/A</v>
      </c>
      <c r="O964" t="e">
        <v>#N/A</v>
      </c>
      <c r="P964" t="e">
        <v>#N/A</v>
      </c>
      <c r="R964" t="e">
        <v>#N/A</v>
      </c>
      <c r="T964" t="s">
        <v>5985</v>
      </c>
      <c r="U964" t="s">
        <v>5985</v>
      </c>
      <c r="V964" t="s">
        <v>5983</v>
      </c>
      <c r="Y964" t="s">
        <v>6948</v>
      </c>
      <c r="Z964" t="s">
        <v>6949</v>
      </c>
      <c r="AA964" t="s">
        <v>6950</v>
      </c>
      <c r="AB964" t="s">
        <v>6951</v>
      </c>
      <c r="AC964" t="s">
        <v>6952</v>
      </c>
      <c r="AD964" t="s">
        <v>6953</v>
      </c>
    </row>
    <row r="965" spans="1:30">
      <c r="A965" t="s">
        <v>4604</v>
      </c>
      <c r="B965" t="s">
        <v>4705</v>
      </c>
      <c r="C965" t="s">
        <v>5670</v>
      </c>
      <c r="D965" t="s">
        <v>5982</v>
      </c>
      <c r="E965" t="s">
        <v>5983</v>
      </c>
      <c r="J965" t="s">
        <v>6586</v>
      </c>
      <c r="M965" t="e">
        <v>#N/A</v>
      </c>
      <c r="N965" t="e">
        <v>#N/A</v>
      </c>
      <c r="O965" t="e">
        <v>#N/A</v>
      </c>
      <c r="P965" t="e">
        <v>#N/A</v>
      </c>
      <c r="R965" t="e">
        <v>#N/A</v>
      </c>
      <c r="T965" t="s">
        <v>5983</v>
      </c>
      <c r="U965" t="s">
        <v>5983</v>
      </c>
      <c r="V965" t="s">
        <v>5983</v>
      </c>
      <c r="Y965" t="s">
        <v>6948</v>
      </c>
      <c r="Z965" t="s">
        <v>6949</v>
      </c>
      <c r="AA965" t="s">
        <v>6950</v>
      </c>
      <c r="AB965" t="s">
        <v>6951</v>
      </c>
      <c r="AC965" t="s">
        <v>6952</v>
      </c>
      <c r="AD965" t="s">
        <v>6953</v>
      </c>
    </row>
    <row r="966" spans="1:30">
      <c r="A966" t="s">
        <v>4604</v>
      </c>
      <c r="B966" t="s">
        <v>4706</v>
      </c>
      <c r="C966" t="s">
        <v>1138</v>
      </c>
      <c r="D966">
        <v>0</v>
      </c>
      <c r="E966">
        <v>0</v>
      </c>
      <c r="J966">
        <v>0</v>
      </c>
      <c r="M966" t="e">
        <v>#N/A</v>
      </c>
      <c r="N966" t="e">
        <v>#N/A</v>
      </c>
      <c r="O966" t="e">
        <v>#N/A</v>
      </c>
      <c r="P966" t="e">
        <v>#N/A</v>
      </c>
      <c r="R966" t="e">
        <v>#N/A</v>
      </c>
      <c r="T966">
        <v>0</v>
      </c>
      <c r="U966">
        <v>0</v>
      </c>
      <c r="V966" t="s">
        <v>5983</v>
      </c>
      <c r="Y966" t="s">
        <v>6948</v>
      </c>
      <c r="Z966" t="s">
        <v>6949</v>
      </c>
      <c r="AA966" t="s">
        <v>6950</v>
      </c>
      <c r="AB966" t="s">
        <v>6951</v>
      </c>
      <c r="AC966" t="s">
        <v>6952</v>
      </c>
      <c r="AD966" t="s">
        <v>6953</v>
      </c>
    </row>
    <row r="967" spans="1:30">
      <c r="A967" t="s">
        <v>4604</v>
      </c>
      <c r="B967" t="s">
        <v>4707</v>
      </c>
      <c r="C967" t="s">
        <v>5671</v>
      </c>
      <c r="D967" t="s">
        <v>5982</v>
      </c>
      <c r="E967" t="s">
        <v>5983</v>
      </c>
      <c r="J967" t="s">
        <v>6587</v>
      </c>
      <c r="M967" t="e">
        <v>#N/A</v>
      </c>
      <c r="N967" t="e">
        <v>#N/A</v>
      </c>
      <c r="O967" t="e">
        <v>#N/A</v>
      </c>
      <c r="P967" t="e">
        <v>#N/A</v>
      </c>
      <c r="R967" t="e">
        <v>#N/A</v>
      </c>
      <c r="T967" t="s">
        <v>5983</v>
      </c>
      <c r="U967" t="s">
        <v>5983</v>
      </c>
      <c r="V967" t="s">
        <v>5983</v>
      </c>
      <c r="Y967" t="s">
        <v>6948</v>
      </c>
      <c r="Z967" t="s">
        <v>6949</v>
      </c>
      <c r="AA967" t="s">
        <v>6950</v>
      </c>
      <c r="AB967" t="s">
        <v>6951</v>
      </c>
      <c r="AC967" t="s">
        <v>6952</v>
      </c>
      <c r="AD967" t="s">
        <v>6953</v>
      </c>
    </row>
    <row r="968" spans="1:30">
      <c r="A968" t="s">
        <v>4604</v>
      </c>
      <c r="B968" t="s">
        <v>4708</v>
      </c>
      <c r="C968" t="s">
        <v>5672</v>
      </c>
      <c r="D968">
        <v>0</v>
      </c>
      <c r="E968">
        <v>0</v>
      </c>
      <c r="J968">
        <v>0</v>
      </c>
      <c r="M968" t="e">
        <v>#N/A</v>
      </c>
      <c r="N968" t="e">
        <v>#N/A</v>
      </c>
      <c r="O968" t="e">
        <v>#N/A</v>
      </c>
      <c r="P968" t="e">
        <v>#N/A</v>
      </c>
      <c r="R968" t="e">
        <v>#N/A</v>
      </c>
      <c r="T968">
        <v>0</v>
      </c>
      <c r="U968">
        <v>0</v>
      </c>
      <c r="V968" t="s">
        <v>5983</v>
      </c>
      <c r="Y968" t="s">
        <v>6948</v>
      </c>
      <c r="Z968" t="s">
        <v>6949</v>
      </c>
      <c r="AA968" t="s">
        <v>6950</v>
      </c>
      <c r="AB968" t="s">
        <v>6951</v>
      </c>
      <c r="AC968" t="s">
        <v>6952</v>
      </c>
      <c r="AD968" t="s">
        <v>6953</v>
      </c>
    </row>
    <row r="969" spans="1:30">
      <c r="A969" t="s">
        <v>4604</v>
      </c>
      <c r="B969" t="s">
        <v>4709</v>
      </c>
      <c r="C969" t="s">
        <v>5673</v>
      </c>
      <c r="D969" t="s">
        <v>5982</v>
      </c>
      <c r="E969" t="s">
        <v>5983</v>
      </c>
      <c r="J969" t="s">
        <v>6588</v>
      </c>
      <c r="M969" t="e">
        <v>#N/A</v>
      </c>
      <c r="N969" t="e">
        <v>#N/A</v>
      </c>
      <c r="O969" t="e">
        <v>#N/A</v>
      </c>
      <c r="P969" t="e">
        <v>#N/A</v>
      </c>
      <c r="R969" t="e">
        <v>#N/A</v>
      </c>
      <c r="T969" t="s">
        <v>5983</v>
      </c>
      <c r="U969" t="s">
        <v>5983</v>
      </c>
      <c r="V969" t="s">
        <v>5983</v>
      </c>
      <c r="Y969" t="s">
        <v>6948</v>
      </c>
      <c r="Z969" t="s">
        <v>6949</v>
      </c>
      <c r="AA969" t="s">
        <v>6950</v>
      </c>
      <c r="AB969" t="s">
        <v>6951</v>
      </c>
      <c r="AC969" t="s">
        <v>6952</v>
      </c>
      <c r="AD969" t="s">
        <v>6953</v>
      </c>
    </row>
    <row r="970" spans="1:30">
      <c r="A970" t="s">
        <v>4604</v>
      </c>
      <c r="B970" t="s">
        <v>4710</v>
      </c>
      <c r="C970" t="s">
        <v>1022</v>
      </c>
      <c r="D970">
        <v>0</v>
      </c>
      <c r="E970">
        <v>0</v>
      </c>
      <c r="J970">
        <v>0</v>
      </c>
      <c r="M970" t="e">
        <v>#N/A</v>
      </c>
      <c r="N970" t="e">
        <v>#N/A</v>
      </c>
      <c r="O970" t="e">
        <v>#N/A</v>
      </c>
      <c r="P970" t="e">
        <v>#N/A</v>
      </c>
      <c r="R970" t="e">
        <v>#N/A</v>
      </c>
      <c r="T970">
        <v>0</v>
      </c>
      <c r="U970">
        <v>0</v>
      </c>
      <c r="V970" t="s">
        <v>5983</v>
      </c>
      <c r="Y970" t="s">
        <v>6948</v>
      </c>
      <c r="Z970" t="s">
        <v>6949</v>
      </c>
      <c r="AA970" t="s">
        <v>6950</v>
      </c>
      <c r="AB970" t="s">
        <v>6951</v>
      </c>
      <c r="AC970" t="s">
        <v>6952</v>
      </c>
      <c r="AD970" t="s">
        <v>6953</v>
      </c>
    </row>
    <row r="971" spans="1:30">
      <c r="A971" t="s">
        <v>4604</v>
      </c>
      <c r="B971" t="s">
        <v>4711</v>
      </c>
      <c r="C971" t="s">
        <v>5674</v>
      </c>
      <c r="D971" t="s">
        <v>5986</v>
      </c>
      <c r="E971" t="s">
        <v>5983</v>
      </c>
      <c r="J971" t="s">
        <v>6589</v>
      </c>
      <c r="M971" t="e">
        <v>#N/A</v>
      </c>
      <c r="N971" t="e">
        <v>#N/A</v>
      </c>
      <c r="O971" t="e">
        <v>#N/A</v>
      </c>
      <c r="P971" t="e">
        <v>#N/A</v>
      </c>
      <c r="R971" t="e">
        <v>#N/A</v>
      </c>
      <c r="T971" t="s">
        <v>5983</v>
      </c>
      <c r="U971" t="s">
        <v>5983</v>
      </c>
      <c r="V971" t="s">
        <v>5983</v>
      </c>
      <c r="Y971" t="s">
        <v>6948</v>
      </c>
      <c r="Z971" t="s">
        <v>6949</v>
      </c>
      <c r="AA971" t="s">
        <v>6950</v>
      </c>
      <c r="AB971" t="s">
        <v>6951</v>
      </c>
      <c r="AC971" t="s">
        <v>6952</v>
      </c>
      <c r="AD971" t="s">
        <v>6953</v>
      </c>
    </row>
    <row r="972" spans="1:30">
      <c r="A972" t="s">
        <v>4604</v>
      </c>
      <c r="B972" t="s">
        <v>4712</v>
      </c>
      <c r="C972" t="s">
        <v>5675</v>
      </c>
      <c r="D972">
        <v>0</v>
      </c>
      <c r="E972">
        <v>0</v>
      </c>
      <c r="J972">
        <v>0</v>
      </c>
      <c r="M972" t="e">
        <v>#N/A</v>
      </c>
      <c r="N972" t="e">
        <v>#N/A</v>
      </c>
      <c r="O972" t="e">
        <v>#N/A</v>
      </c>
      <c r="P972" t="e">
        <v>#N/A</v>
      </c>
      <c r="R972" t="e">
        <v>#N/A</v>
      </c>
      <c r="T972">
        <v>0</v>
      </c>
      <c r="U972">
        <v>0</v>
      </c>
      <c r="V972" t="s">
        <v>5983</v>
      </c>
      <c r="Y972" t="s">
        <v>6948</v>
      </c>
      <c r="Z972" t="s">
        <v>6949</v>
      </c>
      <c r="AA972" t="s">
        <v>6950</v>
      </c>
      <c r="AB972" t="s">
        <v>6951</v>
      </c>
      <c r="AC972" t="s">
        <v>6952</v>
      </c>
      <c r="AD972" t="s">
        <v>6953</v>
      </c>
    </row>
    <row r="973" spans="1:30">
      <c r="A973" t="s">
        <v>4604</v>
      </c>
      <c r="B973" t="s">
        <v>4713</v>
      </c>
      <c r="C973" t="s">
        <v>5676</v>
      </c>
      <c r="D973" t="s">
        <v>5986</v>
      </c>
      <c r="E973" t="s">
        <v>5983</v>
      </c>
      <c r="J973" t="s">
        <v>6590</v>
      </c>
      <c r="M973" t="e">
        <v>#N/A</v>
      </c>
      <c r="N973" t="e">
        <v>#N/A</v>
      </c>
      <c r="O973" t="e">
        <v>#N/A</v>
      </c>
      <c r="P973" t="e">
        <v>#N/A</v>
      </c>
      <c r="R973" t="e">
        <v>#N/A</v>
      </c>
      <c r="T973" t="s">
        <v>5983</v>
      </c>
      <c r="U973" t="s">
        <v>5983</v>
      </c>
      <c r="V973" t="s">
        <v>5983</v>
      </c>
      <c r="Y973" t="s">
        <v>6948</v>
      </c>
      <c r="Z973" t="s">
        <v>6949</v>
      </c>
      <c r="AA973" t="s">
        <v>6950</v>
      </c>
      <c r="AB973" t="s">
        <v>6951</v>
      </c>
      <c r="AC973" t="s">
        <v>6952</v>
      </c>
      <c r="AD973" t="s">
        <v>6953</v>
      </c>
    </row>
    <row r="974" spans="1:30">
      <c r="A974" t="s">
        <v>4604</v>
      </c>
      <c r="B974" t="s">
        <v>4714</v>
      </c>
      <c r="C974" t="s">
        <v>5676</v>
      </c>
      <c r="D974">
        <v>0</v>
      </c>
      <c r="E974">
        <v>0</v>
      </c>
      <c r="J974">
        <v>0</v>
      </c>
      <c r="M974" t="e">
        <v>#N/A</v>
      </c>
      <c r="N974" t="e">
        <v>#N/A</v>
      </c>
      <c r="O974" t="e">
        <v>#N/A</v>
      </c>
      <c r="P974" t="e">
        <v>#N/A</v>
      </c>
      <c r="R974" t="e">
        <v>#N/A</v>
      </c>
      <c r="T974">
        <v>0</v>
      </c>
      <c r="U974">
        <v>0</v>
      </c>
      <c r="V974" t="s">
        <v>5983</v>
      </c>
      <c r="Y974" t="s">
        <v>6948</v>
      </c>
      <c r="Z974" t="s">
        <v>6949</v>
      </c>
      <c r="AA974" t="s">
        <v>6950</v>
      </c>
      <c r="AB974" t="s">
        <v>6951</v>
      </c>
      <c r="AC974" t="s">
        <v>6952</v>
      </c>
      <c r="AD974" t="s">
        <v>6953</v>
      </c>
    </row>
    <row r="975" spans="1:30">
      <c r="A975" t="s">
        <v>4604</v>
      </c>
      <c r="B975" t="s">
        <v>4715</v>
      </c>
      <c r="C975" t="s">
        <v>5677</v>
      </c>
      <c r="D975" t="s">
        <v>5987</v>
      </c>
      <c r="E975" t="s">
        <v>5988</v>
      </c>
      <c r="J975" t="s">
        <v>6591</v>
      </c>
      <c r="M975" t="e">
        <v>#N/A</v>
      </c>
      <c r="N975" t="e">
        <v>#N/A</v>
      </c>
      <c r="O975" t="e">
        <v>#N/A</v>
      </c>
      <c r="P975" t="e">
        <v>#N/A</v>
      </c>
      <c r="R975" t="e">
        <v>#N/A</v>
      </c>
      <c r="T975" t="s">
        <v>5983</v>
      </c>
      <c r="U975" t="s">
        <v>5983</v>
      </c>
      <c r="V975" t="s">
        <v>5983</v>
      </c>
      <c r="Y975" t="s">
        <v>6948</v>
      </c>
      <c r="Z975" t="s">
        <v>6949</v>
      </c>
      <c r="AA975" t="s">
        <v>6950</v>
      </c>
      <c r="AB975" t="s">
        <v>6951</v>
      </c>
      <c r="AC975" t="s">
        <v>6952</v>
      </c>
      <c r="AD975" t="s">
        <v>6953</v>
      </c>
    </row>
    <row r="976" spans="1:30">
      <c r="A976" t="s">
        <v>4604</v>
      </c>
      <c r="B976" t="s">
        <v>4716</v>
      </c>
      <c r="C976" t="s">
        <v>5677</v>
      </c>
      <c r="D976">
        <v>0</v>
      </c>
      <c r="E976">
        <v>0</v>
      </c>
      <c r="J976">
        <v>0</v>
      </c>
      <c r="M976" t="e">
        <v>#N/A</v>
      </c>
      <c r="N976" t="e">
        <v>#N/A</v>
      </c>
      <c r="O976" t="e">
        <v>#N/A</v>
      </c>
      <c r="P976" t="e">
        <v>#N/A</v>
      </c>
      <c r="R976" t="e">
        <v>#N/A</v>
      </c>
      <c r="T976">
        <v>0</v>
      </c>
      <c r="U976">
        <v>0</v>
      </c>
      <c r="V976" t="s">
        <v>5983</v>
      </c>
      <c r="Y976" t="s">
        <v>6948</v>
      </c>
      <c r="Z976" t="s">
        <v>6949</v>
      </c>
      <c r="AA976" t="s">
        <v>6950</v>
      </c>
      <c r="AB976" t="s">
        <v>6951</v>
      </c>
      <c r="AC976" t="s">
        <v>6952</v>
      </c>
      <c r="AD976" t="s">
        <v>6953</v>
      </c>
    </row>
    <row r="977" spans="1:30">
      <c r="A977" t="s">
        <v>4604</v>
      </c>
      <c r="B977" t="s">
        <v>4717</v>
      </c>
      <c r="C977" t="s">
        <v>982</v>
      </c>
      <c r="D977" t="s">
        <v>5987</v>
      </c>
      <c r="E977" t="s">
        <v>5988</v>
      </c>
      <c r="J977" t="s">
        <v>6592</v>
      </c>
      <c r="M977" t="e">
        <v>#N/A</v>
      </c>
      <c r="N977" t="e">
        <v>#N/A</v>
      </c>
      <c r="O977" t="e">
        <v>#N/A</v>
      </c>
      <c r="P977" t="e">
        <v>#N/A</v>
      </c>
      <c r="R977" t="e">
        <v>#N/A</v>
      </c>
      <c r="T977" t="s">
        <v>5983</v>
      </c>
      <c r="U977" t="s">
        <v>5983</v>
      </c>
      <c r="V977" t="s">
        <v>5983</v>
      </c>
      <c r="Y977" t="s">
        <v>6948</v>
      </c>
      <c r="Z977" t="s">
        <v>6949</v>
      </c>
      <c r="AA977" t="s">
        <v>6950</v>
      </c>
      <c r="AB977" t="s">
        <v>6951</v>
      </c>
      <c r="AC977" t="s">
        <v>6952</v>
      </c>
      <c r="AD977" t="s">
        <v>6953</v>
      </c>
    </row>
    <row r="978" spans="1:30">
      <c r="A978" t="s">
        <v>4604</v>
      </c>
      <c r="B978" t="s">
        <v>4718</v>
      </c>
      <c r="C978" t="s">
        <v>982</v>
      </c>
      <c r="D978">
        <v>0</v>
      </c>
      <c r="E978">
        <v>0</v>
      </c>
      <c r="J978">
        <v>0</v>
      </c>
      <c r="M978" t="e">
        <v>#N/A</v>
      </c>
      <c r="N978" t="e">
        <v>#N/A</v>
      </c>
      <c r="O978" t="e">
        <v>#N/A</v>
      </c>
      <c r="P978" t="e">
        <v>#N/A</v>
      </c>
      <c r="R978" t="e">
        <v>#N/A</v>
      </c>
      <c r="T978">
        <v>0</v>
      </c>
      <c r="U978">
        <v>0</v>
      </c>
      <c r="V978" t="s">
        <v>5983</v>
      </c>
      <c r="Y978" t="s">
        <v>6948</v>
      </c>
      <c r="Z978" t="s">
        <v>6949</v>
      </c>
      <c r="AA978" t="s">
        <v>6950</v>
      </c>
      <c r="AB978" t="s">
        <v>6951</v>
      </c>
      <c r="AC978" t="s">
        <v>6952</v>
      </c>
      <c r="AD978" t="s">
        <v>6953</v>
      </c>
    </row>
    <row r="979" spans="1:30">
      <c r="A979" t="s">
        <v>4604</v>
      </c>
      <c r="B979" t="s">
        <v>4719</v>
      </c>
      <c r="C979" t="s">
        <v>5678</v>
      </c>
      <c r="D979">
        <v>0</v>
      </c>
      <c r="E979">
        <v>0</v>
      </c>
      <c r="J979">
        <v>0</v>
      </c>
      <c r="M979" t="e">
        <v>#N/A</v>
      </c>
      <c r="N979" t="e">
        <v>#N/A</v>
      </c>
      <c r="O979" t="e">
        <v>#N/A</v>
      </c>
      <c r="P979" t="e">
        <v>#N/A</v>
      </c>
      <c r="R979" t="e">
        <v>#N/A</v>
      </c>
      <c r="T979">
        <v>0</v>
      </c>
      <c r="U979">
        <v>0</v>
      </c>
      <c r="V979" t="s">
        <v>5983</v>
      </c>
      <c r="Y979" t="s">
        <v>6948</v>
      </c>
      <c r="Z979" t="s">
        <v>6949</v>
      </c>
      <c r="AA979" t="s">
        <v>6950</v>
      </c>
      <c r="AB979" t="s">
        <v>6951</v>
      </c>
      <c r="AC979" t="s">
        <v>6952</v>
      </c>
      <c r="AD979" t="s">
        <v>6953</v>
      </c>
    </row>
    <row r="980" spans="1:30">
      <c r="A980" t="s">
        <v>4604</v>
      </c>
      <c r="B980" t="s">
        <v>4720</v>
      </c>
      <c r="C980" t="s">
        <v>5678</v>
      </c>
      <c r="D980" t="s">
        <v>5989</v>
      </c>
      <c r="E980" t="s">
        <v>5990</v>
      </c>
      <c r="J980" t="s">
        <v>6593</v>
      </c>
      <c r="M980" t="e">
        <v>#N/A</v>
      </c>
      <c r="N980" t="e">
        <v>#N/A</v>
      </c>
      <c r="O980" t="e">
        <v>#N/A</v>
      </c>
      <c r="P980" t="e">
        <v>#N/A</v>
      </c>
      <c r="R980" t="e">
        <v>#N/A</v>
      </c>
      <c r="T980" t="s">
        <v>5983</v>
      </c>
      <c r="U980" t="s">
        <v>5983</v>
      </c>
      <c r="V980" t="s">
        <v>5983</v>
      </c>
      <c r="Y980" t="s">
        <v>6948</v>
      </c>
      <c r="Z980" t="s">
        <v>6949</v>
      </c>
      <c r="AA980" t="s">
        <v>6950</v>
      </c>
      <c r="AB980" t="s">
        <v>6951</v>
      </c>
      <c r="AC980" t="s">
        <v>6952</v>
      </c>
      <c r="AD980" t="s">
        <v>6953</v>
      </c>
    </row>
    <row r="981" spans="1:30">
      <c r="A981" t="s">
        <v>4604</v>
      </c>
      <c r="B981" t="s">
        <v>4721</v>
      </c>
      <c r="C981" t="s">
        <v>5679</v>
      </c>
      <c r="D981">
        <v>0</v>
      </c>
      <c r="E981">
        <v>0</v>
      </c>
      <c r="J981">
        <v>0</v>
      </c>
      <c r="M981" t="e">
        <v>#N/A</v>
      </c>
      <c r="N981" t="e">
        <v>#N/A</v>
      </c>
      <c r="O981" t="e">
        <v>#N/A</v>
      </c>
      <c r="P981" t="e">
        <v>#N/A</v>
      </c>
      <c r="R981" t="e">
        <v>#N/A</v>
      </c>
      <c r="T981">
        <v>0</v>
      </c>
      <c r="U981">
        <v>0</v>
      </c>
      <c r="V981" t="s">
        <v>5983</v>
      </c>
      <c r="Y981" t="s">
        <v>6948</v>
      </c>
      <c r="Z981" t="s">
        <v>6949</v>
      </c>
      <c r="AA981" t="s">
        <v>6950</v>
      </c>
      <c r="AB981" t="s">
        <v>6951</v>
      </c>
      <c r="AC981" t="s">
        <v>6952</v>
      </c>
      <c r="AD981" t="s">
        <v>6953</v>
      </c>
    </row>
    <row r="982" spans="1:30">
      <c r="A982" t="s">
        <v>4604</v>
      </c>
      <c r="B982" t="s">
        <v>4722</v>
      </c>
      <c r="C982" t="s">
        <v>5679</v>
      </c>
      <c r="D982" t="s">
        <v>5989</v>
      </c>
      <c r="E982" t="s">
        <v>5990</v>
      </c>
      <c r="J982" t="s">
        <v>6594</v>
      </c>
      <c r="M982" t="e">
        <v>#N/A</v>
      </c>
      <c r="N982" t="e">
        <v>#N/A</v>
      </c>
      <c r="O982" t="e">
        <v>#N/A</v>
      </c>
      <c r="P982" t="e">
        <v>#N/A</v>
      </c>
      <c r="R982" t="e">
        <v>#N/A</v>
      </c>
      <c r="T982" t="s">
        <v>5983</v>
      </c>
      <c r="U982" t="s">
        <v>5983</v>
      </c>
      <c r="V982" t="s">
        <v>5983</v>
      </c>
      <c r="Y982" t="s">
        <v>6948</v>
      </c>
      <c r="Z982" t="s">
        <v>6949</v>
      </c>
      <c r="AA982" t="s">
        <v>6950</v>
      </c>
      <c r="AB982" t="s">
        <v>6951</v>
      </c>
      <c r="AC982" t="s">
        <v>6952</v>
      </c>
      <c r="AD982" t="s">
        <v>6953</v>
      </c>
    </row>
    <row r="983" spans="1:30">
      <c r="A983" t="s">
        <v>4604</v>
      </c>
      <c r="B983" t="s">
        <v>4723</v>
      </c>
      <c r="C983" t="s">
        <v>984</v>
      </c>
      <c r="D983">
        <v>0</v>
      </c>
      <c r="E983">
        <v>0</v>
      </c>
      <c r="J983">
        <v>0</v>
      </c>
      <c r="M983" t="e">
        <v>#N/A</v>
      </c>
      <c r="N983" t="e">
        <v>#N/A</v>
      </c>
      <c r="O983" t="e">
        <v>#N/A</v>
      </c>
      <c r="P983" t="e">
        <v>#N/A</v>
      </c>
      <c r="R983" t="e">
        <v>#N/A</v>
      </c>
      <c r="T983">
        <v>0</v>
      </c>
      <c r="U983">
        <v>0</v>
      </c>
      <c r="V983" t="s">
        <v>5983</v>
      </c>
      <c r="Y983" t="s">
        <v>6948</v>
      </c>
      <c r="Z983" t="s">
        <v>6949</v>
      </c>
      <c r="AA983" t="s">
        <v>6950</v>
      </c>
      <c r="AB983" t="s">
        <v>6951</v>
      </c>
      <c r="AC983" t="s">
        <v>6952</v>
      </c>
      <c r="AD983" t="s">
        <v>6953</v>
      </c>
    </row>
    <row r="984" spans="1:30">
      <c r="A984">
        <v>11007120</v>
      </c>
      <c r="B984" t="s">
        <v>4724</v>
      </c>
      <c r="C984" t="s">
        <v>984</v>
      </c>
      <c r="D984" t="s">
        <v>5989</v>
      </c>
      <c r="E984" t="s">
        <v>5990</v>
      </c>
      <c r="J984" t="s">
        <v>2503</v>
      </c>
      <c r="M984" t="e">
        <v>#N/A</v>
      </c>
      <c r="N984" t="e">
        <v>#N/A</v>
      </c>
      <c r="O984" t="e">
        <v>#N/A</v>
      </c>
      <c r="P984" t="e">
        <v>#N/A</v>
      </c>
      <c r="R984" t="e">
        <v>#N/A</v>
      </c>
      <c r="T984" t="s">
        <v>5983</v>
      </c>
      <c r="U984" t="s">
        <v>5983</v>
      </c>
      <c r="V984" t="s">
        <v>5983</v>
      </c>
      <c r="Y984" t="s">
        <v>6948</v>
      </c>
      <c r="Z984" t="s">
        <v>6949</v>
      </c>
      <c r="AA984" t="s">
        <v>6950</v>
      </c>
      <c r="AB984" t="s">
        <v>6951</v>
      </c>
      <c r="AC984" t="s">
        <v>6952</v>
      </c>
      <c r="AD984" t="s">
        <v>6953</v>
      </c>
    </row>
    <row r="985" spans="1:30">
      <c r="A985" t="s">
        <v>4604</v>
      </c>
      <c r="B985" t="s">
        <v>4725</v>
      </c>
      <c r="C985" t="s">
        <v>1132</v>
      </c>
      <c r="D985">
        <v>0</v>
      </c>
      <c r="E985">
        <v>0</v>
      </c>
      <c r="J985">
        <v>0</v>
      </c>
      <c r="M985" t="e">
        <v>#N/A</v>
      </c>
      <c r="N985" t="e">
        <v>#N/A</v>
      </c>
      <c r="O985" t="e">
        <v>#N/A</v>
      </c>
      <c r="P985" t="e">
        <v>#N/A</v>
      </c>
      <c r="R985" t="e">
        <v>#N/A</v>
      </c>
      <c r="T985">
        <v>0</v>
      </c>
      <c r="U985">
        <v>0</v>
      </c>
      <c r="V985" t="s">
        <v>5983</v>
      </c>
      <c r="Y985" t="s">
        <v>6948</v>
      </c>
      <c r="Z985" t="s">
        <v>6949</v>
      </c>
      <c r="AA985" t="s">
        <v>6950</v>
      </c>
      <c r="AB985" t="s">
        <v>6951</v>
      </c>
      <c r="AC985" t="s">
        <v>6952</v>
      </c>
      <c r="AD985" t="s">
        <v>6953</v>
      </c>
    </row>
    <row r="986" spans="1:30">
      <c r="A986">
        <v>11007117</v>
      </c>
      <c r="B986" t="s">
        <v>4726</v>
      </c>
      <c r="C986" t="s">
        <v>1132</v>
      </c>
      <c r="D986" t="s">
        <v>5989</v>
      </c>
      <c r="E986" t="s">
        <v>5990</v>
      </c>
      <c r="J986" t="s">
        <v>2504</v>
      </c>
      <c r="M986" t="e">
        <v>#N/A</v>
      </c>
      <c r="N986" t="e">
        <v>#N/A</v>
      </c>
      <c r="O986" t="e">
        <v>#N/A</v>
      </c>
      <c r="P986" t="e">
        <v>#N/A</v>
      </c>
      <c r="R986" t="e">
        <v>#N/A</v>
      </c>
      <c r="T986" t="s">
        <v>5983</v>
      </c>
      <c r="U986" t="s">
        <v>5983</v>
      </c>
      <c r="V986" t="s">
        <v>5983</v>
      </c>
      <c r="Y986" t="s">
        <v>6948</v>
      </c>
      <c r="Z986" t="s">
        <v>6949</v>
      </c>
      <c r="AA986" t="s">
        <v>6950</v>
      </c>
      <c r="AB986" t="s">
        <v>6951</v>
      </c>
      <c r="AC986" t="s">
        <v>6952</v>
      </c>
      <c r="AD986" t="s">
        <v>6953</v>
      </c>
    </row>
    <row r="987" spans="1:30">
      <c r="A987" t="s">
        <v>4604</v>
      </c>
      <c r="B987" t="s">
        <v>4727</v>
      </c>
      <c r="C987" t="s">
        <v>1133</v>
      </c>
      <c r="D987">
        <v>0</v>
      </c>
      <c r="E987">
        <v>0</v>
      </c>
      <c r="J987">
        <v>0</v>
      </c>
      <c r="M987" t="e">
        <v>#N/A</v>
      </c>
      <c r="N987" t="e">
        <v>#N/A</v>
      </c>
      <c r="O987" t="e">
        <v>#N/A</v>
      </c>
      <c r="P987" t="e">
        <v>#N/A</v>
      </c>
      <c r="R987" t="e">
        <v>#N/A</v>
      </c>
      <c r="T987">
        <v>0</v>
      </c>
      <c r="U987">
        <v>0</v>
      </c>
      <c r="V987" t="s">
        <v>5983</v>
      </c>
      <c r="Y987" t="s">
        <v>6948</v>
      </c>
      <c r="Z987" t="s">
        <v>6949</v>
      </c>
      <c r="AA987" t="s">
        <v>6950</v>
      </c>
      <c r="AB987" t="s">
        <v>6951</v>
      </c>
      <c r="AC987" t="s">
        <v>6952</v>
      </c>
      <c r="AD987" t="s">
        <v>6953</v>
      </c>
    </row>
    <row r="988" spans="1:30">
      <c r="A988">
        <v>11007114</v>
      </c>
      <c r="B988" t="s">
        <v>4728</v>
      </c>
      <c r="C988" t="s">
        <v>1133</v>
      </c>
      <c r="D988" t="s">
        <v>5989</v>
      </c>
      <c r="E988" t="s">
        <v>5990</v>
      </c>
      <c r="J988" t="s">
        <v>2505</v>
      </c>
      <c r="M988" t="e">
        <v>#N/A</v>
      </c>
      <c r="N988" t="e">
        <v>#N/A</v>
      </c>
      <c r="O988" t="e">
        <v>#N/A</v>
      </c>
      <c r="P988" t="e">
        <v>#N/A</v>
      </c>
      <c r="R988" t="e">
        <v>#N/A</v>
      </c>
      <c r="T988" t="s">
        <v>5983</v>
      </c>
      <c r="U988" t="s">
        <v>5983</v>
      </c>
      <c r="V988" t="s">
        <v>5983</v>
      </c>
      <c r="Y988" t="s">
        <v>6948</v>
      </c>
      <c r="Z988" t="s">
        <v>6949</v>
      </c>
      <c r="AA988" t="s">
        <v>6950</v>
      </c>
      <c r="AB988" t="s">
        <v>6951</v>
      </c>
      <c r="AC988" t="s">
        <v>6952</v>
      </c>
      <c r="AD988" t="s">
        <v>6953</v>
      </c>
    </row>
    <row r="989" spans="1:30">
      <c r="A989" t="s">
        <v>4604</v>
      </c>
      <c r="B989" t="s">
        <v>4729</v>
      </c>
      <c r="C989" t="s">
        <v>5680</v>
      </c>
      <c r="D989">
        <v>0</v>
      </c>
      <c r="E989">
        <v>0</v>
      </c>
      <c r="J989">
        <v>0</v>
      </c>
      <c r="M989" t="e">
        <v>#N/A</v>
      </c>
      <c r="N989" t="e">
        <v>#N/A</v>
      </c>
      <c r="O989" t="e">
        <v>#N/A</v>
      </c>
      <c r="P989" t="e">
        <v>#N/A</v>
      </c>
      <c r="R989" t="e">
        <v>#N/A</v>
      </c>
      <c r="T989">
        <v>0</v>
      </c>
      <c r="U989">
        <v>0</v>
      </c>
      <c r="V989" t="s">
        <v>5983</v>
      </c>
      <c r="Y989" t="s">
        <v>6948</v>
      </c>
      <c r="Z989" t="s">
        <v>6949</v>
      </c>
      <c r="AA989" t="s">
        <v>6950</v>
      </c>
      <c r="AB989" t="s">
        <v>6951</v>
      </c>
      <c r="AC989" t="s">
        <v>6952</v>
      </c>
      <c r="AD989" t="s">
        <v>6953</v>
      </c>
    </row>
    <row r="990" spans="1:30">
      <c r="A990" t="s">
        <v>4604</v>
      </c>
      <c r="B990" t="s">
        <v>4730</v>
      </c>
      <c r="C990" t="s">
        <v>5681</v>
      </c>
      <c r="D990" t="s">
        <v>5991</v>
      </c>
      <c r="E990" t="s">
        <v>5992</v>
      </c>
      <c r="J990" t="s">
        <v>6595</v>
      </c>
      <c r="M990" t="e">
        <v>#N/A</v>
      </c>
      <c r="N990" t="e">
        <v>#N/A</v>
      </c>
      <c r="O990" t="e">
        <v>#N/A</v>
      </c>
      <c r="P990" t="e">
        <v>#N/A</v>
      </c>
      <c r="R990" t="e">
        <v>#N/A</v>
      </c>
      <c r="T990" t="s">
        <v>5985</v>
      </c>
      <c r="U990" t="s">
        <v>5985</v>
      </c>
      <c r="V990" t="s">
        <v>5983</v>
      </c>
      <c r="Y990" t="s">
        <v>6948</v>
      </c>
      <c r="Z990" t="s">
        <v>6949</v>
      </c>
      <c r="AA990" t="s">
        <v>6950</v>
      </c>
      <c r="AB990" t="s">
        <v>6951</v>
      </c>
      <c r="AC990" t="s">
        <v>6952</v>
      </c>
      <c r="AD990" t="s">
        <v>6953</v>
      </c>
    </row>
    <row r="991" spans="1:30">
      <c r="A991" t="s">
        <v>4604</v>
      </c>
      <c r="B991" t="s">
        <v>4731</v>
      </c>
      <c r="C991" t="s">
        <v>5682</v>
      </c>
      <c r="D991" t="s">
        <v>5991</v>
      </c>
      <c r="E991" t="s">
        <v>5992</v>
      </c>
      <c r="J991" t="s">
        <v>6596</v>
      </c>
      <c r="M991" t="e">
        <v>#N/A</v>
      </c>
      <c r="N991" t="e">
        <v>#N/A</v>
      </c>
      <c r="O991" t="e">
        <v>#N/A</v>
      </c>
      <c r="P991" t="e">
        <v>#N/A</v>
      </c>
      <c r="R991" t="e">
        <v>#N/A</v>
      </c>
      <c r="T991" t="s">
        <v>5985</v>
      </c>
      <c r="U991" t="s">
        <v>5985</v>
      </c>
      <c r="V991" t="s">
        <v>5983</v>
      </c>
      <c r="Y991" t="s">
        <v>6948</v>
      </c>
      <c r="Z991" t="s">
        <v>6949</v>
      </c>
      <c r="AA991" t="s">
        <v>6950</v>
      </c>
      <c r="AB991" t="s">
        <v>6951</v>
      </c>
      <c r="AC991" t="s">
        <v>6952</v>
      </c>
      <c r="AD991" t="s">
        <v>6953</v>
      </c>
    </row>
    <row r="992" spans="1:30">
      <c r="A992" t="s">
        <v>4604</v>
      </c>
      <c r="B992" t="s">
        <v>4732</v>
      </c>
      <c r="C992" t="s">
        <v>5683</v>
      </c>
      <c r="D992">
        <v>0</v>
      </c>
      <c r="E992">
        <v>0</v>
      </c>
      <c r="J992">
        <v>0</v>
      </c>
      <c r="M992" t="e">
        <v>#N/A</v>
      </c>
      <c r="N992" t="e">
        <v>#N/A</v>
      </c>
      <c r="O992" t="e">
        <v>#N/A</v>
      </c>
      <c r="P992" t="e">
        <v>#N/A</v>
      </c>
      <c r="R992" t="e">
        <v>#N/A</v>
      </c>
      <c r="T992">
        <v>0</v>
      </c>
      <c r="U992">
        <v>0</v>
      </c>
      <c r="V992" t="s">
        <v>5983</v>
      </c>
      <c r="Y992" t="s">
        <v>6948</v>
      </c>
      <c r="Z992" t="s">
        <v>6949</v>
      </c>
      <c r="AA992" t="s">
        <v>6950</v>
      </c>
      <c r="AB992" t="s">
        <v>6951</v>
      </c>
      <c r="AC992" t="s">
        <v>6952</v>
      </c>
      <c r="AD992" t="s">
        <v>6953</v>
      </c>
    </row>
    <row r="993" spans="1:30">
      <c r="A993" t="s">
        <v>4604</v>
      </c>
      <c r="B993" t="s">
        <v>4733</v>
      </c>
      <c r="C993" t="s">
        <v>5683</v>
      </c>
      <c r="D993" t="s">
        <v>5993</v>
      </c>
      <c r="E993" t="s">
        <v>5992</v>
      </c>
      <c r="J993" t="s">
        <v>6597</v>
      </c>
      <c r="M993" t="e">
        <v>#N/A</v>
      </c>
      <c r="N993" t="e">
        <v>#N/A</v>
      </c>
      <c r="O993" t="e">
        <v>#N/A</v>
      </c>
      <c r="P993" t="e">
        <v>#N/A</v>
      </c>
      <c r="R993" t="e">
        <v>#N/A</v>
      </c>
      <c r="T993" t="s">
        <v>5985</v>
      </c>
      <c r="U993" t="s">
        <v>5985</v>
      </c>
      <c r="V993" t="s">
        <v>5983</v>
      </c>
      <c r="Y993" t="s">
        <v>6948</v>
      </c>
      <c r="Z993" t="s">
        <v>6949</v>
      </c>
      <c r="AA993" t="s">
        <v>6950</v>
      </c>
      <c r="AB993" t="s">
        <v>6951</v>
      </c>
      <c r="AC993" t="s">
        <v>6952</v>
      </c>
      <c r="AD993" t="s">
        <v>6953</v>
      </c>
    </row>
    <row r="994" spans="1:30">
      <c r="A994" t="s">
        <v>4604</v>
      </c>
      <c r="B994" t="s">
        <v>4734</v>
      </c>
      <c r="C994" t="s">
        <v>5684</v>
      </c>
      <c r="D994">
        <v>0</v>
      </c>
      <c r="E994">
        <v>0</v>
      </c>
      <c r="J994">
        <v>0</v>
      </c>
      <c r="M994" t="e">
        <v>#N/A</v>
      </c>
      <c r="N994" t="e">
        <v>#N/A</v>
      </c>
      <c r="O994" t="e">
        <v>#N/A</v>
      </c>
      <c r="P994" t="e">
        <v>#N/A</v>
      </c>
      <c r="R994" t="e">
        <v>#N/A</v>
      </c>
      <c r="T994">
        <v>0</v>
      </c>
      <c r="U994">
        <v>0</v>
      </c>
      <c r="V994" t="s">
        <v>5983</v>
      </c>
      <c r="Y994" t="s">
        <v>6948</v>
      </c>
      <c r="Z994" t="s">
        <v>6949</v>
      </c>
      <c r="AA994" t="s">
        <v>6950</v>
      </c>
      <c r="AB994" t="s">
        <v>6951</v>
      </c>
      <c r="AC994" t="s">
        <v>6952</v>
      </c>
      <c r="AD994" t="s">
        <v>6953</v>
      </c>
    </row>
    <row r="995" spans="1:30">
      <c r="A995" t="s">
        <v>4604</v>
      </c>
      <c r="B995" t="s">
        <v>4735</v>
      </c>
      <c r="C995" t="s">
        <v>5684</v>
      </c>
      <c r="D995" t="s">
        <v>5991</v>
      </c>
      <c r="E995" t="s">
        <v>5992</v>
      </c>
      <c r="J995" t="s">
        <v>6598</v>
      </c>
      <c r="M995" t="e">
        <v>#N/A</v>
      </c>
      <c r="N995" t="e">
        <v>#N/A</v>
      </c>
      <c r="O995" t="e">
        <v>#N/A</v>
      </c>
      <c r="P995" t="e">
        <v>#N/A</v>
      </c>
      <c r="R995" t="e">
        <v>#N/A</v>
      </c>
      <c r="T995" t="s">
        <v>5985</v>
      </c>
      <c r="U995" t="s">
        <v>5985</v>
      </c>
      <c r="V995" t="s">
        <v>5983</v>
      </c>
      <c r="Y995" t="s">
        <v>6948</v>
      </c>
      <c r="Z995" t="s">
        <v>6949</v>
      </c>
      <c r="AA995" t="s">
        <v>6950</v>
      </c>
      <c r="AB995" t="s">
        <v>6951</v>
      </c>
      <c r="AC995" t="s">
        <v>6952</v>
      </c>
      <c r="AD995" t="s">
        <v>6953</v>
      </c>
    </row>
    <row r="996" spans="1:30">
      <c r="A996" t="s">
        <v>4604</v>
      </c>
      <c r="B996" t="s">
        <v>4736</v>
      </c>
      <c r="C996" t="s">
        <v>5685</v>
      </c>
      <c r="D996" t="s">
        <v>5994</v>
      </c>
      <c r="E996" t="s">
        <v>5995</v>
      </c>
      <c r="J996" t="s">
        <v>6599</v>
      </c>
      <c r="M996" t="e">
        <v>#N/A</v>
      </c>
      <c r="N996" t="e">
        <v>#N/A</v>
      </c>
      <c r="O996" t="e">
        <v>#N/A</v>
      </c>
      <c r="P996" t="e">
        <v>#N/A</v>
      </c>
      <c r="R996" t="e">
        <v>#N/A</v>
      </c>
      <c r="T996" t="s">
        <v>5983</v>
      </c>
      <c r="U996" t="s">
        <v>5983</v>
      </c>
      <c r="V996" t="s">
        <v>5983</v>
      </c>
      <c r="Y996" t="s">
        <v>6948</v>
      </c>
      <c r="Z996" t="s">
        <v>6949</v>
      </c>
      <c r="AA996" t="s">
        <v>6950</v>
      </c>
      <c r="AB996" t="s">
        <v>6951</v>
      </c>
      <c r="AC996" t="s">
        <v>6952</v>
      </c>
      <c r="AD996" t="s">
        <v>6953</v>
      </c>
    </row>
    <row r="997" spans="1:30">
      <c r="A997" t="s">
        <v>4604</v>
      </c>
      <c r="B997" t="s">
        <v>4737</v>
      </c>
      <c r="C997" t="s">
        <v>5686</v>
      </c>
      <c r="D997" t="s">
        <v>5994</v>
      </c>
      <c r="E997" t="s">
        <v>5995</v>
      </c>
      <c r="J997" t="s">
        <v>6600</v>
      </c>
      <c r="M997" t="e">
        <v>#N/A</v>
      </c>
      <c r="N997" t="e">
        <v>#N/A</v>
      </c>
      <c r="O997" t="e">
        <v>#N/A</v>
      </c>
      <c r="P997" t="e">
        <v>#N/A</v>
      </c>
      <c r="R997" t="e">
        <v>#N/A</v>
      </c>
      <c r="T997" t="s">
        <v>5985</v>
      </c>
      <c r="U997" t="s">
        <v>5985</v>
      </c>
      <c r="V997" t="s">
        <v>5983</v>
      </c>
      <c r="Y997" t="s">
        <v>6948</v>
      </c>
      <c r="Z997" t="s">
        <v>6949</v>
      </c>
      <c r="AA997" t="s">
        <v>6950</v>
      </c>
      <c r="AB997" t="s">
        <v>6951</v>
      </c>
      <c r="AC997" t="s">
        <v>6952</v>
      </c>
      <c r="AD997" t="s">
        <v>6953</v>
      </c>
    </row>
    <row r="998" spans="1:30">
      <c r="A998" t="s">
        <v>4604</v>
      </c>
      <c r="B998" t="s">
        <v>4738</v>
      </c>
      <c r="C998" t="s">
        <v>5687</v>
      </c>
      <c r="D998" t="s">
        <v>5994</v>
      </c>
      <c r="E998" t="s">
        <v>5995</v>
      </c>
      <c r="J998" t="s">
        <v>6601</v>
      </c>
      <c r="M998" t="e">
        <v>#N/A</v>
      </c>
      <c r="N998" t="e">
        <v>#N/A</v>
      </c>
      <c r="O998" t="e">
        <v>#N/A</v>
      </c>
      <c r="P998" t="e">
        <v>#N/A</v>
      </c>
      <c r="R998" t="e">
        <v>#N/A</v>
      </c>
      <c r="T998" t="s">
        <v>5985</v>
      </c>
      <c r="U998" t="s">
        <v>5985</v>
      </c>
      <c r="V998" t="s">
        <v>5983</v>
      </c>
      <c r="Y998" t="s">
        <v>6948</v>
      </c>
      <c r="Z998" t="s">
        <v>6949</v>
      </c>
      <c r="AA998" t="s">
        <v>6950</v>
      </c>
      <c r="AB998" t="s">
        <v>6951</v>
      </c>
      <c r="AC998" t="s">
        <v>6952</v>
      </c>
      <c r="AD998" t="s">
        <v>6953</v>
      </c>
    </row>
    <row r="999" spans="1:30">
      <c r="A999" t="s">
        <v>4604</v>
      </c>
      <c r="B999" t="s">
        <v>4739</v>
      </c>
      <c r="C999" t="s">
        <v>5688</v>
      </c>
      <c r="D999" t="s">
        <v>5996</v>
      </c>
      <c r="E999" t="s">
        <v>5997</v>
      </c>
      <c r="J999" t="s">
        <v>6602</v>
      </c>
      <c r="M999" t="e">
        <v>#N/A</v>
      </c>
      <c r="N999" t="e">
        <v>#N/A</v>
      </c>
      <c r="O999" t="e">
        <v>#N/A</v>
      </c>
      <c r="P999" t="e">
        <v>#N/A</v>
      </c>
      <c r="R999" t="e">
        <v>#N/A</v>
      </c>
      <c r="T999" t="s">
        <v>5983</v>
      </c>
      <c r="U999" t="s">
        <v>5983</v>
      </c>
      <c r="V999" t="s">
        <v>5983</v>
      </c>
      <c r="Y999" t="s">
        <v>6948</v>
      </c>
      <c r="Z999" t="s">
        <v>6949</v>
      </c>
      <c r="AA999" t="s">
        <v>6950</v>
      </c>
      <c r="AB999" t="s">
        <v>6951</v>
      </c>
      <c r="AC999" t="s">
        <v>6952</v>
      </c>
      <c r="AD999" t="s">
        <v>6953</v>
      </c>
    </row>
    <row r="1000" spans="1:30">
      <c r="A1000" t="s">
        <v>4604</v>
      </c>
      <c r="B1000" t="s">
        <v>4740</v>
      </c>
      <c r="C1000" t="s">
        <v>5689</v>
      </c>
      <c r="D1000" t="s">
        <v>5996</v>
      </c>
      <c r="E1000" t="s">
        <v>5997</v>
      </c>
      <c r="J1000" t="s">
        <v>6603</v>
      </c>
      <c r="M1000" t="e">
        <v>#N/A</v>
      </c>
      <c r="N1000" t="e">
        <v>#N/A</v>
      </c>
      <c r="O1000" t="e">
        <v>#N/A</v>
      </c>
      <c r="P1000" t="e">
        <v>#N/A</v>
      </c>
      <c r="R1000" t="e">
        <v>#N/A</v>
      </c>
      <c r="T1000" t="s">
        <v>5983</v>
      </c>
      <c r="U1000" t="s">
        <v>5983</v>
      </c>
      <c r="V1000" t="s">
        <v>5983</v>
      </c>
      <c r="Y1000" t="s">
        <v>6948</v>
      </c>
      <c r="Z1000" t="s">
        <v>6949</v>
      </c>
      <c r="AA1000" t="s">
        <v>6950</v>
      </c>
      <c r="AB1000" t="s">
        <v>6951</v>
      </c>
      <c r="AC1000" t="s">
        <v>6952</v>
      </c>
      <c r="AD1000" t="s">
        <v>6953</v>
      </c>
    </row>
    <row r="1001" spans="1:30">
      <c r="A1001" t="s">
        <v>4604</v>
      </c>
      <c r="B1001" t="s">
        <v>4741</v>
      </c>
      <c r="C1001" t="s">
        <v>5690</v>
      </c>
      <c r="D1001" t="s">
        <v>5996</v>
      </c>
      <c r="E1001" t="s">
        <v>5997</v>
      </c>
      <c r="J1001" t="s">
        <v>6604</v>
      </c>
      <c r="M1001" t="e">
        <v>#N/A</v>
      </c>
      <c r="N1001" t="e">
        <v>#N/A</v>
      </c>
      <c r="O1001" t="e">
        <v>#N/A</v>
      </c>
      <c r="P1001" t="e">
        <v>#N/A</v>
      </c>
      <c r="R1001" t="e">
        <v>#N/A</v>
      </c>
      <c r="T1001" t="s">
        <v>5983</v>
      </c>
      <c r="U1001" t="s">
        <v>5983</v>
      </c>
      <c r="V1001" t="s">
        <v>5983</v>
      </c>
      <c r="Y1001" t="s">
        <v>6948</v>
      </c>
      <c r="Z1001" t="s">
        <v>6949</v>
      </c>
      <c r="AA1001" t="s">
        <v>6950</v>
      </c>
      <c r="AB1001" t="s">
        <v>6951</v>
      </c>
      <c r="AC1001" t="s">
        <v>6952</v>
      </c>
      <c r="AD1001" t="s">
        <v>6953</v>
      </c>
    </row>
    <row r="1002" spans="1:30">
      <c r="A1002" t="s">
        <v>4604</v>
      </c>
      <c r="B1002" t="s">
        <v>4742</v>
      </c>
      <c r="C1002" t="s">
        <v>5691</v>
      </c>
      <c r="D1002" t="s">
        <v>5996</v>
      </c>
      <c r="E1002" t="s">
        <v>5997</v>
      </c>
      <c r="J1002" t="s">
        <v>6605</v>
      </c>
      <c r="M1002" t="e">
        <v>#N/A</v>
      </c>
      <c r="N1002" t="e">
        <v>#N/A</v>
      </c>
      <c r="O1002" t="e">
        <v>#N/A</v>
      </c>
      <c r="P1002" t="e">
        <v>#N/A</v>
      </c>
      <c r="R1002" t="e">
        <v>#N/A</v>
      </c>
      <c r="T1002" t="s">
        <v>5983</v>
      </c>
      <c r="U1002" t="s">
        <v>5983</v>
      </c>
      <c r="V1002" t="s">
        <v>5983</v>
      </c>
      <c r="Y1002" t="s">
        <v>6948</v>
      </c>
      <c r="Z1002" t="s">
        <v>6949</v>
      </c>
      <c r="AA1002" t="s">
        <v>6950</v>
      </c>
      <c r="AB1002" t="s">
        <v>6951</v>
      </c>
      <c r="AC1002" t="s">
        <v>6952</v>
      </c>
      <c r="AD1002" t="s">
        <v>6953</v>
      </c>
    </row>
    <row r="1003" spans="1:30">
      <c r="A1003" t="s">
        <v>4604</v>
      </c>
      <c r="B1003" t="s">
        <v>4743</v>
      </c>
      <c r="C1003" t="s">
        <v>5674</v>
      </c>
      <c r="D1003" t="s">
        <v>5998</v>
      </c>
      <c r="E1003" t="s">
        <v>5999</v>
      </c>
      <c r="J1003" t="s">
        <v>6606</v>
      </c>
      <c r="M1003" t="e">
        <v>#N/A</v>
      </c>
      <c r="N1003" t="e">
        <v>#N/A</v>
      </c>
      <c r="O1003" t="e">
        <v>#N/A</v>
      </c>
      <c r="P1003" t="e">
        <v>#N/A</v>
      </c>
      <c r="R1003" t="e">
        <v>#N/A</v>
      </c>
      <c r="T1003" t="s">
        <v>5985</v>
      </c>
      <c r="U1003" t="s">
        <v>5985</v>
      </c>
      <c r="V1003" t="s">
        <v>5983</v>
      </c>
      <c r="Y1003" t="s">
        <v>6948</v>
      </c>
      <c r="Z1003" t="s">
        <v>6949</v>
      </c>
      <c r="AA1003" t="s">
        <v>6950</v>
      </c>
      <c r="AB1003" t="s">
        <v>6951</v>
      </c>
      <c r="AC1003" t="s">
        <v>6952</v>
      </c>
      <c r="AD1003" t="s">
        <v>6953</v>
      </c>
    </row>
    <row r="1004" spans="1:30">
      <c r="A1004" t="s">
        <v>4604</v>
      </c>
      <c r="B1004" t="s">
        <v>4744</v>
      </c>
      <c r="C1004" t="s">
        <v>5676</v>
      </c>
      <c r="D1004" t="s">
        <v>5998</v>
      </c>
      <c r="E1004" t="s">
        <v>5999</v>
      </c>
      <c r="J1004" t="s">
        <v>6607</v>
      </c>
      <c r="M1004" t="e">
        <v>#N/A</v>
      </c>
      <c r="N1004" t="e">
        <v>#N/A</v>
      </c>
      <c r="O1004" t="e">
        <v>#N/A</v>
      </c>
      <c r="P1004" t="e">
        <v>#N/A</v>
      </c>
      <c r="R1004" t="e">
        <v>#N/A</v>
      </c>
      <c r="T1004" t="s">
        <v>5985</v>
      </c>
      <c r="U1004" t="s">
        <v>5985</v>
      </c>
      <c r="V1004" t="s">
        <v>5983</v>
      </c>
      <c r="Y1004" t="s">
        <v>6948</v>
      </c>
      <c r="Z1004" t="s">
        <v>6949</v>
      </c>
      <c r="AA1004" t="s">
        <v>6950</v>
      </c>
      <c r="AB1004" t="s">
        <v>6951</v>
      </c>
      <c r="AC1004" t="s">
        <v>6952</v>
      </c>
      <c r="AD1004" t="s">
        <v>6953</v>
      </c>
    </row>
    <row r="1005" spans="1:30">
      <c r="A1005">
        <v>11007068</v>
      </c>
      <c r="B1005" t="s">
        <v>4745</v>
      </c>
      <c r="C1005" t="s">
        <v>5692</v>
      </c>
      <c r="D1005" t="s">
        <v>6000</v>
      </c>
      <c r="E1005" t="s">
        <v>6001</v>
      </c>
      <c r="J1005" t="s">
        <v>6608</v>
      </c>
      <c r="M1005" t="e">
        <v>#N/A</v>
      </c>
      <c r="N1005" t="e">
        <v>#N/A</v>
      </c>
      <c r="O1005" t="e">
        <v>#N/A</v>
      </c>
      <c r="P1005" t="e">
        <v>#N/A</v>
      </c>
      <c r="R1005" t="e">
        <v>#N/A</v>
      </c>
      <c r="T1005" t="s">
        <v>5985</v>
      </c>
      <c r="U1005" t="s">
        <v>5985</v>
      </c>
      <c r="V1005" t="s">
        <v>5983</v>
      </c>
      <c r="Y1005" t="s">
        <v>6948</v>
      </c>
      <c r="Z1005" t="s">
        <v>6949</v>
      </c>
      <c r="AA1005" t="s">
        <v>6950</v>
      </c>
      <c r="AB1005" t="s">
        <v>6951</v>
      </c>
      <c r="AC1005" t="s">
        <v>6952</v>
      </c>
      <c r="AD1005" t="s">
        <v>6953</v>
      </c>
    </row>
    <row r="1006" spans="1:30">
      <c r="A1006" t="s">
        <v>4604</v>
      </c>
      <c r="B1006" t="s">
        <v>4746</v>
      </c>
      <c r="C1006" t="s">
        <v>5693</v>
      </c>
      <c r="D1006">
        <v>0</v>
      </c>
      <c r="E1006">
        <v>0</v>
      </c>
      <c r="J1006">
        <v>0</v>
      </c>
      <c r="M1006" t="e">
        <v>#N/A</v>
      </c>
      <c r="N1006" t="e">
        <v>#N/A</v>
      </c>
      <c r="O1006" t="e">
        <v>#N/A</v>
      </c>
      <c r="P1006" t="e">
        <v>#N/A</v>
      </c>
      <c r="R1006" t="e">
        <v>#N/A</v>
      </c>
      <c r="T1006">
        <v>0</v>
      </c>
      <c r="U1006">
        <v>0</v>
      </c>
      <c r="V1006" t="s">
        <v>5983</v>
      </c>
      <c r="Y1006" t="s">
        <v>6948</v>
      </c>
      <c r="Z1006" t="s">
        <v>6949</v>
      </c>
      <c r="AA1006" t="s">
        <v>6950</v>
      </c>
      <c r="AB1006" t="s">
        <v>6951</v>
      </c>
      <c r="AC1006" t="s">
        <v>6952</v>
      </c>
      <c r="AD1006" t="s">
        <v>6953</v>
      </c>
    </row>
    <row r="1007" spans="1:30">
      <c r="A1007" t="s">
        <v>4604</v>
      </c>
      <c r="B1007" t="s">
        <v>4747</v>
      </c>
      <c r="C1007" t="s">
        <v>5693</v>
      </c>
      <c r="D1007" t="s">
        <v>6000</v>
      </c>
      <c r="E1007" t="s">
        <v>6001</v>
      </c>
      <c r="J1007" t="s">
        <v>6609</v>
      </c>
      <c r="M1007" t="e">
        <v>#N/A</v>
      </c>
      <c r="N1007" t="e">
        <v>#N/A</v>
      </c>
      <c r="O1007" t="e">
        <v>#N/A</v>
      </c>
      <c r="P1007" t="e">
        <v>#N/A</v>
      </c>
      <c r="R1007" t="e">
        <v>#N/A</v>
      </c>
      <c r="T1007" t="s">
        <v>5983</v>
      </c>
      <c r="U1007" t="s">
        <v>5983</v>
      </c>
      <c r="V1007" t="s">
        <v>5983</v>
      </c>
      <c r="Y1007" t="s">
        <v>6948</v>
      </c>
      <c r="Z1007" t="s">
        <v>6949</v>
      </c>
      <c r="AA1007" t="s">
        <v>6950</v>
      </c>
      <c r="AB1007" t="s">
        <v>6951</v>
      </c>
      <c r="AC1007" t="s">
        <v>6952</v>
      </c>
      <c r="AD1007" t="s">
        <v>6953</v>
      </c>
    </row>
    <row r="1008" spans="1:30">
      <c r="A1008" t="s">
        <v>4604</v>
      </c>
      <c r="B1008" t="s">
        <v>4748</v>
      </c>
      <c r="C1008" t="s">
        <v>5694</v>
      </c>
      <c r="D1008">
        <v>0</v>
      </c>
      <c r="E1008">
        <v>0</v>
      </c>
      <c r="J1008">
        <v>0</v>
      </c>
      <c r="M1008" t="e">
        <v>#N/A</v>
      </c>
      <c r="N1008" t="e">
        <v>#N/A</v>
      </c>
      <c r="O1008" t="e">
        <v>#N/A</v>
      </c>
      <c r="P1008" t="e">
        <v>#N/A</v>
      </c>
      <c r="R1008" t="e">
        <v>#N/A</v>
      </c>
      <c r="T1008">
        <v>0</v>
      </c>
      <c r="U1008">
        <v>0</v>
      </c>
      <c r="V1008" t="s">
        <v>5983</v>
      </c>
      <c r="Y1008" t="s">
        <v>6948</v>
      </c>
      <c r="Z1008" t="s">
        <v>6949</v>
      </c>
      <c r="AA1008" t="s">
        <v>6950</v>
      </c>
      <c r="AB1008" t="s">
        <v>6951</v>
      </c>
      <c r="AC1008" t="s">
        <v>6952</v>
      </c>
      <c r="AD1008" t="s">
        <v>6953</v>
      </c>
    </row>
    <row r="1009" spans="1:30">
      <c r="A1009" t="s">
        <v>4604</v>
      </c>
      <c r="B1009" t="s">
        <v>4749</v>
      </c>
      <c r="C1009" t="s">
        <v>5694</v>
      </c>
      <c r="D1009" t="s">
        <v>6000</v>
      </c>
      <c r="E1009" t="s">
        <v>6001</v>
      </c>
      <c r="J1009" t="s">
        <v>6610</v>
      </c>
      <c r="M1009" t="e">
        <v>#N/A</v>
      </c>
      <c r="N1009" t="e">
        <v>#N/A</v>
      </c>
      <c r="O1009" t="e">
        <v>#N/A</v>
      </c>
      <c r="P1009" t="e">
        <v>#N/A</v>
      </c>
      <c r="R1009" t="e">
        <v>#N/A</v>
      </c>
      <c r="T1009" t="s">
        <v>5985</v>
      </c>
      <c r="U1009" t="s">
        <v>5985</v>
      </c>
      <c r="V1009" t="s">
        <v>5983</v>
      </c>
      <c r="Y1009" t="s">
        <v>6948</v>
      </c>
      <c r="Z1009" t="s">
        <v>6949</v>
      </c>
      <c r="AA1009" t="s">
        <v>6950</v>
      </c>
      <c r="AB1009" t="s">
        <v>6951</v>
      </c>
      <c r="AC1009" t="s">
        <v>6952</v>
      </c>
      <c r="AD1009" t="s">
        <v>6953</v>
      </c>
    </row>
    <row r="1010" spans="1:30">
      <c r="A1010" t="s">
        <v>4604</v>
      </c>
      <c r="B1010" t="s">
        <v>4750</v>
      </c>
      <c r="C1010" t="s">
        <v>5695</v>
      </c>
      <c r="D1010" t="s">
        <v>6000</v>
      </c>
      <c r="E1010" t="s">
        <v>6001</v>
      </c>
      <c r="J1010" t="s">
        <v>6611</v>
      </c>
      <c r="M1010" t="e">
        <v>#N/A</v>
      </c>
      <c r="N1010" t="e">
        <v>#N/A</v>
      </c>
      <c r="O1010" t="e">
        <v>#N/A</v>
      </c>
      <c r="P1010" t="e">
        <v>#N/A</v>
      </c>
      <c r="R1010" t="e">
        <v>#N/A</v>
      </c>
      <c r="T1010" t="s">
        <v>5985</v>
      </c>
      <c r="U1010" t="s">
        <v>5985</v>
      </c>
      <c r="V1010" t="s">
        <v>5983</v>
      </c>
      <c r="Y1010" t="s">
        <v>6948</v>
      </c>
      <c r="Z1010" t="s">
        <v>6949</v>
      </c>
      <c r="AA1010" t="s">
        <v>6950</v>
      </c>
      <c r="AB1010" t="s">
        <v>6951</v>
      </c>
      <c r="AC1010" t="s">
        <v>6952</v>
      </c>
      <c r="AD1010" t="s">
        <v>6953</v>
      </c>
    </row>
    <row r="1011" spans="1:30">
      <c r="A1011" t="s">
        <v>4604</v>
      </c>
      <c r="B1011" t="s">
        <v>4751</v>
      </c>
      <c r="C1011" t="s">
        <v>5696</v>
      </c>
      <c r="D1011">
        <v>0</v>
      </c>
      <c r="E1011">
        <v>0</v>
      </c>
      <c r="J1011">
        <v>0</v>
      </c>
      <c r="M1011" t="e">
        <v>#N/A</v>
      </c>
      <c r="N1011" t="e">
        <v>#N/A</v>
      </c>
      <c r="O1011" t="e">
        <v>#N/A</v>
      </c>
      <c r="P1011" t="e">
        <v>#N/A</v>
      </c>
      <c r="R1011" t="e">
        <v>#N/A</v>
      </c>
      <c r="T1011">
        <v>0</v>
      </c>
      <c r="U1011">
        <v>0</v>
      </c>
      <c r="V1011" t="s">
        <v>5983</v>
      </c>
      <c r="Y1011" t="s">
        <v>6948</v>
      </c>
      <c r="Z1011" t="s">
        <v>6949</v>
      </c>
      <c r="AA1011" t="s">
        <v>6950</v>
      </c>
      <c r="AB1011" t="s">
        <v>6951</v>
      </c>
      <c r="AC1011" t="s">
        <v>6952</v>
      </c>
      <c r="AD1011" t="s">
        <v>6953</v>
      </c>
    </row>
    <row r="1012" spans="1:30">
      <c r="A1012" t="s">
        <v>4604</v>
      </c>
      <c r="B1012" t="s">
        <v>4752</v>
      </c>
      <c r="C1012" t="s">
        <v>5696</v>
      </c>
      <c r="D1012" t="s">
        <v>6000</v>
      </c>
      <c r="E1012" t="s">
        <v>6001</v>
      </c>
      <c r="J1012" t="s">
        <v>6612</v>
      </c>
      <c r="M1012" t="e">
        <v>#N/A</v>
      </c>
      <c r="N1012" t="e">
        <v>#N/A</v>
      </c>
      <c r="O1012" t="e">
        <v>#N/A</v>
      </c>
      <c r="P1012" t="e">
        <v>#N/A</v>
      </c>
      <c r="R1012" t="e">
        <v>#N/A</v>
      </c>
      <c r="T1012" t="s">
        <v>5985</v>
      </c>
      <c r="U1012" t="s">
        <v>5985</v>
      </c>
      <c r="V1012" t="s">
        <v>5983</v>
      </c>
      <c r="Y1012" t="s">
        <v>6948</v>
      </c>
      <c r="Z1012" t="s">
        <v>6949</v>
      </c>
      <c r="AA1012" t="s">
        <v>6950</v>
      </c>
      <c r="AB1012" t="s">
        <v>6951</v>
      </c>
      <c r="AC1012" t="s">
        <v>6952</v>
      </c>
      <c r="AD1012" t="s">
        <v>6953</v>
      </c>
    </row>
    <row r="1013" spans="1:30">
      <c r="A1013" t="s">
        <v>4604</v>
      </c>
      <c r="B1013" t="s">
        <v>4753</v>
      </c>
      <c r="C1013" t="s">
        <v>5657</v>
      </c>
      <c r="D1013" t="s">
        <v>6000</v>
      </c>
      <c r="E1013" t="s">
        <v>6001</v>
      </c>
      <c r="J1013" t="s">
        <v>6613</v>
      </c>
      <c r="M1013" t="e">
        <v>#N/A</v>
      </c>
      <c r="N1013" t="e">
        <v>#N/A</v>
      </c>
      <c r="O1013" t="e">
        <v>#N/A</v>
      </c>
      <c r="P1013" t="e">
        <v>#N/A</v>
      </c>
      <c r="R1013" t="e">
        <v>#N/A</v>
      </c>
      <c r="T1013" t="s">
        <v>5985</v>
      </c>
      <c r="U1013" t="s">
        <v>5985</v>
      </c>
      <c r="V1013" t="s">
        <v>5983</v>
      </c>
      <c r="Y1013" t="s">
        <v>6948</v>
      </c>
      <c r="Z1013" t="s">
        <v>6949</v>
      </c>
      <c r="AA1013" t="s">
        <v>6950</v>
      </c>
      <c r="AB1013" t="s">
        <v>6951</v>
      </c>
      <c r="AC1013" t="s">
        <v>6952</v>
      </c>
      <c r="AD1013" t="s">
        <v>6953</v>
      </c>
    </row>
    <row r="1014" spans="1:30">
      <c r="A1014">
        <v>11007061</v>
      </c>
      <c r="B1014" t="s">
        <v>4754</v>
      </c>
      <c r="C1014" t="s">
        <v>5697</v>
      </c>
      <c r="D1014" t="s">
        <v>6002</v>
      </c>
      <c r="E1014" t="s">
        <v>6003</v>
      </c>
      <c r="J1014" t="s">
        <v>6614</v>
      </c>
      <c r="M1014" t="e">
        <v>#N/A</v>
      </c>
      <c r="N1014" t="e">
        <v>#N/A</v>
      </c>
      <c r="O1014" t="e">
        <v>#N/A</v>
      </c>
      <c r="P1014" t="e">
        <v>#N/A</v>
      </c>
      <c r="R1014" t="e">
        <v>#N/A</v>
      </c>
      <c r="T1014" t="s">
        <v>5985</v>
      </c>
      <c r="U1014" t="s">
        <v>5985</v>
      </c>
      <c r="V1014" t="s">
        <v>5983</v>
      </c>
      <c r="Y1014" t="s">
        <v>6948</v>
      </c>
      <c r="Z1014" t="s">
        <v>6949</v>
      </c>
      <c r="AA1014" t="s">
        <v>6950</v>
      </c>
      <c r="AB1014" t="s">
        <v>6951</v>
      </c>
      <c r="AC1014" t="s">
        <v>6952</v>
      </c>
      <c r="AD1014" t="s">
        <v>6953</v>
      </c>
    </row>
    <row r="1015" spans="1:30">
      <c r="A1015" t="s">
        <v>4604</v>
      </c>
      <c r="B1015" t="s">
        <v>4755</v>
      </c>
      <c r="C1015" t="s">
        <v>5698</v>
      </c>
      <c r="D1015" t="s">
        <v>6002</v>
      </c>
      <c r="E1015" t="s">
        <v>6003</v>
      </c>
      <c r="J1015" t="s">
        <v>6615</v>
      </c>
      <c r="M1015" t="e">
        <v>#N/A</v>
      </c>
      <c r="N1015" t="e">
        <v>#N/A</v>
      </c>
      <c r="O1015" t="e">
        <v>#N/A</v>
      </c>
      <c r="P1015" t="e">
        <v>#N/A</v>
      </c>
      <c r="R1015" t="e">
        <v>#N/A</v>
      </c>
      <c r="T1015" t="s">
        <v>5985</v>
      </c>
      <c r="U1015" t="s">
        <v>5985</v>
      </c>
      <c r="V1015" t="s">
        <v>5983</v>
      </c>
      <c r="Y1015" t="s">
        <v>6948</v>
      </c>
      <c r="Z1015" t="s">
        <v>6949</v>
      </c>
      <c r="AA1015" t="s">
        <v>6950</v>
      </c>
      <c r="AB1015" t="s">
        <v>6951</v>
      </c>
      <c r="AC1015" t="s">
        <v>6952</v>
      </c>
      <c r="AD1015" t="s">
        <v>6953</v>
      </c>
    </row>
    <row r="1016" spans="1:30">
      <c r="A1016" t="s">
        <v>4604</v>
      </c>
      <c r="B1016" t="s">
        <v>4756</v>
      </c>
      <c r="C1016" t="s">
        <v>5699</v>
      </c>
      <c r="D1016" t="s">
        <v>6002</v>
      </c>
      <c r="E1016" t="s">
        <v>6003</v>
      </c>
      <c r="J1016" t="s">
        <v>6616</v>
      </c>
      <c r="M1016" t="e">
        <v>#N/A</v>
      </c>
      <c r="N1016" t="e">
        <v>#N/A</v>
      </c>
      <c r="O1016" t="e">
        <v>#N/A</v>
      </c>
      <c r="P1016" t="e">
        <v>#N/A</v>
      </c>
      <c r="R1016" t="e">
        <v>#N/A</v>
      </c>
      <c r="T1016" t="s">
        <v>5985</v>
      </c>
      <c r="U1016" t="s">
        <v>5985</v>
      </c>
      <c r="V1016" t="s">
        <v>5983</v>
      </c>
      <c r="Y1016" t="s">
        <v>6948</v>
      </c>
      <c r="Z1016" t="s">
        <v>6949</v>
      </c>
      <c r="AA1016" t="s">
        <v>6950</v>
      </c>
      <c r="AB1016" t="s">
        <v>6951</v>
      </c>
      <c r="AC1016" t="s">
        <v>6952</v>
      </c>
      <c r="AD1016" t="s">
        <v>6953</v>
      </c>
    </row>
    <row r="1017" spans="1:30">
      <c r="A1017" t="s">
        <v>4604</v>
      </c>
      <c r="B1017" t="s">
        <v>4757</v>
      </c>
      <c r="C1017" t="s">
        <v>5700</v>
      </c>
      <c r="D1017" t="s">
        <v>6002</v>
      </c>
      <c r="E1017" t="s">
        <v>6003</v>
      </c>
      <c r="J1017" t="s">
        <v>6617</v>
      </c>
      <c r="M1017" t="e">
        <v>#N/A</v>
      </c>
      <c r="N1017" t="e">
        <v>#N/A</v>
      </c>
      <c r="O1017" t="e">
        <v>#N/A</v>
      </c>
      <c r="P1017" t="e">
        <v>#N/A</v>
      </c>
      <c r="R1017" t="e">
        <v>#N/A</v>
      </c>
      <c r="T1017" t="s">
        <v>5985</v>
      </c>
      <c r="U1017" t="s">
        <v>5985</v>
      </c>
      <c r="V1017" t="s">
        <v>5983</v>
      </c>
      <c r="Y1017" t="s">
        <v>6948</v>
      </c>
      <c r="Z1017" t="s">
        <v>6949</v>
      </c>
      <c r="AA1017" t="s">
        <v>6950</v>
      </c>
      <c r="AB1017" t="s">
        <v>6951</v>
      </c>
      <c r="AC1017" t="s">
        <v>6952</v>
      </c>
      <c r="AD1017" t="s">
        <v>6953</v>
      </c>
    </row>
    <row r="1018" spans="1:30">
      <c r="A1018" t="s">
        <v>4604</v>
      </c>
      <c r="B1018" t="s">
        <v>4758</v>
      </c>
      <c r="C1018" t="s">
        <v>5701</v>
      </c>
      <c r="D1018" t="s">
        <v>6004</v>
      </c>
      <c r="E1018" t="s">
        <v>6005</v>
      </c>
      <c r="J1018" t="s">
        <v>6618</v>
      </c>
      <c r="M1018" t="e">
        <v>#N/A</v>
      </c>
      <c r="N1018" t="e">
        <v>#N/A</v>
      </c>
      <c r="O1018" t="e">
        <v>#N/A</v>
      </c>
      <c r="P1018" t="e">
        <v>#N/A</v>
      </c>
      <c r="R1018" t="e">
        <v>#N/A</v>
      </c>
      <c r="T1018" t="s">
        <v>5985</v>
      </c>
      <c r="U1018" t="s">
        <v>5985</v>
      </c>
      <c r="V1018" t="s">
        <v>5983</v>
      </c>
      <c r="Y1018" t="s">
        <v>6948</v>
      </c>
      <c r="Z1018" t="s">
        <v>6949</v>
      </c>
      <c r="AA1018" t="s">
        <v>6950</v>
      </c>
      <c r="AB1018" t="s">
        <v>6951</v>
      </c>
      <c r="AC1018" t="s">
        <v>6952</v>
      </c>
      <c r="AD1018" t="s">
        <v>6953</v>
      </c>
    </row>
    <row r="1019" spans="1:30">
      <c r="A1019" t="s">
        <v>4604</v>
      </c>
      <c r="B1019" t="s">
        <v>4759</v>
      </c>
      <c r="C1019" t="s">
        <v>5702</v>
      </c>
      <c r="D1019" t="s">
        <v>6004</v>
      </c>
      <c r="E1019" t="s">
        <v>6005</v>
      </c>
      <c r="J1019" t="s">
        <v>6619</v>
      </c>
      <c r="M1019" t="e">
        <v>#N/A</v>
      </c>
      <c r="N1019" t="e">
        <v>#N/A</v>
      </c>
      <c r="O1019" t="e">
        <v>#N/A</v>
      </c>
      <c r="P1019" t="e">
        <v>#N/A</v>
      </c>
      <c r="R1019" t="e">
        <v>#N/A</v>
      </c>
      <c r="T1019" t="s">
        <v>5985</v>
      </c>
      <c r="U1019" t="s">
        <v>5985</v>
      </c>
      <c r="V1019" t="s">
        <v>5983</v>
      </c>
      <c r="Y1019" t="s">
        <v>6948</v>
      </c>
      <c r="Z1019" t="s">
        <v>6949</v>
      </c>
      <c r="AA1019" t="s">
        <v>6950</v>
      </c>
      <c r="AB1019" t="s">
        <v>6951</v>
      </c>
      <c r="AC1019" t="s">
        <v>6952</v>
      </c>
      <c r="AD1019" t="s">
        <v>6953</v>
      </c>
    </row>
    <row r="1020" spans="1:30">
      <c r="A1020" t="s">
        <v>4604</v>
      </c>
      <c r="B1020" t="s">
        <v>4760</v>
      </c>
      <c r="C1020" t="s">
        <v>5703</v>
      </c>
      <c r="D1020" t="s">
        <v>6004</v>
      </c>
      <c r="E1020" t="s">
        <v>6005</v>
      </c>
      <c r="J1020" t="s">
        <v>6620</v>
      </c>
      <c r="M1020" t="e">
        <v>#N/A</v>
      </c>
      <c r="N1020" t="e">
        <v>#N/A</v>
      </c>
      <c r="O1020" t="e">
        <v>#N/A</v>
      </c>
      <c r="P1020" t="e">
        <v>#N/A</v>
      </c>
      <c r="R1020" t="e">
        <v>#N/A</v>
      </c>
      <c r="T1020" t="s">
        <v>5985</v>
      </c>
      <c r="U1020" t="s">
        <v>5985</v>
      </c>
      <c r="V1020" t="s">
        <v>5983</v>
      </c>
      <c r="Y1020" t="s">
        <v>6948</v>
      </c>
      <c r="Z1020" t="s">
        <v>6949</v>
      </c>
      <c r="AA1020" t="s">
        <v>6950</v>
      </c>
      <c r="AB1020" t="s">
        <v>6951</v>
      </c>
      <c r="AC1020" t="s">
        <v>6952</v>
      </c>
      <c r="AD1020" t="s">
        <v>6953</v>
      </c>
    </row>
    <row r="1021" spans="1:30">
      <c r="A1021" t="s">
        <v>4604</v>
      </c>
      <c r="B1021" t="s">
        <v>4761</v>
      </c>
      <c r="C1021" t="s">
        <v>5704</v>
      </c>
      <c r="D1021">
        <v>0</v>
      </c>
      <c r="E1021">
        <v>0</v>
      </c>
      <c r="J1021">
        <v>0</v>
      </c>
      <c r="M1021" t="e">
        <v>#N/A</v>
      </c>
      <c r="N1021" t="e">
        <v>#N/A</v>
      </c>
      <c r="O1021" t="e">
        <v>#N/A</v>
      </c>
      <c r="P1021" t="e">
        <v>#N/A</v>
      </c>
      <c r="R1021" t="e">
        <v>#N/A</v>
      </c>
      <c r="T1021">
        <v>0</v>
      </c>
      <c r="U1021">
        <v>0</v>
      </c>
      <c r="V1021" t="s">
        <v>5983</v>
      </c>
      <c r="Y1021" t="s">
        <v>6948</v>
      </c>
      <c r="Z1021" t="s">
        <v>6949</v>
      </c>
      <c r="AA1021" t="s">
        <v>6950</v>
      </c>
      <c r="AB1021" t="s">
        <v>6951</v>
      </c>
      <c r="AC1021" t="s">
        <v>6952</v>
      </c>
      <c r="AD1021" t="s">
        <v>6953</v>
      </c>
    </row>
    <row r="1022" spans="1:30">
      <c r="A1022" t="s">
        <v>4604</v>
      </c>
      <c r="B1022" t="s">
        <v>4762</v>
      </c>
      <c r="C1022" t="s">
        <v>5705</v>
      </c>
      <c r="D1022" t="s">
        <v>6004</v>
      </c>
      <c r="E1022" t="s">
        <v>6005</v>
      </c>
      <c r="J1022" t="s">
        <v>6621</v>
      </c>
      <c r="M1022" t="e">
        <v>#N/A</v>
      </c>
      <c r="N1022" t="e">
        <v>#N/A</v>
      </c>
      <c r="O1022" t="e">
        <v>#N/A</v>
      </c>
      <c r="P1022" t="e">
        <v>#N/A</v>
      </c>
      <c r="R1022" t="e">
        <v>#N/A</v>
      </c>
      <c r="T1022" t="s">
        <v>5985</v>
      </c>
      <c r="U1022" t="s">
        <v>5985</v>
      </c>
      <c r="V1022" t="s">
        <v>5983</v>
      </c>
      <c r="Y1022" t="s">
        <v>6948</v>
      </c>
      <c r="Z1022" t="s">
        <v>6949</v>
      </c>
      <c r="AA1022" t="s">
        <v>6950</v>
      </c>
      <c r="AB1022" t="s">
        <v>6951</v>
      </c>
      <c r="AC1022" t="s">
        <v>6952</v>
      </c>
      <c r="AD1022" t="s">
        <v>6953</v>
      </c>
    </row>
    <row r="1023" spans="1:30">
      <c r="A1023" t="s">
        <v>4604</v>
      </c>
      <c r="B1023" t="s">
        <v>4763</v>
      </c>
      <c r="C1023" t="s">
        <v>5706</v>
      </c>
      <c r="D1023">
        <v>0</v>
      </c>
      <c r="E1023">
        <v>0</v>
      </c>
      <c r="J1023">
        <v>0</v>
      </c>
      <c r="M1023" t="e">
        <v>#N/A</v>
      </c>
      <c r="N1023" t="e">
        <v>#N/A</v>
      </c>
      <c r="O1023" t="e">
        <v>#N/A</v>
      </c>
      <c r="P1023" t="e">
        <v>#N/A</v>
      </c>
      <c r="R1023" t="e">
        <v>#N/A</v>
      </c>
      <c r="T1023">
        <v>0</v>
      </c>
      <c r="U1023">
        <v>0</v>
      </c>
      <c r="V1023" t="s">
        <v>5983</v>
      </c>
      <c r="Y1023" t="s">
        <v>6948</v>
      </c>
      <c r="Z1023" t="s">
        <v>6949</v>
      </c>
      <c r="AA1023" t="s">
        <v>6950</v>
      </c>
      <c r="AB1023" t="s">
        <v>6951</v>
      </c>
      <c r="AC1023" t="s">
        <v>6952</v>
      </c>
      <c r="AD1023" t="s">
        <v>6953</v>
      </c>
    </row>
    <row r="1024" spans="1:30">
      <c r="A1024" t="s">
        <v>4604</v>
      </c>
      <c r="B1024" t="s">
        <v>4764</v>
      </c>
      <c r="C1024" t="s">
        <v>5707</v>
      </c>
      <c r="D1024" t="s">
        <v>6004</v>
      </c>
      <c r="E1024" t="s">
        <v>6005</v>
      </c>
      <c r="J1024" t="s">
        <v>6622</v>
      </c>
      <c r="M1024" t="e">
        <v>#N/A</v>
      </c>
      <c r="N1024" t="e">
        <v>#N/A</v>
      </c>
      <c r="O1024" t="e">
        <v>#N/A</v>
      </c>
      <c r="P1024" t="e">
        <v>#N/A</v>
      </c>
      <c r="R1024" t="e">
        <v>#N/A</v>
      </c>
      <c r="T1024" t="s">
        <v>5985</v>
      </c>
      <c r="U1024" t="s">
        <v>5985</v>
      </c>
      <c r="V1024" t="s">
        <v>5983</v>
      </c>
      <c r="Y1024" t="s">
        <v>6948</v>
      </c>
      <c r="Z1024" t="s">
        <v>6949</v>
      </c>
      <c r="AA1024" t="s">
        <v>6950</v>
      </c>
      <c r="AB1024" t="s">
        <v>6951</v>
      </c>
      <c r="AC1024" t="s">
        <v>6952</v>
      </c>
      <c r="AD1024" t="s">
        <v>6953</v>
      </c>
    </row>
    <row r="1025" spans="1:30">
      <c r="A1025" t="s">
        <v>4604</v>
      </c>
      <c r="B1025" t="s">
        <v>4765</v>
      </c>
      <c r="C1025" t="s">
        <v>5708</v>
      </c>
      <c r="D1025">
        <v>0</v>
      </c>
      <c r="E1025">
        <v>0</v>
      </c>
      <c r="J1025">
        <v>0</v>
      </c>
      <c r="M1025" t="e">
        <v>#N/A</v>
      </c>
      <c r="N1025" t="e">
        <v>#N/A</v>
      </c>
      <c r="O1025" t="e">
        <v>#N/A</v>
      </c>
      <c r="P1025" t="e">
        <v>#N/A</v>
      </c>
      <c r="R1025" t="e">
        <v>#N/A</v>
      </c>
      <c r="T1025">
        <v>0</v>
      </c>
      <c r="U1025">
        <v>0</v>
      </c>
      <c r="V1025" t="s">
        <v>5983</v>
      </c>
      <c r="Y1025" t="s">
        <v>6948</v>
      </c>
      <c r="Z1025" t="s">
        <v>6949</v>
      </c>
      <c r="AA1025" t="s">
        <v>6950</v>
      </c>
      <c r="AB1025" t="s">
        <v>6951</v>
      </c>
      <c r="AC1025" t="s">
        <v>6952</v>
      </c>
      <c r="AD1025" t="s">
        <v>6953</v>
      </c>
    </row>
    <row r="1026" spans="1:30">
      <c r="A1026" t="s">
        <v>4604</v>
      </c>
      <c r="B1026" t="s">
        <v>4766</v>
      </c>
      <c r="C1026" t="s">
        <v>5709</v>
      </c>
      <c r="D1026" t="s">
        <v>6004</v>
      </c>
      <c r="E1026" t="s">
        <v>6005</v>
      </c>
      <c r="J1026" t="s">
        <v>6623</v>
      </c>
      <c r="M1026" t="e">
        <v>#N/A</v>
      </c>
      <c r="N1026" t="e">
        <v>#N/A</v>
      </c>
      <c r="O1026" t="e">
        <v>#N/A</v>
      </c>
      <c r="P1026" t="e">
        <v>#N/A</v>
      </c>
      <c r="R1026" t="e">
        <v>#N/A</v>
      </c>
      <c r="T1026" t="s">
        <v>5983</v>
      </c>
      <c r="U1026" t="s">
        <v>5983</v>
      </c>
      <c r="V1026" t="s">
        <v>5983</v>
      </c>
      <c r="Y1026" t="s">
        <v>6948</v>
      </c>
      <c r="Z1026" t="s">
        <v>6949</v>
      </c>
      <c r="AA1026" t="s">
        <v>6950</v>
      </c>
      <c r="AB1026" t="s">
        <v>6951</v>
      </c>
      <c r="AC1026" t="s">
        <v>6952</v>
      </c>
      <c r="AD1026" t="s">
        <v>6953</v>
      </c>
    </row>
    <row r="1027" spans="1:30">
      <c r="A1027" t="s">
        <v>4604</v>
      </c>
      <c r="B1027" t="s">
        <v>4767</v>
      </c>
      <c r="C1027" t="s">
        <v>5710</v>
      </c>
      <c r="D1027" t="s">
        <v>6004</v>
      </c>
      <c r="E1027" t="s">
        <v>6005</v>
      </c>
      <c r="J1027" t="s">
        <v>6624</v>
      </c>
      <c r="M1027" t="e">
        <v>#N/A</v>
      </c>
      <c r="N1027" t="e">
        <v>#N/A</v>
      </c>
      <c r="O1027" t="e">
        <v>#N/A</v>
      </c>
      <c r="P1027" t="e">
        <v>#N/A</v>
      </c>
      <c r="R1027" t="e">
        <v>#N/A</v>
      </c>
      <c r="T1027" t="s">
        <v>5983</v>
      </c>
      <c r="U1027" t="s">
        <v>5983</v>
      </c>
      <c r="V1027" t="s">
        <v>5983</v>
      </c>
      <c r="Y1027" t="s">
        <v>6948</v>
      </c>
      <c r="Z1027" t="s">
        <v>6949</v>
      </c>
      <c r="AA1027" t="s">
        <v>6950</v>
      </c>
      <c r="AB1027" t="s">
        <v>6951</v>
      </c>
      <c r="AC1027" t="s">
        <v>6952</v>
      </c>
      <c r="AD1027" t="s">
        <v>6953</v>
      </c>
    </row>
    <row r="1028" spans="1:30">
      <c r="A1028" t="s">
        <v>4604</v>
      </c>
      <c r="B1028" t="s">
        <v>4768</v>
      </c>
      <c r="C1028" t="s">
        <v>5711</v>
      </c>
      <c r="D1028" t="s">
        <v>6004</v>
      </c>
      <c r="E1028" t="s">
        <v>6005</v>
      </c>
      <c r="J1028" t="s">
        <v>6625</v>
      </c>
      <c r="M1028" t="e">
        <v>#N/A</v>
      </c>
      <c r="N1028" t="e">
        <v>#N/A</v>
      </c>
      <c r="O1028" t="e">
        <v>#N/A</v>
      </c>
      <c r="P1028" t="e">
        <v>#N/A</v>
      </c>
      <c r="R1028" t="e">
        <v>#N/A</v>
      </c>
      <c r="T1028" t="s">
        <v>5983</v>
      </c>
      <c r="U1028" t="s">
        <v>5983</v>
      </c>
      <c r="V1028" t="s">
        <v>5983</v>
      </c>
      <c r="Y1028" t="s">
        <v>6948</v>
      </c>
      <c r="Z1028" t="s">
        <v>6949</v>
      </c>
      <c r="AA1028" t="s">
        <v>6950</v>
      </c>
      <c r="AB1028" t="s">
        <v>6951</v>
      </c>
      <c r="AC1028" t="s">
        <v>6952</v>
      </c>
      <c r="AD1028" t="s">
        <v>6953</v>
      </c>
    </row>
    <row r="1029" spans="1:30">
      <c r="A1029" t="s">
        <v>4604</v>
      </c>
      <c r="B1029" t="s">
        <v>4769</v>
      </c>
      <c r="C1029" t="s">
        <v>5712</v>
      </c>
      <c r="D1029" t="s">
        <v>6004</v>
      </c>
      <c r="E1029" t="s">
        <v>6005</v>
      </c>
      <c r="J1029" t="s">
        <v>6626</v>
      </c>
      <c r="M1029" t="e">
        <v>#N/A</v>
      </c>
      <c r="N1029" t="e">
        <v>#N/A</v>
      </c>
      <c r="O1029" t="e">
        <v>#N/A</v>
      </c>
      <c r="P1029" t="e">
        <v>#N/A</v>
      </c>
      <c r="R1029" t="e">
        <v>#N/A</v>
      </c>
      <c r="T1029" t="s">
        <v>5983</v>
      </c>
      <c r="U1029" t="s">
        <v>5983</v>
      </c>
      <c r="V1029" t="s">
        <v>5983</v>
      </c>
      <c r="Y1029" t="s">
        <v>6948</v>
      </c>
      <c r="Z1029" t="s">
        <v>6949</v>
      </c>
      <c r="AA1029" t="s">
        <v>6950</v>
      </c>
      <c r="AB1029" t="s">
        <v>6951</v>
      </c>
      <c r="AC1029" t="s">
        <v>6952</v>
      </c>
      <c r="AD1029" t="s">
        <v>6953</v>
      </c>
    </row>
    <row r="1030" spans="1:30">
      <c r="A1030" t="s">
        <v>4604</v>
      </c>
      <c r="B1030" t="s">
        <v>4770</v>
      </c>
      <c r="C1030" t="s">
        <v>5713</v>
      </c>
      <c r="D1030" t="s">
        <v>6004</v>
      </c>
      <c r="E1030" t="s">
        <v>6005</v>
      </c>
      <c r="J1030" t="s">
        <v>6627</v>
      </c>
      <c r="M1030" t="e">
        <v>#N/A</v>
      </c>
      <c r="N1030" t="e">
        <v>#N/A</v>
      </c>
      <c r="O1030" t="e">
        <v>#N/A</v>
      </c>
      <c r="P1030" t="e">
        <v>#N/A</v>
      </c>
      <c r="R1030" t="e">
        <v>#N/A</v>
      </c>
      <c r="T1030" t="s">
        <v>5983</v>
      </c>
      <c r="U1030" t="s">
        <v>5983</v>
      </c>
      <c r="V1030" t="s">
        <v>5983</v>
      </c>
      <c r="Y1030" t="s">
        <v>6948</v>
      </c>
      <c r="Z1030" t="s">
        <v>6949</v>
      </c>
      <c r="AA1030" t="s">
        <v>6950</v>
      </c>
      <c r="AB1030" t="s">
        <v>6951</v>
      </c>
      <c r="AC1030" t="s">
        <v>6952</v>
      </c>
      <c r="AD1030" t="s">
        <v>6953</v>
      </c>
    </row>
    <row r="1031" spans="1:30">
      <c r="A1031" t="s">
        <v>4604</v>
      </c>
      <c r="B1031" t="s">
        <v>4771</v>
      </c>
      <c r="C1031" t="s">
        <v>5714</v>
      </c>
      <c r="D1031" t="s">
        <v>6004</v>
      </c>
      <c r="E1031" t="s">
        <v>6005</v>
      </c>
      <c r="J1031" t="s">
        <v>6628</v>
      </c>
      <c r="M1031" t="e">
        <v>#N/A</v>
      </c>
      <c r="N1031" t="e">
        <v>#N/A</v>
      </c>
      <c r="O1031" t="e">
        <v>#N/A</v>
      </c>
      <c r="P1031" t="e">
        <v>#N/A</v>
      </c>
      <c r="R1031" t="e">
        <v>#N/A</v>
      </c>
      <c r="T1031" t="s">
        <v>5983</v>
      </c>
      <c r="U1031" t="s">
        <v>5983</v>
      </c>
      <c r="V1031" t="s">
        <v>5983</v>
      </c>
      <c r="Y1031" t="s">
        <v>6948</v>
      </c>
      <c r="Z1031" t="s">
        <v>6949</v>
      </c>
      <c r="AA1031" t="s">
        <v>6950</v>
      </c>
      <c r="AB1031" t="s">
        <v>6951</v>
      </c>
      <c r="AC1031" t="s">
        <v>6952</v>
      </c>
      <c r="AD1031" t="s">
        <v>6953</v>
      </c>
    </row>
    <row r="1032" spans="1:30">
      <c r="A1032" t="s">
        <v>4604</v>
      </c>
      <c r="B1032" t="s">
        <v>4772</v>
      </c>
      <c r="C1032" t="s">
        <v>5715</v>
      </c>
      <c r="D1032">
        <v>0</v>
      </c>
      <c r="E1032">
        <v>0</v>
      </c>
      <c r="J1032">
        <v>0</v>
      </c>
      <c r="M1032" t="e">
        <v>#N/A</v>
      </c>
      <c r="N1032" t="e">
        <v>#N/A</v>
      </c>
      <c r="O1032" t="e">
        <v>#N/A</v>
      </c>
      <c r="P1032" t="e">
        <v>#N/A</v>
      </c>
      <c r="R1032" t="e">
        <v>#N/A</v>
      </c>
      <c r="T1032">
        <v>0</v>
      </c>
      <c r="U1032">
        <v>0</v>
      </c>
      <c r="V1032" t="s">
        <v>5983</v>
      </c>
      <c r="Y1032" t="s">
        <v>6948</v>
      </c>
      <c r="Z1032" t="s">
        <v>6949</v>
      </c>
      <c r="AA1032" t="s">
        <v>6950</v>
      </c>
      <c r="AB1032" t="s">
        <v>6951</v>
      </c>
      <c r="AC1032" t="s">
        <v>6952</v>
      </c>
      <c r="AD1032" t="s">
        <v>6953</v>
      </c>
    </row>
    <row r="1033" spans="1:30">
      <c r="A1033" t="s">
        <v>4604</v>
      </c>
      <c r="B1033" t="s">
        <v>4773</v>
      </c>
      <c r="C1033" t="s">
        <v>5715</v>
      </c>
      <c r="D1033" t="s">
        <v>6004</v>
      </c>
      <c r="E1033" t="s">
        <v>6005</v>
      </c>
      <c r="J1033" t="s">
        <v>6629</v>
      </c>
      <c r="M1033" t="e">
        <v>#N/A</v>
      </c>
      <c r="N1033" t="e">
        <v>#N/A</v>
      </c>
      <c r="O1033" t="e">
        <v>#N/A</v>
      </c>
      <c r="P1033" t="e">
        <v>#N/A</v>
      </c>
      <c r="R1033" t="e">
        <v>#N/A</v>
      </c>
      <c r="T1033" t="s">
        <v>5983</v>
      </c>
      <c r="U1033" t="s">
        <v>5983</v>
      </c>
      <c r="V1033" t="s">
        <v>5983</v>
      </c>
      <c r="Y1033" t="s">
        <v>6948</v>
      </c>
      <c r="Z1033" t="s">
        <v>6949</v>
      </c>
      <c r="AA1033" t="s">
        <v>6950</v>
      </c>
      <c r="AB1033" t="s">
        <v>6951</v>
      </c>
      <c r="AC1033" t="s">
        <v>6952</v>
      </c>
      <c r="AD1033" t="s">
        <v>6953</v>
      </c>
    </row>
    <row r="1034" spans="1:30">
      <c r="A1034" t="s">
        <v>4604</v>
      </c>
      <c r="B1034" t="s">
        <v>4774</v>
      </c>
      <c r="C1034" t="s">
        <v>5716</v>
      </c>
      <c r="D1034" t="s">
        <v>6004</v>
      </c>
      <c r="E1034" t="s">
        <v>6005</v>
      </c>
      <c r="J1034" t="s">
        <v>6630</v>
      </c>
      <c r="M1034" t="e">
        <v>#N/A</v>
      </c>
      <c r="N1034" t="e">
        <v>#N/A</v>
      </c>
      <c r="O1034" t="e">
        <v>#N/A</v>
      </c>
      <c r="P1034" t="e">
        <v>#N/A</v>
      </c>
      <c r="R1034" t="e">
        <v>#N/A</v>
      </c>
      <c r="T1034" t="s">
        <v>5983</v>
      </c>
      <c r="U1034" t="s">
        <v>5983</v>
      </c>
      <c r="V1034" t="s">
        <v>5983</v>
      </c>
      <c r="Y1034" t="s">
        <v>6948</v>
      </c>
      <c r="Z1034" t="s">
        <v>6949</v>
      </c>
      <c r="AA1034" t="s">
        <v>6950</v>
      </c>
      <c r="AB1034" t="s">
        <v>6951</v>
      </c>
      <c r="AC1034" t="s">
        <v>6952</v>
      </c>
      <c r="AD1034" t="s">
        <v>6953</v>
      </c>
    </row>
    <row r="1035" spans="1:30">
      <c r="A1035" t="s">
        <v>4604</v>
      </c>
      <c r="B1035" t="s">
        <v>4775</v>
      </c>
      <c r="C1035" t="s">
        <v>5717</v>
      </c>
      <c r="D1035">
        <v>0</v>
      </c>
      <c r="E1035">
        <v>0</v>
      </c>
      <c r="J1035">
        <v>0</v>
      </c>
      <c r="M1035" t="e">
        <v>#N/A</v>
      </c>
      <c r="N1035" t="e">
        <v>#N/A</v>
      </c>
      <c r="O1035" t="e">
        <v>#N/A</v>
      </c>
      <c r="P1035" t="e">
        <v>#N/A</v>
      </c>
      <c r="R1035" t="e">
        <v>#N/A</v>
      </c>
      <c r="T1035">
        <v>0</v>
      </c>
      <c r="U1035">
        <v>0</v>
      </c>
      <c r="V1035" t="s">
        <v>5983</v>
      </c>
      <c r="Y1035" t="s">
        <v>6948</v>
      </c>
      <c r="Z1035" t="s">
        <v>6949</v>
      </c>
      <c r="AA1035" t="s">
        <v>6950</v>
      </c>
      <c r="AB1035" t="s">
        <v>6951</v>
      </c>
      <c r="AC1035" t="s">
        <v>6952</v>
      </c>
      <c r="AD1035" t="s">
        <v>6953</v>
      </c>
    </row>
    <row r="1036" spans="1:30">
      <c r="A1036" t="s">
        <v>4604</v>
      </c>
      <c r="B1036" t="s">
        <v>4776</v>
      </c>
      <c r="C1036" t="s">
        <v>5717</v>
      </c>
      <c r="D1036" t="s">
        <v>6004</v>
      </c>
      <c r="E1036" t="s">
        <v>6005</v>
      </c>
      <c r="J1036" t="s">
        <v>6631</v>
      </c>
      <c r="M1036" t="e">
        <v>#N/A</v>
      </c>
      <c r="N1036" t="e">
        <v>#N/A</v>
      </c>
      <c r="O1036" t="e">
        <v>#N/A</v>
      </c>
      <c r="P1036" t="e">
        <v>#N/A</v>
      </c>
      <c r="R1036" t="e">
        <v>#N/A</v>
      </c>
      <c r="T1036" t="s">
        <v>5983</v>
      </c>
      <c r="U1036" t="s">
        <v>5983</v>
      </c>
      <c r="V1036" t="s">
        <v>5983</v>
      </c>
      <c r="Y1036" t="s">
        <v>6948</v>
      </c>
      <c r="Z1036" t="s">
        <v>6949</v>
      </c>
      <c r="AA1036" t="s">
        <v>6950</v>
      </c>
      <c r="AB1036" t="s">
        <v>6951</v>
      </c>
      <c r="AC1036" t="s">
        <v>6952</v>
      </c>
      <c r="AD1036" t="s">
        <v>6953</v>
      </c>
    </row>
    <row r="1037" spans="1:30">
      <c r="A1037">
        <v>11007035</v>
      </c>
      <c r="B1037" t="s">
        <v>4777</v>
      </c>
      <c r="C1037" t="s">
        <v>5718</v>
      </c>
      <c r="D1037" t="s">
        <v>6006</v>
      </c>
      <c r="E1037" t="s">
        <v>6007</v>
      </c>
      <c r="J1037" t="s">
        <v>6632</v>
      </c>
      <c r="M1037" t="e">
        <v>#N/A</v>
      </c>
      <c r="N1037" t="e">
        <v>#N/A</v>
      </c>
      <c r="O1037" t="e">
        <v>#N/A</v>
      </c>
      <c r="P1037" t="e">
        <v>#N/A</v>
      </c>
      <c r="R1037" t="e">
        <v>#N/A</v>
      </c>
      <c r="T1037" t="s">
        <v>5983</v>
      </c>
      <c r="U1037" t="s">
        <v>5983</v>
      </c>
      <c r="V1037" t="s">
        <v>5983</v>
      </c>
      <c r="Y1037" t="s">
        <v>6948</v>
      </c>
      <c r="Z1037" t="s">
        <v>6949</v>
      </c>
      <c r="AA1037" t="s">
        <v>6950</v>
      </c>
      <c r="AB1037" t="s">
        <v>6951</v>
      </c>
      <c r="AC1037" t="s">
        <v>6952</v>
      </c>
      <c r="AD1037" t="s">
        <v>6953</v>
      </c>
    </row>
    <row r="1038" spans="1:30">
      <c r="A1038" t="s">
        <v>4604</v>
      </c>
      <c r="B1038" t="s">
        <v>4778</v>
      </c>
      <c r="C1038" t="s">
        <v>5719</v>
      </c>
      <c r="D1038" t="s">
        <v>6006</v>
      </c>
      <c r="E1038" t="s">
        <v>6007</v>
      </c>
      <c r="J1038" t="s">
        <v>6633</v>
      </c>
      <c r="M1038" t="e">
        <v>#N/A</v>
      </c>
      <c r="N1038" t="e">
        <v>#N/A</v>
      </c>
      <c r="O1038" t="e">
        <v>#N/A</v>
      </c>
      <c r="P1038" t="e">
        <v>#N/A</v>
      </c>
      <c r="R1038" t="e">
        <v>#N/A</v>
      </c>
      <c r="T1038" t="s">
        <v>5983</v>
      </c>
      <c r="U1038" t="s">
        <v>5983</v>
      </c>
      <c r="V1038" t="s">
        <v>5983</v>
      </c>
      <c r="Y1038" t="s">
        <v>6948</v>
      </c>
      <c r="Z1038" t="s">
        <v>6949</v>
      </c>
      <c r="AA1038" t="s">
        <v>6950</v>
      </c>
      <c r="AB1038" t="s">
        <v>6951</v>
      </c>
      <c r="AC1038" t="s">
        <v>6952</v>
      </c>
      <c r="AD1038" t="s">
        <v>6953</v>
      </c>
    </row>
    <row r="1039" spans="1:30">
      <c r="A1039" t="s">
        <v>4604</v>
      </c>
      <c r="B1039" t="s">
        <v>4779</v>
      </c>
      <c r="C1039" t="s">
        <v>5720</v>
      </c>
      <c r="D1039" t="s">
        <v>6006</v>
      </c>
      <c r="E1039" t="s">
        <v>6007</v>
      </c>
      <c r="J1039" t="s">
        <v>6634</v>
      </c>
      <c r="M1039" t="e">
        <v>#N/A</v>
      </c>
      <c r="N1039" t="e">
        <v>#N/A</v>
      </c>
      <c r="O1039" t="e">
        <v>#N/A</v>
      </c>
      <c r="P1039" t="e">
        <v>#N/A</v>
      </c>
      <c r="R1039" t="e">
        <v>#N/A</v>
      </c>
      <c r="T1039" t="s">
        <v>5983</v>
      </c>
      <c r="U1039" t="s">
        <v>5983</v>
      </c>
      <c r="V1039" t="s">
        <v>5983</v>
      </c>
      <c r="Y1039" t="s">
        <v>6948</v>
      </c>
      <c r="Z1039" t="s">
        <v>6949</v>
      </c>
      <c r="AA1039" t="s">
        <v>6950</v>
      </c>
      <c r="AB1039" t="s">
        <v>6951</v>
      </c>
      <c r="AC1039" t="s">
        <v>6952</v>
      </c>
      <c r="AD1039" t="s">
        <v>6953</v>
      </c>
    </row>
    <row r="1040" spans="1:30">
      <c r="A1040" t="s">
        <v>4604</v>
      </c>
      <c r="B1040" t="s">
        <v>4780</v>
      </c>
      <c r="C1040" t="s">
        <v>5721</v>
      </c>
      <c r="D1040" t="s">
        <v>6008</v>
      </c>
      <c r="E1040" t="s">
        <v>6009</v>
      </c>
      <c r="J1040" t="s">
        <v>6635</v>
      </c>
      <c r="M1040" t="e">
        <v>#N/A</v>
      </c>
      <c r="N1040" t="e">
        <v>#N/A</v>
      </c>
      <c r="O1040" t="e">
        <v>#N/A</v>
      </c>
      <c r="P1040" t="e">
        <v>#N/A</v>
      </c>
      <c r="R1040" t="e">
        <v>#N/A</v>
      </c>
      <c r="T1040" t="s">
        <v>5985</v>
      </c>
      <c r="U1040" t="s">
        <v>5985</v>
      </c>
      <c r="V1040" t="s">
        <v>5983</v>
      </c>
      <c r="Y1040" t="s">
        <v>6948</v>
      </c>
      <c r="Z1040" t="s">
        <v>6949</v>
      </c>
      <c r="AA1040" t="s">
        <v>6950</v>
      </c>
      <c r="AB1040" t="s">
        <v>6951</v>
      </c>
      <c r="AC1040" t="s">
        <v>6952</v>
      </c>
      <c r="AD1040" t="s">
        <v>6953</v>
      </c>
    </row>
    <row r="1041" spans="1:30">
      <c r="A1041" t="s">
        <v>4604</v>
      </c>
      <c r="B1041" t="s">
        <v>4781</v>
      </c>
      <c r="C1041" t="s">
        <v>5722</v>
      </c>
      <c r="D1041" t="s">
        <v>6008</v>
      </c>
      <c r="E1041" t="s">
        <v>6009</v>
      </c>
      <c r="J1041" t="s">
        <v>6636</v>
      </c>
      <c r="M1041" t="e">
        <v>#N/A</v>
      </c>
      <c r="N1041" t="e">
        <v>#N/A</v>
      </c>
      <c r="O1041" t="e">
        <v>#N/A</v>
      </c>
      <c r="P1041" t="e">
        <v>#N/A</v>
      </c>
      <c r="R1041" t="e">
        <v>#N/A</v>
      </c>
      <c r="T1041" t="s">
        <v>5985</v>
      </c>
      <c r="U1041" t="s">
        <v>5985</v>
      </c>
      <c r="V1041" t="s">
        <v>5983</v>
      </c>
      <c r="Y1041" t="s">
        <v>6948</v>
      </c>
      <c r="Z1041" t="s">
        <v>6949</v>
      </c>
      <c r="AA1041" t="s">
        <v>6950</v>
      </c>
      <c r="AB1041" t="s">
        <v>6951</v>
      </c>
      <c r="AC1041" t="s">
        <v>6952</v>
      </c>
      <c r="AD1041" t="s">
        <v>6953</v>
      </c>
    </row>
    <row r="1042" spans="1:30">
      <c r="A1042" t="s">
        <v>4604</v>
      </c>
      <c r="B1042" t="s">
        <v>4782</v>
      </c>
      <c r="C1042" t="s">
        <v>5723</v>
      </c>
      <c r="D1042">
        <v>0</v>
      </c>
      <c r="E1042">
        <v>0</v>
      </c>
      <c r="J1042">
        <v>0</v>
      </c>
      <c r="M1042" t="e">
        <v>#N/A</v>
      </c>
      <c r="N1042" t="e">
        <v>#N/A</v>
      </c>
      <c r="O1042" t="e">
        <v>#N/A</v>
      </c>
      <c r="P1042" t="e">
        <v>#N/A</v>
      </c>
      <c r="R1042" t="e">
        <v>#N/A</v>
      </c>
      <c r="T1042">
        <v>0</v>
      </c>
      <c r="U1042">
        <v>0</v>
      </c>
      <c r="V1042" t="s">
        <v>5983</v>
      </c>
      <c r="Y1042" t="s">
        <v>6948</v>
      </c>
      <c r="Z1042" t="s">
        <v>6949</v>
      </c>
      <c r="AA1042" t="s">
        <v>6950</v>
      </c>
      <c r="AB1042" t="s">
        <v>6951</v>
      </c>
      <c r="AC1042" t="s">
        <v>6952</v>
      </c>
      <c r="AD1042" t="s">
        <v>6953</v>
      </c>
    </row>
    <row r="1043" spans="1:30">
      <c r="A1043" t="s">
        <v>4604</v>
      </c>
      <c r="B1043" t="s">
        <v>4783</v>
      </c>
      <c r="C1043" t="s">
        <v>5723</v>
      </c>
      <c r="D1043" t="s">
        <v>6008</v>
      </c>
      <c r="E1043" t="s">
        <v>6009</v>
      </c>
      <c r="J1043" t="s">
        <v>6637</v>
      </c>
      <c r="M1043" t="e">
        <v>#N/A</v>
      </c>
      <c r="N1043" t="e">
        <v>#N/A</v>
      </c>
      <c r="O1043" t="e">
        <v>#N/A</v>
      </c>
      <c r="P1043" t="e">
        <v>#N/A</v>
      </c>
      <c r="R1043" t="e">
        <v>#N/A</v>
      </c>
      <c r="T1043" t="s">
        <v>5985</v>
      </c>
      <c r="U1043" t="s">
        <v>5985</v>
      </c>
      <c r="V1043" t="s">
        <v>5983</v>
      </c>
      <c r="Y1043" t="s">
        <v>6948</v>
      </c>
      <c r="Z1043" t="s">
        <v>6949</v>
      </c>
      <c r="AA1043" t="s">
        <v>6950</v>
      </c>
      <c r="AB1043" t="s">
        <v>6951</v>
      </c>
      <c r="AC1043" t="s">
        <v>6952</v>
      </c>
      <c r="AD1043" t="s">
        <v>6953</v>
      </c>
    </row>
    <row r="1044" spans="1:30">
      <c r="A1044" t="s">
        <v>4604</v>
      </c>
      <c r="B1044" t="s">
        <v>4784</v>
      </c>
      <c r="C1044" t="s">
        <v>5724</v>
      </c>
      <c r="D1044">
        <v>0</v>
      </c>
      <c r="E1044">
        <v>0</v>
      </c>
      <c r="J1044">
        <v>0</v>
      </c>
      <c r="M1044" t="e">
        <v>#N/A</v>
      </c>
      <c r="N1044" t="e">
        <v>#N/A</v>
      </c>
      <c r="O1044" t="e">
        <v>#N/A</v>
      </c>
      <c r="P1044" t="e">
        <v>#N/A</v>
      </c>
      <c r="R1044" t="e">
        <v>#N/A</v>
      </c>
      <c r="T1044">
        <v>0</v>
      </c>
      <c r="U1044">
        <v>0</v>
      </c>
      <c r="V1044" t="s">
        <v>5983</v>
      </c>
      <c r="Y1044" t="s">
        <v>6948</v>
      </c>
      <c r="Z1044" t="s">
        <v>6949</v>
      </c>
      <c r="AA1044" t="s">
        <v>6950</v>
      </c>
      <c r="AB1044" t="s">
        <v>6951</v>
      </c>
      <c r="AC1044" t="s">
        <v>6952</v>
      </c>
      <c r="AD1044" t="s">
        <v>6953</v>
      </c>
    </row>
    <row r="1045" spans="1:30">
      <c r="A1045" t="s">
        <v>4604</v>
      </c>
      <c r="B1045" t="s">
        <v>4785</v>
      </c>
      <c r="C1045" t="s">
        <v>5724</v>
      </c>
      <c r="D1045">
        <v>0</v>
      </c>
      <c r="E1045">
        <v>0</v>
      </c>
      <c r="J1045">
        <v>0</v>
      </c>
      <c r="M1045" t="e">
        <v>#N/A</v>
      </c>
      <c r="N1045" t="e">
        <v>#N/A</v>
      </c>
      <c r="O1045" t="e">
        <v>#N/A</v>
      </c>
      <c r="P1045" t="e">
        <v>#N/A</v>
      </c>
      <c r="R1045" t="e">
        <v>#N/A</v>
      </c>
      <c r="T1045">
        <v>0</v>
      </c>
      <c r="U1045">
        <v>0</v>
      </c>
      <c r="V1045" t="s">
        <v>5983</v>
      </c>
      <c r="Y1045" t="s">
        <v>6948</v>
      </c>
      <c r="Z1045" t="s">
        <v>6949</v>
      </c>
      <c r="AA1045" t="s">
        <v>6950</v>
      </c>
      <c r="AB1045" t="s">
        <v>6951</v>
      </c>
      <c r="AC1045" t="s">
        <v>6952</v>
      </c>
      <c r="AD1045" t="s">
        <v>6953</v>
      </c>
    </row>
    <row r="1046" spans="1:30">
      <c r="A1046" t="s">
        <v>4604</v>
      </c>
      <c r="B1046" t="s">
        <v>4786</v>
      </c>
      <c r="C1046" t="s">
        <v>5725</v>
      </c>
      <c r="D1046" t="s">
        <v>6010</v>
      </c>
      <c r="E1046" t="s">
        <v>6011</v>
      </c>
      <c r="J1046" t="s">
        <v>6638</v>
      </c>
      <c r="M1046" t="e">
        <v>#N/A</v>
      </c>
      <c r="N1046" t="e">
        <v>#N/A</v>
      </c>
      <c r="O1046" t="e">
        <v>#N/A</v>
      </c>
      <c r="P1046" t="e">
        <v>#N/A</v>
      </c>
      <c r="R1046" t="e">
        <v>#N/A</v>
      </c>
      <c r="T1046" t="s">
        <v>5985</v>
      </c>
      <c r="U1046" t="s">
        <v>5985</v>
      </c>
      <c r="V1046" t="s">
        <v>5983</v>
      </c>
      <c r="Y1046" t="s">
        <v>6948</v>
      </c>
      <c r="Z1046" t="s">
        <v>6949</v>
      </c>
      <c r="AA1046" t="s">
        <v>6950</v>
      </c>
      <c r="AB1046" t="s">
        <v>6951</v>
      </c>
      <c r="AC1046" t="s">
        <v>6952</v>
      </c>
      <c r="AD1046" t="s">
        <v>6953</v>
      </c>
    </row>
    <row r="1047" spans="1:30">
      <c r="A1047" t="s">
        <v>4604</v>
      </c>
      <c r="B1047" t="s">
        <v>4787</v>
      </c>
      <c r="C1047" t="s">
        <v>5726</v>
      </c>
      <c r="D1047" t="s">
        <v>6010</v>
      </c>
      <c r="E1047" t="s">
        <v>6011</v>
      </c>
      <c r="J1047" t="s">
        <v>6639</v>
      </c>
      <c r="M1047" t="e">
        <v>#N/A</v>
      </c>
      <c r="N1047" t="e">
        <v>#N/A</v>
      </c>
      <c r="O1047" t="e">
        <v>#N/A</v>
      </c>
      <c r="P1047" t="e">
        <v>#N/A</v>
      </c>
      <c r="R1047" t="e">
        <v>#N/A</v>
      </c>
      <c r="T1047" t="s">
        <v>5985</v>
      </c>
      <c r="U1047" t="s">
        <v>5985</v>
      </c>
      <c r="V1047" t="s">
        <v>5983</v>
      </c>
      <c r="Y1047" t="s">
        <v>6948</v>
      </c>
      <c r="Z1047" t="s">
        <v>6949</v>
      </c>
      <c r="AA1047" t="s">
        <v>6950</v>
      </c>
      <c r="AB1047" t="s">
        <v>6951</v>
      </c>
      <c r="AC1047" t="s">
        <v>6952</v>
      </c>
      <c r="AD1047" t="s">
        <v>6953</v>
      </c>
    </row>
    <row r="1048" spans="1:30">
      <c r="A1048" t="s">
        <v>4604</v>
      </c>
      <c r="B1048" t="s">
        <v>4788</v>
      </c>
      <c r="C1048" t="s">
        <v>5727</v>
      </c>
      <c r="D1048">
        <v>0</v>
      </c>
      <c r="E1048">
        <v>0</v>
      </c>
      <c r="J1048">
        <v>0</v>
      </c>
      <c r="M1048" t="e">
        <v>#N/A</v>
      </c>
      <c r="N1048" t="e">
        <v>#N/A</v>
      </c>
      <c r="O1048" t="e">
        <v>#N/A</v>
      </c>
      <c r="P1048" t="e">
        <v>#N/A</v>
      </c>
      <c r="R1048" t="e">
        <v>#N/A</v>
      </c>
      <c r="T1048">
        <v>0</v>
      </c>
      <c r="U1048">
        <v>0</v>
      </c>
      <c r="V1048" t="s">
        <v>5983</v>
      </c>
      <c r="Y1048" t="s">
        <v>6948</v>
      </c>
      <c r="Z1048" t="s">
        <v>6949</v>
      </c>
      <c r="AA1048" t="s">
        <v>6950</v>
      </c>
      <c r="AB1048" t="s">
        <v>6951</v>
      </c>
      <c r="AC1048" t="s">
        <v>6952</v>
      </c>
      <c r="AD1048" t="s">
        <v>6953</v>
      </c>
    </row>
    <row r="1049" spans="1:30">
      <c r="A1049" t="s">
        <v>4604</v>
      </c>
      <c r="B1049" t="s">
        <v>4789</v>
      </c>
      <c r="C1049" t="s">
        <v>5727</v>
      </c>
      <c r="D1049" t="s">
        <v>6010</v>
      </c>
      <c r="E1049" t="s">
        <v>6011</v>
      </c>
      <c r="J1049" t="s">
        <v>6640</v>
      </c>
      <c r="M1049" t="e">
        <v>#N/A</v>
      </c>
      <c r="N1049" t="e">
        <v>#N/A</v>
      </c>
      <c r="O1049" t="e">
        <v>#N/A</v>
      </c>
      <c r="P1049" t="e">
        <v>#N/A</v>
      </c>
      <c r="R1049" t="e">
        <v>#N/A</v>
      </c>
      <c r="T1049" t="s">
        <v>5985</v>
      </c>
      <c r="U1049" t="s">
        <v>5985</v>
      </c>
      <c r="V1049" t="s">
        <v>5983</v>
      </c>
      <c r="Y1049" t="s">
        <v>6948</v>
      </c>
      <c r="Z1049" t="s">
        <v>6949</v>
      </c>
      <c r="AA1049" t="s">
        <v>6950</v>
      </c>
      <c r="AB1049" t="s">
        <v>6951</v>
      </c>
      <c r="AC1049" t="s">
        <v>6952</v>
      </c>
      <c r="AD1049" t="s">
        <v>6953</v>
      </c>
    </row>
    <row r="1050" spans="1:30">
      <c r="A1050" t="s">
        <v>4604</v>
      </c>
      <c r="B1050" t="s">
        <v>4790</v>
      </c>
      <c r="C1050" t="s">
        <v>5728</v>
      </c>
      <c r="D1050">
        <v>0</v>
      </c>
      <c r="E1050">
        <v>0</v>
      </c>
      <c r="J1050">
        <v>0</v>
      </c>
      <c r="M1050" t="e">
        <v>#N/A</v>
      </c>
      <c r="N1050" t="e">
        <v>#N/A</v>
      </c>
      <c r="O1050" t="e">
        <v>#N/A</v>
      </c>
      <c r="P1050" t="e">
        <v>#N/A</v>
      </c>
      <c r="R1050" t="e">
        <v>#N/A</v>
      </c>
      <c r="T1050">
        <v>0</v>
      </c>
      <c r="U1050">
        <v>0</v>
      </c>
      <c r="V1050" t="s">
        <v>5983</v>
      </c>
      <c r="Y1050" t="s">
        <v>6948</v>
      </c>
      <c r="Z1050" t="s">
        <v>6949</v>
      </c>
      <c r="AA1050" t="s">
        <v>6950</v>
      </c>
      <c r="AB1050" t="s">
        <v>6951</v>
      </c>
      <c r="AC1050" t="s">
        <v>6952</v>
      </c>
      <c r="AD1050" t="s">
        <v>6953</v>
      </c>
    </row>
    <row r="1051" spans="1:30">
      <c r="A1051" t="s">
        <v>4604</v>
      </c>
      <c r="B1051" t="s">
        <v>4791</v>
      </c>
      <c r="C1051" t="s">
        <v>5728</v>
      </c>
      <c r="D1051" t="s">
        <v>6010</v>
      </c>
      <c r="E1051" t="s">
        <v>6011</v>
      </c>
      <c r="J1051" t="s">
        <v>6641</v>
      </c>
      <c r="M1051" t="e">
        <v>#N/A</v>
      </c>
      <c r="N1051" t="e">
        <v>#N/A</v>
      </c>
      <c r="O1051" t="e">
        <v>#N/A</v>
      </c>
      <c r="P1051" t="e">
        <v>#N/A</v>
      </c>
      <c r="R1051" t="e">
        <v>#N/A</v>
      </c>
      <c r="T1051" t="s">
        <v>5985</v>
      </c>
      <c r="U1051" t="s">
        <v>5985</v>
      </c>
      <c r="V1051" t="s">
        <v>5983</v>
      </c>
      <c r="Y1051" t="s">
        <v>6948</v>
      </c>
      <c r="Z1051" t="s">
        <v>6949</v>
      </c>
      <c r="AA1051" t="s">
        <v>6950</v>
      </c>
      <c r="AB1051" t="s">
        <v>6951</v>
      </c>
      <c r="AC1051" t="s">
        <v>6952</v>
      </c>
      <c r="AD1051" t="s">
        <v>6953</v>
      </c>
    </row>
    <row r="1052" spans="1:30">
      <c r="A1052">
        <v>11007023</v>
      </c>
      <c r="B1052" t="s">
        <v>4792</v>
      </c>
      <c r="C1052" t="s">
        <v>5729</v>
      </c>
      <c r="D1052" t="s">
        <v>6012</v>
      </c>
      <c r="E1052" t="s">
        <v>6013</v>
      </c>
      <c r="J1052" t="s">
        <v>6642</v>
      </c>
      <c r="M1052" t="e">
        <v>#N/A</v>
      </c>
      <c r="N1052" t="e">
        <v>#N/A</v>
      </c>
      <c r="O1052" t="e">
        <v>#N/A</v>
      </c>
      <c r="P1052" t="e">
        <v>#N/A</v>
      </c>
      <c r="R1052" t="e">
        <v>#N/A</v>
      </c>
      <c r="T1052" t="s">
        <v>5985</v>
      </c>
      <c r="U1052" t="s">
        <v>5985</v>
      </c>
      <c r="V1052" t="s">
        <v>5983</v>
      </c>
      <c r="Y1052" t="s">
        <v>6948</v>
      </c>
      <c r="Z1052" t="s">
        <v>6949</v>
      </c>
      <c r="AA1052" t="s">
        <v>6950</v>
      </c>
      <c r="AB1052" t="s">
        <v>6951</v>
      </c>
      <c r="AC1052" t="s">
        <v>6952</v>
      </c>
      <c r="AD1052" t="s">
        <v>6953</v>
      </c>
    </row>
    <row r="1053" spans="1:30">
      <c r="A1053" t="s">
        <v>4604</v>
      </c>
      <c r="B1053" t="s">
        <v>4793</v>
      </c>
      <c r="C1053" t="s">
        <v>5730</v>
      </c>
      <c r="D1053" t="s">
        <v>6014</v>
      </c>
      <c r="E1053" t="s">
        <v>6015</v>
      </c>
      <c r="J1053" t="s">
        <v>6643</v>
      </c>
      <c r="M1053" t="e">
        <v>#N/A</v>
      </c>
      <c r="N1053" t="e">
        <v>#N/A</v>
      </c>
      <c r="O1053" t="e">
        <v>#N/A</v>
      </c>
      <c r="P1053" t="e">
        <v>#N/A</v>
      </c>
      <c r="R1053" t="e">
        <v>#N/A</v>
      </c>
      <c r="T1053" t="s">
        <v>5985</v>
      </c>
      <c r="U1053" t="s">
        <v>5985</v>
      </c>
      <c r="V1053" t="s">
        <v>5983</v>
      </c>
      <c r="Y1053" t="s">
        <v>6948</v>
      </c>
      <c r="Z1053" t="s">
        <v>6949</v>
      </c>
      <c r="AA1053" t="s">
        <v>6950</v>
      </c>
      <c r="AB1053" t="s">
        <v>6951</v>
      </c>
      <c r="AC1053" t="s">
        <v>6952</v>
      </c>
      <c r="AD1053" t="s">
        <v>6953</v>
      </c>
    </row>
    <row r="1054" spans="1:30">
      <c r="A1054" t="s">
        <v>4604</v>
      </c>
      <c r="B1054" t="s">
        <v>4794</v>
      </c>
      <c r="C1054" t="s">
        <v>5731</v>
      </c>
      <c r="D1054" t="s">
        <v>6014</v>
      </c>
      <c r="E1054" t="s">
        <v>6015</v>
      </c>
      <c r="J1054" t="s">
        <v>6644</v>
      </c>
      <c r="M1054" t="e">
        <v>#N/A</v>
      </c>
      <c r="N1054" t="e">
        <v>#N/A</v>
      </c>
      <c r="O1054" t="e">
        <v>#N/A</v>
      </c>
      <c r="P1054" t="e">
        <v>#N/A</v>
      </c>
      <c r="R1054" t="e">
        <v>#N/A</v>
      </c>
      <c r="T1054" t="s">
        <v>5985</v>
      </c>
      <c r="U1054" t="s">
        <v>5985</v>
      </c>
      <c r="V1054" t="s">
        <v>5983</v>
      </c>
      <c r="Y1054" t="s">
        <v>6948</v>
      </c>
      <c r="Z1054" t="s">
        <v>6949</v>
      </c>
      <c r="AA1054" t="s">
        <v>6950</v>
      </c>
      <c r="AB1054" t="s">
        <v>6951</v>
      </c>
      <c r="AC1054" t="s">
        <v>6952</v>
      </c>
      <c r="AD1054" t="s">
        <v>6953</v>
      </c>
    </row>
    <row r="1055" spans="1:30">
      <c r="A1055" t="s">
        <v>4604</v>
      </c>
      <c r="B1055" t="s">
        <v>4795</v>
      </c>
      <c r="C1055" t="s">
        <v>5732</v>
      </c>
      <c r="D1055">
        <v>0</v>
      </c>
      <c r="E1055">
        <v>0</v>
      </c>
      <c r="J1055">
        <v>0</v>
      </c>
      <c r="M1055" t="e">
        <v>#N/A</v>
      </c>
      <c r="N1055" t="e">
        <v>#N/A</v>
      </c>
      <c r="O1055" t="e">
        <v>#N/A</v>
      </c>
      <c r="P1055" t="e">
        <v>#N/A</v>
      </c>
      <c r="R1055" t="e">
        <v>#N/A</v>
      </c>
      <c r="T1055">
        <v>0</v>
      </c>
      <c r="U1055">
        <v>0</v>
      </c>
      <c r="V1055" t="s">
        <v>5983</v>
      </c>
      <c r="Y1055" t="s">
        <v>6948</v>
      </c>
      <c r="Z1055" t="s">
        <v>6949</v>
      </c>
      <c r="AA1055" t="s">
        <v>6950</v>
      </c>
      <c r="AB1055" t="s">
        <v>6951</v>
      </c>
      <c r="AC1055" t="s">
        <v>6952</v>
      </c>
      <c r="AD1055" t="s">
        <v>6953</v>
      </c>
    </row>
    <row r="1056" spans="1:30">
      <c r="A1056" t="s">
        <v>4604</v>
      </c>
      <c r="B1056" t="s">
        <v>4796</v>
      </c>
      <c r="C1056" t="s">
        <v>5732</v>
      </c>
      <c r="D1056" t="s">
        <v>6014</v>
      </c>
      <c r="E1056" t="s">
        <v>6015</v>
      </c>
      <c r="J1056" t="s">
        <v>6645</v>
      </c>
      <c r="M1056" t="e">
        <v>#N/A</v>
      </c>
      <c r="N1056" t="e">
        <v>#N/A</v>
      </c>
      <c r="O1056" t="e">
        <v>#N/A</v>
      </c>
      <c r="P1056" t="e">
        <v>#N/A</v>
      </c>
      <c r="R1056" t="e">
        <v>#N/A</v>
      </c>
      <c r="T1056" t="s">
        <v>5985</v>
      </c>
      <c r="U1056" t="s">
        <v>5985</v>
      </c>
      <c r="V1056" t="s">
        <v>5983</v>
      </c>
      <c r="Y1056" t="s">
        <v>6948</v>
      </c>
      <c r="Z1056" t="s">
        <v>6949</v>
      </c>
      <c r="AA1056" t="s">
        <v>6950</v>
      </c>
      <c r="AB1056" t="s">
        <v>6951</v>
      </c>
      <c r="AC1056" t="s">
        <v>6952</v>
      </c>
      <c r="AD1056" t="s">
        <v>6953</v>
      </c>
    </row>
    <row r="1057" spans="1:30">
      <c r="A1057" t="s">
        <v>4604</v>
      </c>
      <c r="B1057" t="s">
        <v>4797</v>
      </c>
      <c r="C1057" t="s">
        <v>5733</v>
      </c>
      <c r="D1057">
        <v>0</v>
      </c>
      <c r="E1057">
        <v>0</v>
      </c>
      <c r="J1057">
        <v>0</v>
      </c>
      <c r="M1057" t="e">
        <v>#N/A</v>
      </c>
      <c r="N1057" t="e">
        <v>#N/A</v>
      </c>
      <c r="O1057" t="e">
        <v>#N/A</v>
      </c>
      <c r="P1057" t="e">
        <v>#N/A</v>
      </c>
      <c r="R1057" t="e">
        <v>#N/A</v>
      </c>
      <c r="T1057">
        <v>0</v>
      </c>
      <c r="U1057">
        <v>0</v>
      </c>
      <c r="V1057" t="s">
        <v>5983</v>
      </c>
      <c r="Y1057" t="s">
        <v>6948</v>
      </c>
      <c r="Z1057" t="s">
        <v>6949</v>
      </c>
      <c r="AA1057" t="s">
        <v>6950</v>
      </c>
      <c r="AB1057" t="s">
        <v>6951</v>
      </c>
      <c r="AC1057" t="s">
        <v>6952</v>
      </c>
      <c r="AD1057" t="s">
        <v>6953</v>
      </c>
    </row>
    <row r="1058" spans="1:30">
      <c r="A1058" t="s">
        <v>4604</v>
      </c>
      <c r="B1058" t="s">
        <v>4798</v>
      </c>
      <c r="C1058" t="s">
        <v>5733</v>
      </c>
      <c r="D1058" t="s">
        <v>6014</v>
      </c>
      <c r="E1058" t="s">
        <v>6015</v>
      </c>
      <c r="J1058" t="s">
        <v>6646</v>
      </c>
      <c r="M1058" t="e">
        <v>#N/A</v>
      </c>
      <c r="N1058" t="e">
        <v>#N/A</v>
      </c>
      <c r="O1058" t="e">
        <v>#N/A</v>
      </c>
      <c r="P1058" t="e">
        <v>#N/A</v>
      </c>
      <c r="R1058" t="e">
        <v>#N/A</v>
      </c>
      <c r="T1058" t="s">
        <v>5985</v>
      </c>
      <c r="U1058" t="s">
        <v>5985</v>
      </c>
      <c r="V1058" t="s">
        <v>5983</v>
      </c>
      <c r="Y1058" t="s">
        <v>6948</v>
      </c>
      <c r="Z1058" t="s">
        <v>6949</v>
      </c>
      <c r="AA1058" t="s">
        <v>6950</v>
      </c>
      <c r="AB1058" t="s">
        <v>6951</v>
      </c>
      <c r="AC1058" t="s">
        <v>6952</v>
      </c>
      <c r="AD1058" t="s">
        <v>6953</v>
      </c>
    </row>
    <row r="1059" spans="1:30">
      <c r="A1059">
        <v>11007015</v>
      </c>
      <c r="B1059" t="s">
        <v>4799</v>
      </c>
      <c r="C1059" t="s">
        <v>5734</v>
      </c>
      <c r="D1059" t="s">
        <v>6016</v>
      </c>
      <c r="E1059" t="s">
        <v>6017</v>
      </c>
      <c r="J1059" t="s">
        <v>6647</v>
      </c>
      <c r="M1059" t="e">
        <v>#N/A</v>
      </c>
      <c r="N1059" t="e">
        <v>#N/A</v>
      </c>
      <c r="O1059" t="e">
        <v>#N/A</v>
      </c>
      <c r="P1059" t="e">
        <v>#N/A</v>
      </c>
      <c r="R1059" t="e">
        <v>#N/A</v>
      </c>
      <c r="T1059" t="s">
        <v>5983</v>
      </c>
      <c r="U1059" t="s">
        <v>5983</v>
      </c>
      <c r="V1059" t="s">
        <v>5983</v>
      </c>
      <c r="Y1059" t="s">
        <v>6948</v>
      </c>
      <c r="Z1059" t="s">
        <v>6949</v>
      </c>
      <c r="AA1059" t="s">
        <v>6950</v>
      </c>
      <c r="AB1059" t="s">
        <v>6951</v>
      </c>
      <c r="AC1059" t="s">
        <v>6952</v>
      </c>
      <c r="AD1059" t="s">
        <v>6953</v>
      </c>
    </row>
    <row r="1060" spans="1:30">
      <c r="A1060">
        <v>11007013</v>
      </c>
      <c r="B1060" t="s">
        <v>4800</v>
      </c>
      <c r="C1060" t="s">
        <v>5735</v>
      </c>
      <c r="D1060" t="s">
        <v>6016</v>
      </c>
      <c r="E1060" t="s">
        <v>6017</v>
      </c>
      <c r="J1060" t="s">
        <v>6648</v>
      </c>
      <c r="M1060" t="e">
        <v>#N/A</v>
      </c>
      <c r="N1060" t="e">
        <v>#N/A</v>
      </c>
      <c r="O1060" t="e">
        <v>#N/A</v>
      </c>
      <c r="P1060" t="e">
        <v>#N/A</v>
      </c>
      <c r="R1060" t="e">
        <v>#N/A</v>
      </c>
      <c r="T1060" t="s">
        <v>5983</v>
      </c>
      <c r="U1060" t="s">
        <v>5983</v>
      </c>
      <c r="V1060" t="s">
        <v>5983</v>
      </c>
      <c r="Y1060" t="s">
        <v>6948</v>
      </c>
      <c r="Z1060" t="s">
        <v>6949</v>
      </c>
      <c r="AA1060" t="s">
        <v>6950</v>
      </c>
      <c r="AB1060" t="s">
        <v>6951</v>
      </c>
      <c r="AC1060" t="s">
        <v>6952</v>
      </c>
      <c r="AD1060" t="s">
        <v>6953</v>
      </c>
    </row>
    <row r="1061" spans="1:30">
      <c r="A1061" t="s">
        <v>4604</v>
      </c>
      <c r="B1061" t="s">
        <v>4801</v>
      </c>
      <c r="C1061" t="s">
        <v>5736</v>
      </c>
      <c r="D1061">
        <v>0</v>
      </c>
      <c r="E1061">
        <v>0</v>
      </c>
      <c r="J1061">
        <v>0</v>
      </c>
      <c r="M1061" t="e">
        <v>#N/A</v>
      </c>
      <c r="N1061" t="e">
        <v>#N/A</v>
      </c>
      <c r="O1061" t="e">
        <v>#N/A</v>
      </c>
      <c r="P1061" t="e">
        <v>#N/A</v>
      </c>
      <c r="R1061" t="e">
        <v>#N/A</v>
      </c>
      <c r="T1061">
        <v>0</v>
      </c>
      <c r="U1061">
        <v>0</v>
      </c>
      <c r="V1061" t="s">
        <v>5983</v>
      </c>
      <c r="Y1061" t="s">
        <v>6948</v>
      </c>
      <c r="Z1061" t="s">
        <v>6949</v>
      </c>
      <c r="AA1061" t="s">
        <v>6950</v>
      </c>
      <c r="AB1061" t="s">
        <v>6951</v>
      </c>
      <c r="AC1061" t="s">
        <v>6952</v>
      </c>
      <c r="AD1061" t="s">
        <v>6953</v>
      </c>
    </row>
    <row r="1062" spans="1:30">
      <c r="A1062" t="s">
        <v>4604</v>
      </c>
      <c r="B1062" t="s">
        <v>4802</v>
      </c>
      <c r="C1062" t="s">
        <v>5736</v>
      </c>
      <c r="D1062" t="s">
        <v>6018</v>
      </c>
      <c r="E1062" t="s">
        <v>6019</v>
      </c>
      <c r="J1062" t="s">
        <v>6649</v>
      </c>
      <c r="M1062" t="e">
        <v>#N/A</v>
      </c>
      <c r="N1062" t="e">
        <v>#N/A</v>
      </c>
      <c r="O1062" t="e">
        <v>#N/A</v>
      </c>
      <c r="P1062" t="e">
        <v>#N/A</v>
      </c>
      <c r="R1062" t="e">
        <v>#N/A</v>
      </c>
      <c r="T1062" t="s">
        <v>5985</v>
      </c>
      <c r="U1062" t="s">
        <v>5985</v>
      </c>
      <c r="V1062" t="s">
        <v>5983</v>
      </c>
      <c r="Y1062" t="s">
        <v>6948</v>
      </c>
      <c r="Z1062" t="s">
        <v>6949</v>
      </c>
      <c r="AA1062" t="s">
        <v>6950</v>
      </c>
      <c r="AB1062" t="s">
        <v>6951</v>
      </c>
      <c r="AC1062" t="s">
        <v>6952</v>
      </c>
      <c r="AD1062" t="s">
        <v>6953</v>
      </c>
    </row>
    <row r="1063" spans="1:30">
      <c r="A1063" t="s">
        <v>4604</v>
      </c>
      <c r="B1063" t="s">
        <v>4803</v>
      </c>
      <c r="C1063" t="s">
        <v>5737</v>
      </c>
      <c r="D1063">
        <v>0</v>
      </c>
      <c r="E1063">
        <v>0</v>
      </c>
      <c r="J1063">
        <v>0</v>
      </c>
      <c r="M1063" t="e">
        <v>#N/A</v>
      </c>
      <c r="N1063" t="e">
        <v>#N/A</v>
      </c>
      <c r="O1063" t="e">
        <v>#N/A</v>
      </c>
      <c r="P1063" t="e">
        <v>#N/A</v>
      </c>
      <c r="R1063" t="e">
        <v>#N/A</v>
      </c>
      <c r="T1063">
        <v>0</v>
      </c>
      <c r="U1063">
        <v>0</v>
      </c>
      <c r="V1063" t="s">
        <v>5983</v>
      </c>
      <c r="Y1063" t="s">
        <v>6948</v>
      </c>
      <c r="Z1063" t="s">
        <v>6949</v>
      </c>
      <c r="AA1063" t="s">
        <v>6950</v>
      </c>
      <c r="AB1063" t="s">
        <v>6951</v>
      </c>
      <c r="AC1063" t="s">
        <v>6952</v>
      </c>
      <c r="AD1063" t="s">
        <v>6953</v>
      </c>
    </row>
    <row r="1064" spans="1:30">
      <c r="A1064" t="s">
        <v>4604</v>
      </c>
      <c r="B1064" t="s">
        <v>4804</v>
      </c>
      <c r="C1064" t="s">
        <v>5737</v>
      </c>
      <c r="D1064" t="s">
        <v>6018</v>
      </c>
      <c r="E1064" t="s">
        <v>6019</v>
      </c>
      <c r="J1064" t="s">
        <v>6650</v>
      </c>
      <c r="M1064" t="e">
        <v>#N/A</v>
      </c>
      <c r="N1064" t="e">
        <v>#N/A</v>
      </c>
      <c r="O1064" t="e">
        <v>#N/A</v>
      </c>
      <c r="P1064" t="e">
        <v>#N/A</v>
      </c>
      <c r="R1064" t="e">
        <v>#N/A</v>
      </c>
      <c r="T1064" t="s">
        <v>5985</v>
      </c>
      <c r="U1064" t="s">
        <v>5985</v>
      </c>
      <c r="V1064" t="s">
        <v>5983</v>
      </c>
      <c r="Y1064" t="s">
        <v>6948</v>
      </c>
      <c r="Z1064" t="s">
        <v>6949</v>
      </c>
      <c r="AA1064" t="s">
        <v>6950</v>
      </c>
      <c r="AB1064" t="s">
        <v>6951</v>
      </c>
      <c r="AC1064" t="s">
        <v>6952</v>
      </c>
      <c r="AD1064" t="s">
        <v>6953</v>
      </c>
    </row>
    <row r="1065" spans="1:30">
      <c r="A1065" t="s">
        <v>4604</v>
      </c>
      <c r="B1065" t="s">
        <v>4805</v>
      </c>
      <c r="C1065" t="s">
        <v>5738</v>
      </c>
      <c r="D1065">
        <v>0</v>
      </c>
      <c r="E1065">
        <v>0</v>
      </c>
      <c r="J1065">
        <v>0</v>
      </c>
      <c r="M1065" t="e">
        <v>#N/A</v>
      </c>
      <c r="N1065" t="e">
        <v>#N/A</v>
      </c>
      <c r="O1065" t="e">
        <v>#N/A</v>
      </c>
      <c r="P1065" t="e">
        <v>#N/A</v>
      </c>
      <c r="R1065" t="e">
        <v>#N/A</v>
      </c>
      <c r="T1065">
        <v>0</v>
      </c>
      <c r="U1065">
        <v>0</v>
      </c>
      <c r="V1065" t="s">
        <v>5983</v>
      </c>
      <c r="Y1065" t="s">
        <v>6948</v>
      </c>
      <c r="Z1065" t="s">
        <v>6949</v>
      </c>
      <c r="AA1065" t="s">
        <v>6950</v>
      </c>
      <c r="AB1065" t="s">
        <v>6951</v>
      </c>
      <c r="AC1065" t="s">
        <v>6952</v>
      </c>
      <c r="AD1065" t="s">
        <v>6953</v>
      </c>
    </row>
    <row r="1066" spans="1:30">
      <c r="A1066" t="s">
        <v>4604</v>
      </c>
      <c r="B1066" t="s">
        <v>4806</v>
      </c>
      <c r="C1066" t="s">
        <v>5738</v>
      </c>
      <c r="D1066" t="s">
        <v>6018</v>
      </c>
      <c r="E1066" t="s">
        <v>6019</v>
      </c>
      <c r="J1066" t="s">
        <v>6651</v>
      </c>
      <c r="M1066" t="e">
        <v>#N/A</v>
      </c>
      <c r="N1066" t="e">
        <v>#N/A</v>
      </c>
      <c r="O1066" t="e">
        <v>#N/A</v>
      </c>
      <c r="P1066" t="e">
        <v>#N/A</v>
      </c>
      <c r="R1066" t="e">
        <v>#N/A</v>
      </c>
      <c r="T1066" t="s">
        <v>5985</v>
      </c>
      <c r="U1066" t="s">
        <v>5985</v>
      </c>
      <c r="V1066" t="s">
        <v>5983</v>
      </c>
      <c r="Y1066" t="s">
        <v>6948</v>
      </c>
      <c r="Z1066" t="s">
        <v>6949</v>
      </c>
      <c r="AA1066" t="s">
        <v>6950</v>
      </c>
      <c r="AB1066" t="s">
        <v>6951</v>
      </c>
      <c r="AC1066" t="s">
        <v>6952</v>
      </c>
      <c r="AD1066" t="s">
        <v>6953</v>
      </c>
    </row>
    <row r="1067" spans="1:30">
      <c r="A1067" t="s">
        <v>4604</v>
      </c>
      <c r="B1067" t="s">
        <v>4807</v>
      </c>
      <c r="C1067" t="s">
        <v>5739</v>
      </c>
      <c r="D1067">
        <v>0</v>
      </c>
      <c r="E1067">
        <v>0</v>
      </c>
      <c r="J1067">
        <v>0</v>
      </c>
      <c r="M1067" t="e">
        <v>#N/A</v>
      </c>
      <c r="N1067" t="e">
        <v>#N/A</v>
      </c>
      <c r="O1067" t="e">
        <v>#N/A</v>
      </c>
      <c r="P1067" t="e">
        <v>#N/A</v>
      </c>
      <c r="R1067" t="e">
        <v>#N/A</v>
      </c>
      <c r="T1067">
        <v>0</v>
      </c>
      <c r="U1067">
        <v>0</v>
      </c>
      <c r="V1067" t="s">
        <v>5983</v>
      </c>
      <c r="Y1067" t="s">
        <v>6948</v>
      </c>
      <c r="Z1067" t="s">
        <v>6949</v>
      </c>
      <c r="AA1067" t="s">
        <v>6950</v>
      </c>
      <c r="AB1067" t="s">
        <v>6951</v>
      </c>
      <c r="AC1067" t="s">
        <v>6952</v>
      </c>
      <c r="AD1067" t="s">
        <v>6953</v>
      </c>
    </row>
    <row r="1068" spans="1:30">
      <c r="A1068" t="s">
        <v>4604</v>
      </c>
      <c r="B1068" t="s">
        <v>4808</v>
      </c>
      <c r="C1068" t="s">
        <v>5739</v>
      </c>
      <c r="D1068">
        <v>0</v>
      </c>
      <c r="E1068">
        <v>0</v>
      </c>
      <c r="J1068">
        <v>0</v>
      </c>
      <c r="M1068" t="e">
        <v>#N/A</v>
      </c>
      <c r="N1068" t="e">
        <v>#N/A</v>
      </c>
      <c r="O1068" t="e">
        <v>#N/A</v>
      </c>
      <c r="P1068" t="e">
        <v>#N/A</v>
      </c>
      <c r="R1068" t="e">
        <v>#N/A</v>
      </c>
      <c r="T1068">
        <v>0</v>
      </c>
      <c r="U1068">
        <v>0</v>
      </c>
      <c r="V1068" t="s">
        <v>5983</v>
      </c>
      <c r="Y1068" t="s">
        <v>6948</v>
      </c>
      <c r="Z1068" t="s">
        <v>6949</v>
      </c>
      <c r="AA1068" t="s">
        <v>6950</v>
      </c>
      <c r="AB1068" t="s">
        <v>6951</v>
      </c>
      <c r="AC1068" t="s">
        <v>6952</v>
      </c>
      <c r="AD1068" t="s">
        <v>6953</v>
      </c>
    </row>
    <row r="1069" spans="1:30">
      <c r="A1069" t="s">
        <v>4604</v>
      </c>
      <c r="B1069" t="s">
        <v>4809</v>
      </c>
      <c r="C1069" t="s">
        <v>5740</v>
      </c>
      <c r="D1069" t="s">
        <v>6018</v>
      </c>
      <c r="E1069" t="s">
        <v>6019</v>
      </c>
      <c r="J1069" t="s">
        <v>6652</v>
      </c>
      <c r="M1069" t="e">
        <v>#N/A</v>
      </c>
      <c r="N1069" t="e">
        <v>#N/A</v>
      </c>
      <c r="O1069" t="e">
        <v>#N/A</v>
      </c>
      <c r="P1069" t="e">
        <v>#N/A</v>
      </c>
      <c r="R1069" t="e">
        <v>#N/A</v>
      </c>
      <c r="T1069" t="s">
        <v>5985</v>
      </c>
      <c r="U1069" t="s">
        <v>5985</v>
      </c>
      <c r="V1069" t="s">
        <v>5983</v>
      </c>
      <c r="Y1069" t="s">
        <v>6948</v>
      </c>
      <c r="Z1069" t="s">
        <v>6949</v>
      </c>
      <c r="AA1069" t="s">
        <v>6950</v>
      </c>
      <c r="AB1069" t="s">
        <v>6951</v>
      </c>
      <c r="AC1069" t="s">
        <v>6952</v>
      </c>
      <c r="AD1069" t="s">
        <v>6953</v>
      </c>
    </row>
    <row r="1070" spans="1:30">
      <c r="A1070" t="s">
        <v>4604</v>
      </c>
      <c r="B1070" t="s">
        <v>4810</v>
      </c>
      <c r="C1070" t="s">
        <v>5741</v>
      </c>
      <c r="D1070">
        <v>0</v>
      </c>
      <c r="E1070">
        <v>0</v>
      </c>
      <c r="J1070">
        <v>0</v>
      </c>
      <c r="M1070" t="e">
        <v>#N/A</v>
      </c>
      <c r="N1070" t="e">
        <v>#N/A</v>
      </c>
      <c r="O1070" t="e">
        <v>#N/A</v>
      </c>
      <c r="P1070" t="e">
        <v>#N/A</v>
      </c>
      <c r="R1070" t="e">
        <v>#N/A</v>
      </c>
      <c r="T1070">
        <v>0</v>
      </c>
      <c r="U1070">
        <v>0</v>
      </c>
      <c r="V1070" t="s">
        <v>5983</v>
      </c>
      <c r="Y1070" t="s">
        <v>6948</v>
      </c>
      <c r="Z1070" t="s">
        <v>6949</v>
      </c>
      <c r="AA1070" t="s">
        <v>6950</v>
      </c>
      <c r="AB1070" t="s">
        <v>6951</v>
      </c>
      <c r="AC1070" t="s">
        <v>6952</v>
      </c>
      <c r="AD1070" t="s">
        <v>6953</v>
      </c>
    </row>
    <row r="1071" spans="1:30">
      <c r="A1071" t="s">
        <v>4604</v>
      </c>
      <c r="B1071" t="s">
        <v>4811</v>
      </c>
      <c r="C1071" t="s">
        <v>5741</v>
      </c>
      <c r="D1071">
        <v>0</v>
      </c>
      <c r="E1071">
        <v>0</v>
      </c>
      <c r="J1071">
        <v>0</v>
      </c>
      <c r="M1071" t="e">
        <v>#N/A</v>
      </c>
      <c r="N1071" t="e">
        <v>#N/A</v>
      </c>
      <c r="O1071" t="e">
        <v>#N/A</v>
      </c>
      <c r="P1071" t="e">
        <v>#N/A</v>
      </c>
      <c r="R1071" t="e">
        <v>#N/A</v>
      </c>
      <c r="T1071">
        <v>0</v>
      </c>
      <c r="U1071">
        <v>0</v>
      </c>
      <c r="V1071" t="s">
        <v>5983</v>
      </c>
      <c r="Y1071" t="s">
        <v>6948</v>
      </c>
      <c r="Z1071" t="s">
        <v>6949</v>
      </c>
      <c r="AA1071" t="s">
        <v>6950</v>
      </c>
      <c r="AB1071" t="s">
        <v>6951</v>
      </c>
      <c r="AC1071" t="s">
        <v>6952</v>
      </c>
      <c r="AD1071" t="s">
        <v>6953</v>
      </c>
    </row>
    <row r="1072" spans="1:30">
      <c r="A1072" t="s">
        <v>4604</v>
      </c>
      <c r="B1072" t="s">
        <v>4812</v>
      </c>
      <c r="C1072" t="s">
        <v>5742</v>
      </c>
      <c r="D1072">
        <v>0</v>
      </c>
      <c r="E1072">
        <v>0</v>
      </c>
      <c r="J1072">
        <v>0</v>
      </c>
      <c r="M1072" t="e">
        <v>#N/A</v>
      </c>
      <c r="N1072" t="e">
        <v>#N/A</v>
      </c>
      <c r="O1072" t="e">
        <v>#N/A</v>
      </c>
      <c r="P1072" t="e">
        <v>#N/A</v>
      </c>
      <c r="R1072" t="e">
        <v>#N/A</v>
      </c>
      <c r="T1072">
        <v>0</v>
      </c>
      <c r="U1072">
        <v>0</v>
      </c>
      <c r="V1072" t="s">
        <v>5983</v>
      </c>
      <c r="Y1072" t="s">
        <v>6948</v>
      </c>
      <c r="Z1072" t="s">
        <v>6949</v>
      </c>
      <c r="AA1072" t="s">
        <v>6950</v>
      </c>
      <c r="AB1072" t="s">
        <v>6951</v>
      </c>
      <c r="AC1072" t="s">
        <v>6952</v>
      </c>
      <c r="AD1072" t="s">
        <v>6953</v>
      </c>
    </row>
    <row r="1073" spans="1:30">
      <c r="A1073" t="s">
        <v>4604</v>
      </c>
      <c r="B1073" t="s">
        <v>4813</v>
      </c>
      <c r="C1073" t="s">
        <v>5742</v>
      </c>
      <c r="D1073" t="s">
        <v>6018</v>
      </c>
      <c r="E1073" t="s">
        <v>6019</v>
      </c>
      <c r="J1073" t="s">
        <v>6653</v>
      </c>
      <c r="M1073" t="e">
        <v>#N/A</v>
      </c>
      <c r="N1073" t="e">
        <v>#N/A</v>
      </c>
      <c r="O1073" t="e">
        <v>#N/A</v>
      </c>
      <c r="P1073" t="e">
        <v>#N/A</v>
      </c>
      <c r="R1073" t="e">
        <v>#N/A</v>
      </c>
      <c r="T1073" t="s">
        <v>5983</v>
      </c>
      <c r="U1073" t="s">
        <v>5983</v>
      </c>
      <c r="V1073" t="s">
        <v>5983</v>
      </c>
      <c r="Y1073" t="s">
        <v>6948</v>
      </c>
      <c r="Z1073" t="s">
        <v>6949</v>
      </c>
      <c r="AA1073" t="s">
        <v>6950</v>
      </c>
      <c r="AB1073" t="s">
        <v>6951</v>
      </c>
      <c r="AC1073" t="s">
        <v>6952</v>
      </c>
      <c r="AD1073" t="s">
        <v>6953</v>
      </c>
    </row>
    <row r="1074" spans="1:30">
      <c r="A1074" t="s">
        <v>4604</v>
      </c>
      <c r="B1074" t="s">
        <v>4814</v>
      </c>
      <c r="C1074" t="s">
        <v>5743</v>
      </c>
      <c r="D1074">
        <v>0</v>
      </c>
      <c r="E1074">
        <v>0</v>
      </c>
      <c r="J1074">
        <v>0</v>
      </c>
      <c r="M1074" t="e">
        <v>#N/A</v>
      </c>
      <c r="N1074" t="e">
        <v>#N/A</v>
      </c>
      <c r="O1074" t="e">
        <v>#N/A</v>
      </c>
      <c r="P1074" t="e">
        <v>#N/A</v>
      </c>
      <c r="R1074" t="e">
        <v>#N/A</v>
      </c>
      <c r="T1074">
        <v>0</v>
      </c>
      <c r="U1074">
        <v>0</v>
      </c>
      <c r="V1074" t="s">
        <v>5983</v>
      </c>
      <c r="Y1074" t="s">
        <v>6948</v>
      </c>
      <c r="Z1074" t="s">
        <v>6949</v>
      </c>
      <c r="AA1074" t="s">
        <v>6950</v>
      </c>
      <c r="AB1074" t="s">
        <v>6951</v>
      </c>
      <c r="AC1074" t="s">
        <v>6952</v>
      </c>
      <c r="AD1074" t="s">
        <v>6953</v>
      </c>
    </row>
    <row r="1075" spans="1:30">
      <c r="A1075" t="s">
        <v>4604</v>
      </c>
      <c r="B1075" t="s">
        <v>4815</v>
      </c>
      <c r="C1075" t="s">
        <v>5743</v>
      </c>
      <c r="D1075">
        <v>0</v>
      </c>
      <c r="E1075">
        <v>0</v>
      </c>
      <c r="J1075">
        <v>0</v>
      </c>
      <c r="M1075" t="e">
        <v>#N/A</v>
      </c>
      <c r="N1075" t="e">
        <v>#N/A</v>
      </c>
      <c r="O1075" t="e">
        <v>#N/A</v>
      </c>
      <c r="P1075" t="e">
        <v>#N/A</v>
      </c>
      <c r="R1075" t="e">
        <v>#N/A</v>
      </c>
      <c r="T1075">
        <v>0</v>
      </c>
      <c r="U1075">
        <v>0</v>
      </c>
      <c r="V1075" t="s">
        <v>5983</v>
      </c>
      <c r="Y1075" t="s">
        <v>6948</v>
      </c>
      <c r="Z1075" t="s">
        <v>6949</v>
      </c>
      <c r="AA1075" t="s">
        <v>6950</v>
      </c>
      <c r="AB1075" t="s">
        <v>6951</v>
      </c>
      <c r="AC1075" t="s">
        <v>6952</v>
      </c>
      <c r="AD1075" t="s">
        <v>6953</v>
      </c>
    </row>
    <row r="1076" spans="1:30">
      <c r="A1076">
        <v>11007007</v>
      </c>
      <c r="B1076" t="s">
        <v>4816</v>
      </c>
      <c r="C1076" t="s">
        <v>5744</v>
      </c>
      <c r="D1076" t="s">
        <v>6018</v>
      </c>
      <c r="E1076" t="s">
        <v>6019</v>
      </c>
      <c r="J1076" t="s">
        <v>6654</v>
      </c>
      <c r="M1076" t="e">
        <v>#N/A</v>
      </c>
      <c r="N1076" t="e">
        <v>#N/A</v>
      </c>
      <c r="O1076" t="e">
        <v>#N/A</v>
      </c>
      <c r="P1076" t="e">
        <v>#N/A</v>
      </c>
      <c r="R1076" t="e">
        <v>#N/A</v>
      </c>
      <c r="T1076" t="s">
        <v>5985</v>
      </c>
      <c r="U1076" t="s">
        <v>5985</v>
      </c>
      <c r="V1076" t="s">
        <v>5983</v>
      </c>
      <c r="Y1076" t="s">
        <v>6948</v>
      </c>
      <c r="Z1076" t="s">
        <v>6949</v>
      </c>
      <c r="AA1076" t="s">
        <v>6950</v>
      </c>
      <c r="AB1076" t="s">
        <v>6951</v>
      </c>
      <c r="AC1076" t="s">
        <v>6952</v>
      </c>
      <c r="AD1076" t="s">
        <v>6953</v>
      </c>
    </row>
    <row r="1077" spans="1:30">
      <c r="A1077" t="s">
        <v>4604</v>
      </c>
      <c r="B1077" t="s">
        <v>4817</v>
      </c>
      <c r="C1077" t="s">
        <v>5745</v>
      </c>
      <c r="D1077">
        <v>0</v>
      </c>
      <c r="E1077">
        <v>0</v>
      </c>
      <c r="J1077">
        <v>0</v>
      </c>
      <c r="M1077" t="e">
        <v>#N/A</v>
      </c>
      <c r="N1077" t="e">
        <v>#N/A</v>
      </c>
      <c r="O1077" t="e">
        <v>#N/A</v>
      </c>
      <c r="P1077" t="e">
        <v>#N/A</v>
      </c>
      <c r="R1077" t="e">
        <v>#N/A</v>
      </c>
      <c r="T1077">
        <v>0</v>
      </c>
      <c r="U1077">
        <v>0</v>
      </c>
      <c r="V1077" t="s">
        <v>5983</v>
      </c>
      <c r="Y1077" t="s">
        <v>6948</v>
      </c>
      <c r="Z1077" t="s">
        <v>6949</v>
      </c>
      <c r="AA1077" t="s">
        <v>6950</v>
      </c>
      <c r="AB1077" t="s">
        <v>6951</v>
      </c>
      <c r="AC1077" t="s">
        <v>6952</v>
      </c>
      <c r="AD1077" t="s">
        <v>6953</v>
      </c>
    </row>
    <row r="1078" spans="1:30">
      <c r="A1078" t="s">
        <v>4604</v>
      </c>
      <c r="B1078" t="s">
        <v>4818</v>
      </c>
      <c r="C1078" t="s">
        <v>5745</v>
      </c>
      <c r="D1078">
        <v>0</v>
      </c>
      <c r="E1078">
        <v>0</v>
      </c>
      <c r="J1078">
        <v>0</v>
      </c>
      <c r="M1078" t="e">
        <v>#N/A</v>
      </c>
      <c r="N1078" t="e">
        <v>#N/A</v>
      </c>
      <c r="O1078" t="e">
        <v>#N/A</v>
      </c>
      <c r="P1078" t="e">
        <v>#N/A</v>
      </c>
      <c r="R1078" t="e">
        <v>#N/A</v>
      </c>
      <c r="T1078">
        <v>0</v>
      </c>
      <c r="U1078">
        <v>0</v>
      </c>
      <c r="V1078" t="s">
        <v>5983</v>
      </c>
      <c r="Y1078" t="s">
        <v>6948</v>
      </c>
      <c r="Z1078" t="s">
        <v>6949</v>
      </c>
      <c r="AA1078" t="s">
        <v>6950</v>
      </c>
      <c r="AB1078" t="s">
        <v>6951</v>
      </c>
      <c r="AC1078" t="s">
        <v>6952</v>
      </c>
      <c r="AD1078" t="s">
        <v>6953</v>
      </c>
    </row>
    <row r="1079" spans="1:30">
      <c r="A1079" t="s">
        <v>4604</v>
      </c>
      <c r="B1079" t="s">
        <v>4819</v>
      </c>
      <c r="C1079" t="s">
        <v>5746</v>
      </c>
      <c r="D1079">
        <v>0</v>
      </c>
      <c r="E1079">
        <v>0</v>
      </c>
      <c r="J1079">
        <v>0</v>
      </c>
      <c r="M1079" t="e">
        <v>#N/A</v>
      </c>
      <c r="N1079" t="e">
        <v>#N/A</v>
      </c>
      <c r="O1079" t="e">
        <v>#N/A</v>
      </c>
      <c r="P1079" t="e">
        <v>#N/A</v>
      </c>
      <c r="R1079" t="e">
        <v>#N/A</v>
      </c>
      <c r="T1079">
        <v>0</v>
      </c>
      <c r="U1079">
        <v>0</v>
      </c>
      <c r="V1079" t="s">
        <v>5983</v>
      </c>
      <c r="Y1079" t="s">
        <v>6948</v>
      </c>
      <c r="Z1079" t="s">
        <v>6949</v>
      </c>
      <c r="AA1079" t="s">
        <v>6950</v>
      </c>
      <c r="AB1079" t="s">
        <v>6951</v>
      </c>
      <c r="AC1079" t="s">
        <v>6952</v>
      </c>
      <c r="AD1079" t="s">
        <v>6953</v>
      </c>
    </row>
    <row r="1080" spans="1:30">
      <c r="A1080" t="s">
        <v>4604</v>
      </c>
      <c r="B1080" t="s">
        <v>4820</v>
      </c>
      <c r="C1080" t="s">
        <v>5746</v>
      </c>
      <c r="D1080" t="s">
        <v>6018</v>
      </c>
      <c r="E1080" t="s">
        <v>6019</v>
      </c>
      <c r="J1080" t="s">
        <v>6655</v>
      </c>
      <c r="M1080" t="e">
        <v>#N/A</v>
      </c>
      <c r="N1080" t="e">
        <v>#N/A</v>
      </c>
      <c r="O1080" t="e">
        <v>#N/A</v>
      </c>
      <c r="P1080" t="e">
        <v>#N/A</v>
      </c>
      <c r="R1080" t="e">
        <v>#N/A</v>
      </c>
      <c r="T1080" t="s">
        <v>5985</v>
      </c>
      <c r="U1080" t="s">
        <v>5985</v>
      </c>
      <c r="V1080" t="s">
        <v>5983</v>
      </c>
      <c r="Y1080" t="s">
        <v>6948</v>
      </c>
      <c r="Z1080" t="s">
        <v>6949</v>
      </c>
      <c r="AA1080" t="s">
        <v>6950</v>
      </c>
      <c r="AB1080" t="s">
        <v>6951</v>
      </c>
      <c r="AC1080" t="s">
        <v>6952</v>
      </c>
      <c r="AD1080" t="s">
        <v>6953</v>
      </c>
    </row>
    <row r="1081" spans="1:30">
      <c r="A1081" t="s">
        <v>4604</v>
      </c>
      <c r="B1081" t="s">
        <v>4821</v>
      </c>
      <c r="C1081" t="s">
        <v>5747</v>
      </c>
      <c r="D1081">
        <v>0</v>
      </c>
      <c r="E1081">
        <v>0</v>
      </c>
      <c r="J1081">
        <v>0</v>
      </c>
      <c r="M1081" t="e">
        <v>#N/A</v>
      </c>
      <c r="N1081" t="e">
        <v>#N/A</v>
      </c>
      <c r="O1081" t="e">
        <v>#N/A</v>
      </c>
      <c r="P1081" t="e">
        <v>#N/A</v>
      </c>
      <c r="R1081" t="e">
        <v>#N/A</v>
      </c>
      <c r="T1081">
        <v>0</v>
      </c>
      <c r="U1081">
        <v>0</v>
      </c>
      <c r="V1081" t="s">
        <v>5983</v>
      </c>
      <c r="Y1081" t="s">
        <v>6948</v>
      </c>
      <c r="Z1081" t="s">
        <v>6949</v>
      </c>
      <c r="AA1081" t="s">
        <v>6950</v>
      </c>
      <c r="AB1081" t="s">
        <v>6951</v>
      </c>
      <c r="AC1081" t="s">
        <v>6952</v>
      </c>
      <c r="AD1081" t="s">
        <v>6953</v>
      </c>
    </row>
    <row r="1082" spans="1:30">
      <c r="A1082" t="s">
        <v>4604</v>
      </c>
      <c r="B1082" t="s">
        <v>4822</v>
      </c>
      <c r="C1082" t="s">
        <v>5747</v>
      </c>
      <c r="D1082">
        <v>0</v>
      </c>
      <c r="E1082">
        <v>0</v>
      </c>
      <c r="J1082">
        <v>0</v>
      </c>
      <c r="M1082" t="e">
        <v>#N/A</v>
      </c>
      <c r="N1082" t="e">
        <v>#N/A</v>
      </c>
      <c r="O1082" t="e">
        <v>#N/A</v>
      </c>
      <c r="P1082" t="e">
        <v>#N/A</v>
      </c>
      <c r="R1082" t="e">
        <v>#N/A</v>
      </c>
      <c r="T1082">
        <v>0</v>
      </c>
      <c r="U1082">
        <v>0</v>
      </c>
      <c r="V1082" t="s">
        <v>5983</v>
      </c>
      <c r="Y1082" t="s">
        <v>6948</v>
      </c>
      <c r="Z1082" t="s">
        <v>6949</v>
      </c>
      <c r="AA1082" t="s">
        <v>6950</v>
      </c>
      <c r="AB1082" t="s">
        <v>6951</v>
      </c>
      <c r="AC1082" t="s">
        <v>6952</v>
      </c>
      <c r="AD1082" t="s">
        <v>6953</v>
      </c>
    </row>
    <row r="1083" spans="1:30">
      <c r="A1083" t="s">
        <v>4604</v>
      </c>
      <c r="B1083" t="s">
        <v>4823</v>
      </c>
      <c r="C1083" t="s">
        <v>5748</v>
      </c>
      <c r="D1083" t="s">
        <v>6018</v>
      </c>
      <c r="E1083" t="s">
        <v>6019</v>
      </c>
      <c r="J1083" t="s">
        <v>6656</v>
      </c>
      <c r="M1083" t="e">
        <v>#N/A</v>
      </c>
      <c r="N1083" t="e">
        <v>#N/A</v>
      </c>
      <c r="O1083" t="e">
        <v>#N/A</v>
      </c>
      <c r="P1083" t="e">
        <v>#N/A</v>
      </c>
      <c r="R1083" t="e">
        <v>#N/A</v>
      </c>
      <c r="T1083" t="s">
        <v>5985</v>
      </c>
      <c r="U1083" t="s">
        <v>5985</v>
      </c>
      <c r="V1083" t="s">
        <v>5983</v>
      </c>
      <c r="Y1083" t="s">
        <v>6948</v>
      </c>
      <c r="Z1083" t="s">
        <v>6949</v>
      </c>
      <c r="AA1083" t="s">
        <v>6950</v>
      </c>
      <c r="AB1083" t="s">
        <v>6951</v>
      </c>
      <c r="AC1083" t="s">
        <v>6952</v>
      </c>
      <c r="AD1083" t="s">
        <v>6953</v>
      </c>
    </row>
    <row r="1084" spans="1:30">
      <c r="A1084">
        <v>11007001</v>
      </c>
      <c r="B1084" t="s">
        <v>4824</v>
      </c>
      <c r="C1084" t="s">
        <v>5749</v>
      </c>
      <c r="D1084" t="s">
        <v>6020</v>
      </c>
      <c r="E1084" t="s">
        <v>6021</v>
      </c>
      <c r="J1084" t="s">
        <v>6657</v>
      </c>
      <c r="M1084" t="e">
        <v>#N/A</v>
      </c>
      <c r="N1084" t="e">
        <v>#N/A</v>
      </c>
      <c r="O1084" t="e">
        <v>#N/A</v>
      </c>
      <c r="P1084" t="e">
        <v>#N/A</v>
      </c>
      <c r="R1084" t="e">
        <v>#N/A</v>
      </c>
      <c r="T1084" t="s">
        <v>5983</v>
      </c>
      <c r="U1084" t="s">
        <v>5983</v>
      </c>
      <c r="V1084" t="s">
        <v>5983</v>
      </c>
      <c r="Y1084" t="s">
        <v>6948</v>
      </c>
      <c r="Z1084" t="s">
        <v>6949</v>
      </c>
      <c r="AA1084" t="s">
        <v>6950</v>
      </c>
      <c r="AB1084" t="s">
        <v>6951</v>
      </c>
      <c r="AC1084" t="s">
        <v>6952</v>
      </c>
      <c r="AD1084" t="s">
        <v>6953</v>
      </c>
    </row>
    <row r="1085" spans="1:30">
      <c r="A1085" t="s">
        <v>4604</v>
      </c>
      <c r="B1085" t="s">
        <v>4825</v>
      </c>
      <c r="C1085" t="s">
        <v>1116</v>
      </c>
      <c r="D1085" t="s">
        <v>6022</v>
      </c>
      <c r="E1085" t="s">
        <v>6023</v>
      </c>
      <c r="J1085" t="s">
        <v>6658</v>
      </c>
      <c r="M1085" t="e">
        <v>#N/A</v>
      </c>
      <c r="N1085" t="e">
        <v>#N/A</v>
      </c>
      <c r="O1085" t="e">
        <v>#N/A</v>
      </c>
      <c r="P1085" t="e">
        <v>#N/A</v>
      </c>
      <c r="R1085" t="e">
        <v>#N/A</v>
      </c>
      <c r="T1085" t="s">
        <v>5983</v>
      </c>
      <c r="U1085" t="s">
        <v>5983</v>
      </c>
      <c r="V1085" t="s">
        <v>5983</v>
      </c>
      <c r="Y1085" t="s">
        <v>6948</v>
      </c>
      <c r="Z1085" t="s">
        <v>6949</v>
      </c>
      <c r="AA1085" t="s">
        <v>6950</v>
      </c>
      <c r="AB1085" t="s">
        <v>6951</v>
      </c>
      <c r="AC1085" t="s">
        <v>6952</v>
      </c>
      <c r="AD1085" t="s">
        <v>6953</v>
      </c>
    </row>
    <row r="1086" spans="1:30">
      <c r="A1086" t="s">
        <v>4604</v>
      </c>
      <c r="B1086" t="s">
        <v>4826</v>
      </c>
      <c r="C1086" t="s">
        <v>5750</v>
      </c>
      <c r="D1086">
        <v>0</v>
      </c>
      <c r="E1086">
        <v>0</v>
      </c>
      <c r="J1086">
        <v>0</v>
      </c>
      <c r="M1086" t="e">
        <v>#N/A</v>
      </c>
      <c r="N1086" t="e">
        <v>#N/A</v>
      </c>
      <c r="O1086" t="e">
        <v>#N/A</v>
      </c>
      <c r="P1086" t="e">
        <v>#N/A</v>
      </c>
      <c r="R1086" t="e">
        <v>#N/A</v>
      </c>
      <c r="T1086">
        <v>0</v>
      </c>
      <c r="U1086">
        <v>0</v>
      </c>
      <c r="V1086" t="s">
        <v>5983</v>
      </c>
      <c r="Y1086" t="s">
        <v>6948</v>
      </c>
      <c r="Z1086" t="s">
        <v>6949</v>
      </c>
      <c r="AA1086" t="s">
        <v>6950</v>
      </c>
      <c r="AB1086" t="s">
        <v>6951</v>
      </c>
      <c r="AC1086" t="s">
        <v>6952</v>
      </c>
      <c r="AD1086" t="s">
        <v>6953</v>
      </c>
    </row>
    <row r="1087" spans="1:30">
      <c r="A1087" t="s">
        <v>4604</v>
      </c>
      <c r="B1087" t="s">
        <v>4827</v>
      </c>
      <c r="C1087" t="s">
        <v>5750</v>
      </c>
      <c r="D1087" t="s">
        <v>5991</v>
      </c>
      <c r="E1087" t="s">
        <v>5992</v>
      </c>
      <c r="J1087" t="s">
        <v>6659</v>
      </c>
      <c r="M1087" t="e">
        <v>#N/A</v>
      </c>
      <c r="N1087" t="e">
        <v>#N/A</v>
      </c>
      <c r="O1087" t="e">
        <v>#N/A</v>
      </c>
      <c r="P1087" t="e">
        <v>#N/A</v>
      </c>
      <c r="R1087" t="e">
        <v>#N/A</v>
      </c>
      <c r="T1087" t="s">
        <v>5985</v>
      </c>
      <c r="U1087" t="s">
        <v>5985</v>
      </c>
      <c r="V1087" t="s">
        <v>5983</v>
      </c>
      <c r="Y1087" t="s">
        <v>6948</v>
      </c>
      <c r="Z1087" t="s">
        <v>6949</v>
      </c>
      <c r="AA1087" t="s">
        <v>6950</v>
      </c>
      <c r="AB1087" t="s">
        <v>6951</v>
      </c>
      <c r="AC1087" t="s">
        <v>6952</v>
      </c>
      <c r="AD1087" t="s">
        <v>6953</v>
      </c>
    </row>
    <row r="1088" spans="1:30">
      <c r="A1088" t="s">
        <v>4604</v>
      </c>
      <c r="B1088" t="s">
        <v>4828</v>
      </c>
      <c r="C1088" t="s">
        <v>5639</v>
      </c>
      <c r="D1088">
        <v>0</v>
      </c>
      <c r="E1088">
        <v>0</v>
      </c>
      <c r="J1088">
        <v>0</v>
      </c>
      <c r="M1088" t="e">
        <v>#N/A</v>
      </c>
      <c r="N1088" t="e">
        <v>#N/A</v>
      </c>
      <c r="O1088" t="e">
        <v>#N/A</v>
      </c>
      <c r="P1088" t="e">
        <v>#N/A</v>
      </c>
      <c r="R1088" t="e">
        <v>#N/A</v>
      </c>
      <c r="T1088">
        <v>0</v>
      </c>
      <c r="U1088">
        <v>0</v>
      </c>
      <c r="V1088" t="s">
        <v>5983</v>
      </c>
      <c r="Y1088" t="s">
        <v>6948</v>
      </c>
      <c r="Z1088" t="s">
        <v>6949</v>
      </c>
      <c r="AA1088" t="s">
        <v>6950</v>
      </c>
      <c r="AB1088" t="s">
        <v>6951</v>
      </c>
      <c r="AC1088" t="s">
        <v>6952</v>
      </c>
      <c r="AD1088" t="s">
        <v>6953</v>
      </c>
    </row>
    <row r="1089" spans="1:30">
      <c r="A1089" t="s">
        <v>4604</v>
      </c>
      <c r="B1089" t="s">
        <v>4829</v>
      </c>
      <c r="C1089" t="s">
        <v>5751</v>
      </c>
      <c r="D1089" t="s">
        <v>6024</v>
      </c>
      <c r="E1089" t="s">
        <v>6019</v>
      </c>
      <c r="J1089" t="s">
        <v>6660</v>
      </c>
      <c r="M1089" t="e">
        <v>#N/A</v>
      </c>
      <c r="N1089" t="e">
        <v>#N/A</v>
      </c>
      <c r="O1089" t="e">
        <v>#N/A</v>
      </c>
      <c r="P1089" t="e">
        <v>#N/A</v>
      </c>
      <c r="R1089" t="e">
        <v>#N/A</v>
      </c>
      <c r="T1089" t="s">
        <v>5985</v>
      </c>
      <c r="U1089" t="s">
        <v>5985</v>
      </c>
      <c r="V1089" t="s">
        <v>5983</v>
      </c>
      <c r="Y1089" t="s">
        <v>6948</v>
      </c>
      <c r="Z1089" t="s">
        <v>6949</v>
      </c>
      <c r="AA1089" t="s">
        <v>6950</v>
      </c>
      <c r="AB1089" t="s">
        <v>6951</v>
      </c>
      <c r="AC1089" t="s">
        <v>6952</v>
      </c>
      <c r="AD1089" t="s">
        <v>6953</v>
      </c>
    </row>
    <row r="1090" spans="1:30">
      <c r="A1090" t="s">
        <v>4604</v>
      </c>
      <c r="B1090" t="s">
        <v>4830</v>
      </c>
      <c r="C1090" t="s">
        <v>5751</v>
      </c>
      <c r="D1090" t="s">
        <v>6018</v>
      </c>
      <c r="E1090" t="s">
        <v>6019</v>
      </c>
      <c r="J1090" t="s">
        <v>6661</v>
      </c>
      <c r="M1090" t="e">
        <v>#N/A</v>
      </c>
      <c r="N1090" t="e">
        <v>#N/A</v>
      </c>
      <c r="O1090" t="e">
        <v>#N/A</v>
      </c>
      <c r="P1090" t="e">
        <v>#N/A</v>
      </c>
      <c r="R1090" t="e">
        <v>#N/A</v>
      </c>
      <c r="T1090" t="s">
        <v>5985</v>
      </c>
      <c r="U1090" t="s">
        <v>5985</v>
      </c>
      <c r="V1090" t="s">
        <v>5983</v>
      </c>
      <c r="Y1090" t="s">
        <v>6948</v>
      </c>
      <c r="Z1090" t="s">
        <v>6949</v>
      </c>
      <c r="AA1090" t="s">
        <v>6950</v>
      </c>
      <c r="AB1090" t="s">
        <v>6951</v>
      </c>
      <c r="AC1090" t="s">
        <v>6952</v>
      </c>
      <c r="AD1090" t="s">
        <v>6953</v>
      </c>
    </row>
    <row r="1091" spans="1:30">
      <c r="A1091" t="s">
        <v>4604</v>
      </c>
      <c r="B1091" t="s">
        <v>4831</v>
      </c>
      <c r="C1091" t="s">
        <v>5619</v>
      </c>
      <c r="D1091" t="s">
        <v>6024</v>
      </c>
      <c r="E1091" t="s">
        <v>6019</v>
      </c>
      <c r="J1091" t="s">
        <v>6662</v>
      </c>
      <c r="M1091" t="e">
        <v>#N/A</v>
      </c>
      <c r="N1091" t="e">
        <v>#N/A</v>
      </c>
      <c r="O1091" t="e">
        <v>#N/A</v>
      </c>
      <c r="P1091" t="e">
        <v>#N/A</v>
      </c>
      <c r="R1091" t="e">
        <v>#N/A</v>
      </c>
      <c r="T1091" t="s">
        <v>5983</v>
      </c>
      <c r="U1091" t="s">
        <v>5983</v>
      </c>
      <c r="V1091" t="s">
        <v>5983</v>
      </c>
      <c r="Y1091" t="s">
        <v>6948</v>
      </c>
      <c r="Z1091" t="s">
        <v>6949</v>
      </c>
      <c r="AA1091" t="s">
        <v>6950</v>
      </c>
      <c r="AB1091" t="s">
        <v>6951</v>
      </c>
      <c r="AC1091" t="s">
        <v>6952</v>
      </c>
      <c r="AD1091" t="s">
        <v>6953</v>
      </c>
    </row>
    <row r="1092" spans="1:30">
      <c r="A1092" t="s">
        <v>4604</v>
      </c>
      <c r="B1092" t="s">
        <v>4832</v>
      </c>
      <c r="C1092" t="s">
        <v>5619</v>
      </c>
      <c r="D1092">
        <v>0</v>
      </c>
      <c r="E1092">
        <v>0</v>
      </c>
      <c r="J1092">
        <v>0</v>
      </c>
      <c r="M1092" t="e">
        <v>#N/A</v>
      </c>
      <c r="N1092" t="e">
        <v>#N/A</v>
      </c>
      <c r="O1092" t="e">
        <v>#N/A</v>
      </c>
      <c r="P1092" t="e">
        <v>#N/A</v>
      </c>
      <c r="R1092" t="e">
        <v>#N/A</v>
      </c>
      <c r="T1092">
        <v>0</v>
      </c>
      <c r="U1092">
        <v>0</v>
      </c>
      <c r="V1092" t="s">
        <v>5983</v>
      </c>
      <c r="Y1092" t="s">
        <v>6948</v>
      </c>
      <c r="Z1092" t="s">
        <v>6949</v>
      </c>
      <c r="AA1092" t="s">
        <v>6950</v>
      </c>
      <c r="AB1092" t="s">
        <v>6951</v>
      </c>
      <c r="AC1092" t="s">
        <v>6952</v>
      </c>
      <c r="AD1092" t="s">
        <v>6953</v>
      </c>
    </row>
    <row r="1093" spans="1:30">
      <c r="A1093" t="s">
        <v>4604</v>
      </c>
      <c r="B1093" t="s">
        <v>4833</v>
      </c>
      <c r="C1093" t="s">
        <v>5752</v>
      </c>
      <c r="D1093" t="s">
        <v>6024</v>
      </c>
      <c r="E1093" t="s">
        <v>6019</v>
      </c>
      <c r="J1093" t="s">
        <v>6663</v>
      </c>
      <c r="M1093" t="e">
        <v>#N/A</v>
      </c>
      <c r="N1093" t="e">
        <v>#N/A</v>
      </c>
      <c r="O1093" t="e">
        <v>#N/A</v>
      </c>
      <c r="P1093" t="e">
        <v>#N/A</v>
      </c>
      <c r="R1093" t="e">
        <v>#N/A</v>
      </c>
      <c r="T1093" t="s">
        <v>5985</v>
      </c>
      <c r="U1093" t="s">
        <v>5985</v>
      </c>
      <c r="V1093" t="s">
        <v>5983</v>
      </c>
      <c r="Y1093" t="s">
        <v>6948</v>
      </c>
      <c r="Z1093" t="s">
        <v>6949</v>
      </c>
      <c r="AA1093" t="s">
        <v>6950</v>
      </c>
      <c r="AB1093" t="s">
        <v>6951</v>
      </c>
      <c r="AC1093" t="s">
        <v>6952</v>
      </c>
      <c r="AD1093" t="s">
        <v>6953</v>
      </c>
    </row>
    <row r="1094" spans="1:30">
      <c r="A1094" t="s">
        <v>4604</v>
      </c>
      <c r="B1094" t="s">
        <v>4834</v>
      </c>
      <c r="C1094" t="s">
        <v>5752</v>
      </c>
      <c r="D1094" t="s">
        <v>6018</v>
      </c>
      <c r="E1094" t="s">
        <v>6019</v>
      </c>
      <c r="J1094" t="s">
        <v>6664</v>
      </c>
      <c r="M1094" t="e">
        <v>#N/A</v>
      </c>
      <c r="N1094" t="e">
        <v>#N/A</v>
      </c>
      <c r="O1094" t="e">
        <v>#N/A</v>
      </c>
      <c r="P1094" t="e">
        <v>#N/A</v>
      </c>
      <c r="R1094" t="e">
        <v>#N/A</v>
      </c>
      <c r="T1094" t="s">
        <v>5983</v>
      </c>
      <c r="U1094" t="s">
        <v>5983</v>
      </c>
      <c r="V1094" t="s">
        <v>5983</v>
      </c>
      <c r="Y1094" t="s">
        <v>6948</v>
      </c>
      <c r="Z1094" t="s">
        <v>6949</v>
      </c>
      <c r="AA1094" t="s">
        <v>6950</v>
      </c>
      <c r="AB1094" t="s">
        <v>6951</v>
      </c>
      <c r="AC1094" t="s">
        <v>6952</v>
      </c>
      <c r="AD1094" t="s">
        <v>6953</v>
      </c>
    </row>
    <row r="1095" spans="1:30">
      <c r="A1095" t="s">
        <v>4604</v>
      </c>
      <c r="B1095" t="s">
        <v>4835</v>
      </c>
      <c r="C1095" t="s">
        <v>5621</v>
      </c>
      <c r="D1095" t="s">
        <v>6024</v>
      </c>
      <c r="E1095" t="s">
        <v>6019</v>
      </c>
      <c r="J1095" t="s">
        <v>6665</v>
      </c>
      <c r="M1095" t="e">
        <v>#N/A</v>
      </c>
      <c r="N1095" t="e">
        <v>#N/A</v>
      </c>
      <c r="O1095" t="e">
        <v>#N/A</v>
      </c>
      <c r="P1095" t="e">
        <v>#N/A</v>
      </c>
      <c r="R1095" t="e">
        <v>#N/A</v>
      </c>
      <c r="T1095" t="s">
        <v>5985</v>
      </c>
      <c r="U1095" t="s">
        <v>5985</v>
      </c>
      <c r="V1095" t="s">
        <v>5983</v>
      </c>
      <c r="Y1095" t="s">
        <v>6948</v>
      </c>
      <c r="Z1095" t="s">
        <v>6949</v>
      </c>
      <c r="AA1095" t="s">
        <v>6950</v>
      </c>
      <c r="AB1095" t="s">
        <v>6951</v>
      </c>
      <c r="AC1095" t="s">
        <v>6952</v>
      </c>
      <c r="AD1095" t="s">
        <v>6953</v>
      </c>
    </row>
    <row r="1096" spans="1:30">
      <c r="A1096" t="s">
        <v>4604</v>
      </c>
      <c r="B1096" t="s">
        <v>4836</v>
      </c>
      <c r="C1096" t="s">
        <v>5621</v>
      </c>
      <c r="D1096" t="s">
        <v>6018</v>
      </c>
      <c r="E1096" t="s">
        <v>6019</v>
      </c>
      <c r="J1096" t="s">
        <v>6666</v>
      </c>
      <c r="M1096" t="e">
        <v>#N/A</v>
      </c>
      <c r="N1096" t="e">
        <v>#N/A</v>
      </c>
      <c r="O1096" t="e">
        <v>#N/A</v>
      </c>
      <c r="P1096" t="e">
        <v>#N/A</v>
      </c>
      <c r="R1096" t="e">
        <v>#N/A</v>
      </c>
      <c r="T1096" t="s">
        <v>5983</v>
      </c>
      <c r="U1096" t="s">
        <v>5983</v>
      </c>
      <c r="V1096" t="s">
        <v>5983</v>
      </c>
      <c r="Y1096" t="s">
        <v>6948</v>
      </c>
      <c r="Z1096" t="s">
        <v>6949</v>
      </c>
      <c r="AA1096" t="s">
        <v>6950</v>
      </c>
      <c r="AB1096" t="s">
        <v>6951</v>
      </c>
      <c r="AC1096" t="s">
        <v>6952</v>
      </c>
      <c r="AD1096" t="s">
        <v>6953</v>
      </c>
    </row>
    <row r="1097" spans="1:30">
      <c r="A1097" t="s">
        <v>4604</v>
      </c>
      <c r="B1097" t="s">
        <v>4837</v>
      </c>
      <c r="C1097" t="s">
        <v>5753</v>
      </c>
      <c r="D1097" t="s">
        <v>6024</v>
      </c>
      <c r="E1097" t="s">
        <v>6019</v>
      </c>
      <c r="J1097" t="s">
        <v>6667</v>
      </c>
      <c r="M1097" t="e">
        <v>#N/A</v>
      </c>
      <c r="N1097" t="e">
        <v>#N/A</v>
      </c>
      <c r="O1097" t="e">
        <v>#N/A</v>
      </c>
      <c r="P1097" t="e">
        <v>#N/A</v>
      </c>
      <c r="R1097" t="e">
        <v>#N/A</v>
      </c>
      <c r="T1097" t="s">
        <v>5985</v>
      </c>
      <c r="U1097" t="s">
        <v>5985</v>
      </c>
      <c r="V1097" t="s">
        <v>5983</v>
      </c>
      <c r="Y1097" t="s">
        <v>6948</v>
      </c>
      <c r="Z1097" t="s">
        <v>6949</v>
      </c>
      <c r="AA1097" t="s">
        <v>6950</v>
      </c>
      <c r="AB1097" t="s">
        <v>6951</v>
      </c>
      <c r="AC1097" t="s">
        <v>6952</v>
      </c>
      <c r="AD1097" t="s">
        <v>6953</v>
      </c>
    </row>
    <row r="1098" spans="1:30">
      <c r="A1098" t="s">
        <v>4604</v>
      </c>
      <c r="B1098" t="s">
        <v>4838</v>
      </c>
      <c r="C1098" t="s">
        <v>5753</v>
      </c>
      <c r="D1098" t="s">
        <v>6018</v>
      </c>
      <c r="E1098" t="s">
        <v>6019</v>
      </c>
      <c r="J1098" t="s">
        <v>6668</v>
      </c>
      <c r="M1098" t="e">
        <v>#N/A</v>
      </c>
      <c r="N1098" t="e">
        <v>#N/A</v>
      </c>
      <c r="O1098" t="e">
        <v>#N/A</v>
      </c>
      <c r="P1098" t="e">
        <v>#N/A</v>
      </c>
      <c r="R1098" t="e">
        <v>#N/A</v>
      </c>
      <c r="T1098" t="s">
        <v>5985</v>
      </c>
      <c r="U1098" t="s">
        <v>5985</v>
      </c>
      <c r="V1098" t="s">
        <v>5983</v>
      </c>
      <c r="Y1098" t="s">
        <v>6948</v>
      </c>
      <c r="Z1098" t="s">
        <v>6949</v>
      </c>
      <c r="AA1098" t="s">
        <v>6950</v>
      </c>
      <c r="AB1098" t="s">
        <v>6951</v>
      </c>
      <c r="AC1098" t="s">
        <v>6952</v>
      </c>
      <c r="AD1098" t="s">
        <v>6953</v>
      </c>
    </row>
    <row r="1099" spans="1:30">
      <c r="A1099" t="s">
        <v>4604</v>
      </c>
      <c r="B1099" t="s">
        <v>4839</v>
      </c>
      <c r="C1099" t="s">
        <v>5754</v>
      </c>
      <c r="D1099" t="s">
        <v>6024</v>
      </c>
      <c r="E1099" t="s">
        <v>6019</v>
      </c>
      <c r="J1099" t="s">
        <v>6669</v>
      </c>
      <c r="M1099" t="e">
        <v>#N/A</v>
      </c>
      <c r="N1099" t="e">
        <v>#N/A</v>
      </c>
      <c r="O1099" t="e">
        <v>#N/A</v>
      </c>
      <c r="P1099" t="e">
        <v>#N/A</v>
      </c>
      <c r="R1099" t="e">
        <v>#N/A</v>
      </c>
      <c r="T1099" t="s">
        <v>5985</v>
      </c>
      <c r="U1099" t="s">
        <v>5985</v>
      </c>
      <c r="V1099" t="s">
        <v>5983</v>
      </c>
      <c r="Y1099" t="s">
        <v>6948</v>
      </c>
      <c r="Z1099" t="s">
        <v>6949</v>
      </c>
      <c r="AA1099" t="s">
        <v>6950</v>
      </c>
      <c r="AB1099" t="s">
        <v>6951</v>
      </c>
      <c r="AC1099" t="s">
        <v>6952</v>
      </c>
      <c r="AD1099" t="s">
        <v>6953</v>
      </c>
    </row>
    <row r="1100" spans="1:30">
      <c r="A1100" t="s">
        <v>4604</v>
      </c>
      <c r="B1100" t="s">
        <v>4840</v>
      </c>
      <c r="C1100" t="s">
        <v>5754</v>
      </c>
      <c r="D1100">
        <v>0</v>
      </c>
      <c r="E1100">
        <v>0</v>
      </c>
      <c r="J1100">
        <v>0</v>
      </c>
      <c r="M1100" t="e">
        <v>#N/A</v>
      </c>
      <c r="N1100" t="e">
        <v>#N/A</v>
      </c>
      <c r="O1100" t="e">
        <v>#N/A</v>
      </c>
      <c r="P1100" t="e">
        <v>#N/A</v>
      </c>
      <c r="R1100" t="e">
        <v>#N/A</v>
      </c>
      <c r="T1100">
        <v>0</v>
      </c>
      <c r="U1100">
        <v>0</v>
      </c>
      <c r="V1100" t="s">
        <v>5983</v>
      </c>
      <c r="Y1100" t="s">
        <v>6948</v>
      </c>
      <c r="Z1100" t="s">
        <v>6949</v>
      </c>
      <c r="AA1100" t="s">
        <v>6950</v>
      </c>
      <c r="AB1100" t="s">
        <v>6951</v>
      </c>
      <c r="AC1100" t="s">
        <v>6952</v>
      </c>
      <c r="AD1100" t="s">
        <v>6953</v>
      </c>
    </row>
    <row r="1101" spans="1:30">
      <c r="A1101" t="s">
        <v>4604</v>
      </c>
      <c r="B1101" t="s">
        <v>4841</v>
      </c>
      <c r="C1101" t="s">
        <v>5755</v>
      </c>
      <c r="D1101" t="s">
        <v>6004</v>
      </c>
      <c r="E1101" t="s">
        <v>6005</v>
      </c>
      <c r="J1101" t="s">
        <v>6670</v>
      </c>
      <c r="M1101" t="e">
        <v>#N/A</v>
      </c>
      <c r="N1101" t="e">
        <v>#N/A</v>
      </c>
      <c r="O1101" t="e">
        <v>#N/A</v>
      </c>
      <c r="P1101" t="e">
        <v>#N/A</v>
      </c>
      <c r="R1101" t="e">
        <v>#N/A</v>
      </c>
      <c r="T1101" t="s">
        <v>5983</v>
      </c>
      <c r="U1101" t="s">
        <v>5983</v>
      </c>
      <c r="V1101" t="s">
        <v>5983</v>
      </c>
      <c r="Y1101" t="s">
        <v>6948</v>
      </c>
      <c r="Z1101" t="s">
        <v>6949</v>
      </c>
      <c r="AA1101" t="s">
        <v>6950</v>
      </c>
      <c r="AB1101" t="s">
        <v>6951</v>
      </c>
      <c r="AC1101" t="s">
        <v>6952</v>
      </c>
      <c r="AD1101" t="s">
        <v>6953</v>
      </c>
    </row>
    <row r="1102" spans="1:30">
      <c r="A1102" t="s">
        <v>4604</v>
      </c>
      <c r="B1102" t="s">
        <v>4842</v>
      </c>
      <c r="C1102" t="s">
        <v>5756</v>
      </c>
      <c r="D1102" t="s">
        <v>6004</v>
      </c>
      <c r="E1102" t="s">
        <v>6005</v>
      </c>
      <c r="J1102" t="s">
        <v>6671</v>
      </c>
      <c r="M1102" t="e">
        <v>#N/A</v>
      </c>
      <c r="N1102" t="e">
        <v>#N/A</v>
      </c>
      <c r="O1102" t="e">
        <v>#N/A</v>
      </c>
      <c r="P1102" t="e">
        <v>#N/A</v>
      </c>
      <c r="R1102" t="e">
        <v>#N/A</v>
      </c>
      <c r="T1102" t="s">
        <v>5985</v>
      </c>
      <c r="U1102" t="s">
        <v>5985</v>
      </c>
      <c r="V1102" t="s">
        <v>5983</v>
      </c>
      <c r="Y1102" t="s">
        <v>6948</v>
      </c>
      <c r="Z1102" t="s">
        <v>6949</v>
      </c>
      <c r="AA1102" t="s">
        <v>6950</v>
      </c>
      <c r="AB1102" t="s">
        <v>6951</v>
      </c>
      <c r="AC1102" t="s">
        <v>6952</v>
      </c>
      <c r="AD1102" t="s">
        <v>6953</v>
      </c>
    </row>
    <row r="1103" spans="1:30">
      <c r="A1103" t="s">
        <v>4604</v>
      </c>
      <c r="B1103" t="s">
        <v>4843</v>
      </c>
      <c r="C1103" t="s">
        <v>5757</v>
      </c>
      <c r="D1103" t="s">
        <v>6004</v>
      </c>
      <c r="E1103" t="s">
        <v>6005</v>
      </c>
      <c r="J1103" t="s">
        <v>6672</v>
      </c>
      <c r="M1103" t="e">
        <v>#N/A</v>
      </c>
      <c r="N1103" t="e">
        <v>#N/A</v>
      </c>
      <c r="O1103" t="e">
        <v>#N/A</v>
      </c>
      <c r="P1103" t="e">
        <v>#N/A</v>
      </c>
      <c r="R1103" t="e">
        <v>#N/A</v>
      </c>
      <c r="T1103" t="s">
        <v>5985</v>
      </c>
      <c r="U1103" t="s">
        <v>5985</v>
      </c>
      <c r="V1103" t="s">
        <v>5983</v>
      </c>
      <c r="Y1103" t="s">
        <v>6948</v>
      </c>
      <c r="Z1103" t="s">
        <v>6949</v>
      </c>
      <c r="AA1103" t="s">
        <v>6950</v>
      </c>
      <c r="AB1103" t="s">
        <v>6951</v>
      </c>
      <c r="AC1103" t="s">
        <v>6952</v>
      </c>
      <c r="AD1103" t="s">
        <v>6953</v>
      </c>
    </row>
    <row r="1104" spans="1:30">
      <c r="A1104" t="s">
        <v>4604</v>
      </c>
      <c r="B1104" t="s">
        <v>4844</v>
      </c>
      <c r="C1104" t="s">
        <v>5758</v>
      </c>
      <c r="D1104" t="s">
        <v>6004</v>
      </c>
      <c r="E1104" t="s">
        <v>6005</v>
      </c>
      <c r="J1104" t="s">
        <v>6673</v>
      </c>
      <c r="M1104" t="e">
        <v>#N/A</v>
      </c>
      <c r="N1104" t="e">
        <v>#N/A</v>
      </c>
      <c r="O1104" t="e">
        <v>#N/A</v>
      </c>
      <c r="P1104" t="e">
        <v>#N/A</v>
      </c>
      <c r="R1104" t="e">
        <v>#N/A</v>
      </c>
      <c r="T1104" t="s">
        <v>5985</v>
      </c>
      <c r="U1104" t="s">
        <v>5985</v>
      </c>
      <c r="V1104" t="s">
        <v>5983</v>
      </c>
      <c r="Y1104" t="s">
        <v>6948</v>
      </c>
      <c r="Z1104" t="s">
        <v>6949</v>
      </c>
      <c r="AA1104" t="s">
        <v>6950</v>
      </c>
      <c r="AB1104" t="s">
        <v>6951</v>
      </c>
      <c r="AC1104" t="s">
        <v>6952</v>
      </c>
      <c r="AD1104" t="s">
        <v>6953</v>
      </c>
    </row>
    <row r="1105" spans="1:30">
      <c r="A1105" t="s">
        <v>4604</v>
      </c>
      <c r="B1105" t="s">
        <v>4845</v>
      </c>
      <c r="C1105" t="s">
        <v>5759</v>
      </c>
      <c r="D1105" t="s">
        <v>6004</v>
      </c>
      <c r="E1105" t="s">
        <v>6005</v>
      </c>
      <c r="J1105" t="s">
        <v>6674</v>
      </c>
      <c r="M1105" t="e">
        <v>#N/A</v>
      </c>
      <c r="N1105" t="e">
        <v>#N/A</v>
      </c>
      <c r="O1105" t="e">
        <v>#N/A</v>
      </c>
      <c r="P1105" t="e">
        <v>#N/A</v>
      </c>
      <c r="R1105" t="e">
        <v>#N/A</v>
      </c>
      <c r="T1105" t="s">
        <v>5983</v>
      </c>
      <c r="U1105" t="s">
        <v>5983</v>
      </c>
      <c r="V1105" t="s">
        <v>5983</v>
      </c>
      <c r="Y1105" t="s">
        <v>6948</v>
      </c>
      <c r="Z1105" t="s">
        <v>6949</v>
      </c>
      <c r="AA1105" t="s">
        <v>6950</v>
      </c>
      <c r="AB1105" t="s">
        <v>6951</v>
      </c>
      <c r="AC1105" t="s">
        <v>6952</v>
      </c>
      <c r="AD1105" t="s">
        <v>6953</v>
      </c>
    </row>
    <row r="1106" spans="1:30">
      <c r="A1106" t="s">
        <v>4604</v>
      </c>
      <c r="B1106" t="s">
        <v>4846</v>
      </c>
      <c r="C1106" t="s">
        <v>5760</v>
      </c>
      <c r="D1106" t="s">
        <v>6004</v>
      </c>
      <c r="E1106" t="s">
        <v>6005</v>
      </c>
      <c r="J1106" t="s">
        <v>6675</v>
      </c>
      <c r="M1106" t="e">
        <v>#N/A</v>
      </c>
      <c r="N1106" t="e">
        <v>#N/A</v>
      </c>
      <c r="O1106" t="e">
        <v>#N/A</v>
      </c>
      <c r="P1106" t="e">
        <v>#N/A</v>
      </c>
      <c r="R1106" t="e">
        <v>#N/A</v>
      </c>
      <c r="T1106" t="s">
        <v>5983</v>
      </c>
      <c r="U1106" t="s">
        <v>5983</v>
      </c>
      <c r="V1106" t="s">
        <v>5983</v>
      </c>
      <c r="Y1106" t="s">
        <v>6948</v>
      </c>
      <c r="Z1106" t="s">
        <v>6949</v>
      </c>
      <c r="AA1106" t="s">
        <v>6950</v>
      </c>
      <c r="AB1106" t="s">
        <v>6951</v>
      </c>
      <c r="AC1106" t="s">
        <v>6952</v>
      </c>
      <c r="AD1106" t="s">
        <v>6953</v>
      </c>
    </row>
    <row r="1107" spans="1:30">
      <c r="A1107" t="s">
        <v>4604</v>
      </c>
      <c r="B1107" t="s">
        <v>4847</v>
      </c>
      <c r="C1107" t="s">
        <v>5761</v>
      </c>
      <c r="D1107" t="s">
        <v>6004</v>
      </c>
      <c r="E1107" t="s">
        <v>6005</v>
      </c>
      <c r="J1107" t="s">
        <v>6676</v>
      </c>
      <c r="M1107" t="e">
        <v>#N/A</v>
      </c>
      <c r="N1107" t="e">
        <v>#N/A</v>
      </c>
      <c r="O1107" t="e">
        <v>#N/A</v>
      </c>
      <c r="P1107" t="e">
        <v>#N/A</v>
      </c>
      <c r="R1107" t="e">
        <v>#N/A</v>
      </c>
      <c r="T1107" t="s">
        <v>5983</v>
      </c>
      <c r="U1107" t="s">
        <v>5983</v>
      </c>
      <c r="V1107" t="s">
        <v>5983</v>
      </c>
      <c r="Y1107" t="s">
        <v>6948</v>
      </c>
      <c r="Z1107" t="s">
        <v>6949</v>
      </c>
      <c r="AA1107" t="s">
        <v>6950</v>
      </c>
      <c r="AB1107" t="s">
        <v>6951</v>
      </c>
      <c r="AC1107" t="s">
        <v>6952</v>
      </c>
      <c r="AD1107" t="s">
        <v>6953</v>
      </c>
    </row>
    <row r="1108" spans="1:30">
      <c r="A1108" t="s">
        <v>4604</v>
      </c>
      <c r="B1108" t="s">
        <v>4848</v>
      </c>
      <c r="C1108" t="s">
        <v>5762</v>
      </c>
      <c r="D1108" t="s">
        <v>6004</v>
      </c>
      <c r="E1108" t="s">
        <v>6005</v>
      </c>
      <c r="J1108" t="s">
        <v>6677</v>
      </c>
      <c r="M1108" t="e">
        <v>#N/A</v>
      </c>
      <c r="N1108" t="e">
        <v>#N/A</v>
      </c>
      <c r="O1108" t="e">
        <v>#N/A</v>
      </c>
      <c r="P1108" t="e">
        <v>#N/A</v>
      </c>
      <c r="R1108" t="e">
        <v>#N/A</v>
      </c>
      <c r="T1108" t="s">
        <v>5983</v>
      </c>
      <c r="U1108" t="s">
        <v>5983</v>
      </c>
      <c r="V1108" t="s">
        <v>5983</v>
      </c>
      <c r="Y1108" t="s">
        <v>6948</v>
      </c>
      <c r="Z1108" t="s">
        <v>6949</v>
      </c>
      <c r="AA1108" t="s">
        <v>6950</v>
      </c>
      <c r="AB1108" t="s">
        <v>6951</v>
      </c>
      <c r="AC1108" t="s">
        <v>6952</v>
      </c>
      <c r="AD1108" t="s">
        <v>6953</v>
      </c>
    </row>
    <row r="1109" spans="1:30">
      <c r="A1109" t="s">
        <v>4604</v>
      </c>
      <c r="B1109" t="s">
        <v>4849</v>
      </c>
      <c r="C1109" t="s">
        <v>5763</v>
      </c>
      <c r="D1109" t="s">
        <v>6025</v>
      </c>
      <c r="E1109" t="s">
        <v>6003</v>
      </c>
      <c r="J1109" t="s">
        <v>6678</v>
      </c>
      <c r="M1109" t="e">
        <v>#N/A</v>
      </c>
      <c r="N1109" t="e">
        <v>#N/A</v>
      </c>
      <c r="O1109" t="e">
        <v>#N/A</v>
      </c>
      <c r="P1109" t="e">
        <v>#N/A</v>
      </c>
      <c r="R1109" t="e">
        <v>#N/A</v>
      </c>
      <c r="T1109" t="s">
        <v>5985</v>
      </c>
      <c r="U1109" t="s">
        <v>5985</v>
      </c>
      <c r="V1109" t="s">
        <v>5983</v>
      </c>
      <c r="Y1109" t="s">
        <v>6948</v>
      </c>
      <c r="Z1109" t="s">
        <v>6949</v>
      </c>
      <c r="AA1109" t="s">
        <v>6950</v>
      </c>
      <c r="AB1109" t="s">
        <v>6951</v>
      </c>
      <c r="AC1109" t="s">
        <v>6952</v>
      </c>
      <c r="AD1109" t="s">
        <v>6953</v>
      </c>
    </row>
    <row r="1110" spans="1:30">
      <c r="A1110" t="s">
        <v>4604</v>
      </c>
      <c r="B1110" t="s">
        <v>4850</v>
      </c>
      <c r="C1110" t="s">
        <v>5763</v>
      </c>
      <c r="D1110" t="s">
        <v>6002</v>
      </c>
      <c r="E1110" t="s">
        <v>6003</v>
      </c>
      <c r="J1110" t="s">
        <v>6679</v>
      </c>
      <c r="M1110" t="e">
        <v>#N/A</v>
      </c>
      <c r="N1110" t="e">
        <v>#N/A</v>
      </c>
      <c r="O1110" t="e">
        <v>#N/A</v>
      </c>
      <c r="P1110" t="e">
        <v>#N/A</v>
      </c>
      <c r="R1110" t="e">
        <v>#N/A</v>
      </c>
      <c r="T1110" t="s">
        <v>5983</v>
      </c>
      <c r="U1110" t="s">
        <v>5983</v>
      </c>
      <c r="V1110" t="s">
        <v>5983</v>
      </c>
      <c r="Y1110" t="s">
        <v>6948</v>
      </c>
      <c r="Z1110" t="s">
        <v>6949</v>
      </c>
      <c r="AA1110" t="s">
        <v>6950</v>
      </c>
      <c r="AB1110" t="s">
        <v>6951</v>
      </c>
      <c r="AC1110" t="s">
        <v>6952</v>
      </c>
      <c r="AD1110" t="s">
        <v>6953</v>
      </c>
    </row>
    <row r="1111" spans="1:30">
      <c r="A1111" t="s">
        <v>4604</v>
      </c>
      <c r="B1111" t="s">
        <v>4851</v>
      </c>
      <c r="C1111" t="s">
        <v>5653</v>
      </c>
      <c r="D1111" t="s">
        <v>6025</v>
      </c>
      <c r="E1111" t="s">
        <v>6003</v>
      </c>
      <c r="J1111" t="s">
        <v>6680</v>
      </c>
      <c r="M1111" t="e">
        <v>#N/A</v>
      </c>
      <c r="N1111" t="e">
        <v>#N/A</v>
      </c>
      <c r="O1111" t="e">
        <v>#N/A</v>
      </c>
      <c r="P1111" t="e">
        <v>#N/A</v>
      </c>
      <c r="R1111" t="e">
        <v>#N/A</v>
      </c>
      <c r="T1111" t="s">
        <v>5985</v>
      </c>
      <c r="U1111" t="s">
        <v>5985</v>
      </c>
      <c r="V1111" t="s">
        <v>5983</v>
      </c>
      <c r="Y1111" t="s">
        <v>6948</v>
      </c>
      <c r="Z1111" t="s">
        <v>6949</v>
      </c>
      <c r="AA1111" t="s">
        <v>6950</v>
      </c>
      <c r="AB1111" t="s">
        <v>6951</v>
      </c>
      <c r="AC1111" t="s">
        <v>6952</v>
      </c>
      <c r="AD1111" t="s">
        <v>6953</v>
      </c>
    </row>
    <row r="1112" spans="1:30">
      <c r="A1112" t="s">
        <v>4604</v>
      </c>
      <c r="B1112" t="s">
        <v>4852</v>
      </c>
      <c r="C1112" t="s">
        <v>5653</v>
      </c>
      <c r="D1112" t="s">
        <v>6002</v>
      </c>
      <c r="E1112" t="s">
        <v>6003</v>
      </c>
      <c r="J1112" t="s">
        <v>6681</v>
      </c>
      <c r="M1112" t="e">
        <v>#N/A</v>
      </c>
      <c r="N1112" t="e">
        <v>#N/A</v>
      </c>
      <c r="O1112" t="e">
        <v>#N/A</v>
      </c>
      <c r="P1112" t="e">
        <v>#N/A</v>
      </c>
      <c r="R1112" t="e">
        <v>#N/A</v>
      </c>
      <c r="T1112" t="s">
        <v>5983</v>
      </c>
      <c r="U1112" t="s">
        <v>5983</v>
      </c>
      <c r="V1112" t="s">
        <v>5983</v>
      </c>
      <c r="Y1112" t="s">
        <v>6948</v>
      </c>
      <c r="Z1112" t="s">
        <v>6949</v>
      </c>
      <c r="AA1112" t="s">
        <v>6950</v>
      </c>
      <c r="AB1112" t="s">
        <v>6951</v>
      </c>
      <c r="AC1112" t="s">
        <v>6952</v>
      </c>
      <c r="AD1112" t="s">
        <v>6953</v>
      </c>
    </row>
    <row r="1113" spans="1:30">
      <c r="A1113" t="s">
        <v>4604</v>
      </c>
      <c r="B1113" t="s">
        <v>4853</v>
      </c>
      <c r="C1113" t="s">
        <v>5764</v>
      </c>
      <c r="D1113" t="s">
        <v>6025</v>
      </c>
      <c r="E1113" t="s">
        <v>6003</v>
      </c>
      <c r="J1113" t="s">
        <v>6682</v>
      </c>
      <c r="M1113" t="e">
        <v>#N/A</v>
      </c>
      <c r="N1113" t="e">
        <v>#N/A</v>
      </c>
      <c r="O1113" t="e">
        <v>#N/A</v>
      </c>
      <c r="P1113" t="e">
        <v>#N/A</v>
      </c>
      <c r="R1113" t="e">
        <v>#N/A</v>
      </c>
      <c r="T1113" t="s">
        <v>5985</v>
      </c>
      <c r="U1113" t="s">
        <v>5985</v>
      </c>
      <c r="V1113" t="s">
        <v>5983</v>
      </c>
      <c r="Y1113" t="s">
        <v>6948</v>
      </c>
      <c r="Z1113" t="s">
        <v>6949</v>
      </c>
      <c r="AA1113" t="s">
        <v>6950</v>
      </c>
      <c r="AB1113" t="s">
        <v>6951</v>
      </c>
      <c r="AC1113" t="s">
        <v>6952</v>
      </c>
      <c r="AD1113" t="s">
        <v>6953</v>
      </c>
    </row>
    <row r="1114" spans="1:30">
      <c r="A1114" t="s">
        <v>4604</v>
      </c>
      <c r="B1114" t="s">
        <v>4854</v>
      </c>
      <c r="C1114" t="s">
        <v>5764</v>
      </c>
      <c r="D1114" t="s">
        <v>6002</v>
      </c>
      <c r="E1114" t="s">
        <v>6003</v>
      </c>
      <c r="J1114" t="s">
        <v>6682</v>
      </c>
      <c r="M1114" t="e">
        <v>#N/A</v>
      </c>
      <c r="N1114" t="e">
        <v>#N/A</v>
      </c>
      <c r="O1114" t="e">
        <v>#N/A</v>
      </c>
      <c r="P1114" t="e">
        <v>#N/A</v>
      </c>
      <c r="R1114" t="e">
        <v>#N/A</v>
      </c>
      <c r="T1114" t="s">
        <v>5985</v>
      </c>
      <c r="U1114" t="s">
        <v>5985</v>
      </c>
      <c r="V1114" t="s">
        <v>5983</v>
      </c>
      <c r="Y1114" t="s">
        <v>6948</v>
      </c>
      <c r="Z1114" t="s">
        <v>6949</v>
      </c>
      <c r="AA1114" t="s">
        <v>6950</v>
      </c>
      <c r="AB1114" t="s">
        <v>6951</v>
      </c>
      <c r="AC1114" t="s">
        <v>6952</v>
      </c>
      <c r="AD1114" t="s">
        <v>6953</v>
      </c>
    </row>
    <row r="1115" spans="1:30">
      <c r="A1115" t="s">
        <v>4604</v>
      </c>
      <c r="B1115" t="s">
        <v>4855</v>
      </c>
      <c r="C1115" t="s">
        <v>5765</v>
      </c>
      <c r="D1115" t="s">
        <v>6025</v>
      </c>
      <c r="E1115" t="s">
        <v>6003</v>
      </c>
      <c r="J1115" t="s">
        <v>6683</v>
      </c>
      <c r="M1115" t="e">
        <v>#N/A</v>
      </c>
      <c r="N1115" t="e">
        <v>#N/A</v>
      </c>
      <c r="O1115" t="e">
        <v>#N/A</v>
      </c>
      <c r="P1115" t="e">
        <v>#N/A</v>
      </c>
      <c r="R1115" t="e">
        <v>#N/A</v>
      </c>
      <c r="T1115" t="s">
        <v>5985</v>
      </c>
      <c r="U1115" t="s">
        <v>5985</v>
      </c>
      <c r="V1115" t="s">
        <v>5983</v>
      </c>
      <c r="Y1115" t="s">
        <v>6948</v>
      </c>
      <c r="Z1115" t="s">
        <v>6949</v>
      </c>
      <c r="AA1115" t="s">
        <v>6950</v>
      </c>
      <c r="AB1115" t="s">
        <v>6951</v>
      </c>
      <c r="AC1115" t="s">
        <v>6952</v>
      </c>
      <c r="AD1115" t="s">
        <v>6953</v>
      </c>
    </row>
    <row r="1116" spans="1:30">
      <c r="A1116" t="s">
        <v>4604</v>
      </c>
      <c r="B1116" t="s">
        <v>4856</v>
      </c>
      <c r="C1116" t="s">
        <v>5765</v>
      </c>
      <c r="D1116">
        <v>0</v>
      </c>
      <c r="E1116">
        <v>0</v>
      </c>
      <c r="J1116">
        <v>0</v>
      </c>
      <c r="M1116" t="e">
        <v>#N/A</v>
      </c>
      <c r="N1116" t="e">
        <v>#N/A</v>
      </c>
      <c r="O1116" t="e">
        <v>#N/A</v>
      </c>
      <c r="P1116" t="e">
        <v>#N/A</v>
      </c>
      <c r="R1116" t="e">
        <v>#N/A</v>
      </c>
      <c r="T1116">
        <v>0</v>
      </c>
      <c r="U1116">
        <v>0</v>
      </c>
      <c r="V1116" t="s">
        <v>5983</v>
      </c>
      <c r="Y1116" t="s">
        <v>6948</v>
      </c>
      <c r="Z1116" t="s">
        <v>6949</v>
      </c>
      <c r="AA1116" t="s">
        <v>6950</v>
      </c>
      <c r="AB1116" t="s">
        <v>6951</v>
      </c>
      <c r="AC1116" t="s">
        <v>6952</v>
      </c>
      <c r="AD1116" t="s">
        <v>6953</v>
      </c>
    </row>
    <row r="1117" spans="1:30">
      <c r="A1117" t="s">
        <v>4604</v>
      </c>
      <c r="B1117" t="s">
        <v>4857</v>
      </c>
      <c r="C1117" t="s">
        <v>5766</v>
      </c>
      <c r="D1117" t="s">
        <v>6022</v>
      </c>
      <c r="E1117" t="s">
        <v>6023</v>
      </c>
      <c r="J1117" t="s">
        <v>6684</v>
      </c>
      <c r="M1117" t="e">
        <v>#N/A</v>
      </c>
      <c r="N1117" t="e">
        <v>#N/A</v>
      </c>
      <c r="O1117" t="e">
        <v>#N/A</v>
      </c>
      <c r="P1117" t="e">
        <v>#N/A</v>
      </c>
      <c r="R1117" t="e">
        <v>#N/A</v>
      </c>
      <c r="T1117" t="s">
        <v>5983</v>
      </c>
      <c r="U1117" t="s">
        <v>5983</v>
      </c>
      <c r="V1117" t="s">
        <v>5983</v>
      </c>
      <c r="Y1117" t="s">
        <v>6948</v>
      </c>
      <c r="Z1117" t="s">
        <v>6949</v>
      </c>
      <c r="AA1117" t="s">
        <v>6950</v>
      </c>
      <c r="AB1117" t="s">
        <v>6951</v>
      </c>
      <c r="AC1117" t="s">
        <v>6952</v>
      </c>
      <c r="AD1117" t="s">
        <v>6953</v>
      </c>
    </row>
    <row r="1118" spans="1:30">
      <c r="A1118">
        <v>11006981</v>
      </c>
      <c r="B1118" t="s">
        <v>4858</v>
      </c>
      <c r="C1118" t="s">
        <v>5767</v>
      </c>
      <c r="D1118" t="s">
        <v>6016</v>
      </c>
      <c r="E1118" t="s">
        <v>6017</v>
      </c>
      <c r="J1118" t="s">
        <v>6685</v>
      </c>
      <c r="M1118" t="e">
        <v>#N/A</v>
      </c>
      <c r="N1118" t="e">
        <v>#N/A</v>
      </c>
      <c r="O1118" t="e">
        <v>#N/A</v>
      </c>
      <c r="P1118" t="e">
        <v>#N/A</v>
      </c>
      <c r="R1118" t="e">
        <v>#N/A</v>
      </c>
      <c r="T1118" t="s">
        <v>5983</v>
      </c>
      <c r="U1118" t="s">
        <v>5983</v>
      </c>
      <c r="V1118" t="s">
        <v>5983</v>
      </c>
      <c r="Y1118" t="s">
        <v>6948</v>
      </c>
      <c r="Z1118" t="s">
        <v>6949</v>
      </c>
      <c r="AA1118" t="s">
        <v>6950</v>
      </c>
      <c r="AB1118" t="s">
        <v>6951</v>
      </c>
      <c r="AC1118" t="s">
        <v>6952</v>
      </c>
      <c r="AD1118" t="s">
        <v>6953</v>
      </c>
    </row>
    <row r="1119" spans="1:30">
      <c r="A1119">
        <v>11006979</v>
      </c>
      <c r="B1119" t="s">
        <v>4859</v>
      </c>
      <c r="C1119" t="s">
        <v>5768</v>
      </c>
      <c r="D1119" t="s">
        <v>6016</v>
      </c>
      <c r="E1119" t="s">
        <v>6017</v>
      </c>
      <c r="J1119" t="s">
        <v>6686</v>
      </c>
      <c r="M1119" t="e">
        <v>#N/A</v>
      </c>
      <c r="N1119" t="e">
        <v>#N/A</v>
      </c>
      <c r="O1119" t="e">
        <v>#N/A</v>
      </c>
      <c r="P1119" t="e">
        <v>#N/A</v>
      </c>
      <c r="R1119" t="e">
        <v>#N/A</v>
      </c>
      <c r="T1119" t="s">
        <v>5983</v>
      </c>
      <c r="U1119" t="s">
        <v>5983</v>
      </c>
      <c r="V1119" t="s">
        <v>5983</v>
      </c>
      <c r="Y1119" t="s">
        <v>6948</v>
      </c>
      <c r="Z1119" t="s">
        <v>6949</v>
      </c>
      <c r="AA1119" t="s">
        <v>6950</v>
      </c>
      <c r="AB1119" t="s">
        <v>6951</v>
      </c>
      <c r="AC1119" t="s">
        <v>6952</v>
      </c>
      <c r="AD1119" t="s">
        <v>6953</v>
      </c>
    </row>
    <row r="1120" spans="1:30">
      <c r="A1120" t="s">
        <v>4604</v>
      </c>
      <c r="B1120" t="s">
        <v>4860</v>
      </c>
      <c r="C1120" t="s">
        <v>5769</v>
      </c>
      <c r="D1120" t="s">
        <v>5948</v>
      </c>
      <c r="E1120" t="s">
        <v>5949</v>
      </c>
      <c r="J1120" t="s">
        <v>6687</v>
      </c>
      <c r="M1120" t="e">
        <v>#N/A</v>
      </c>
      <c r="N1120" t="e">
        <v>#N/A</v>
      </c>
      <c r="O1120" t="e">
        <v>#N/A</v>
      </c>
      <c r="P1120" t="e">
        <v>#N/A</v>
      </c>
      <c r="R1120" t="e">
        <v>#N/A</v>
      </c>
      <c r="T1120" t="s">
        <v>5983</v>
      </c>
      <c r="U1120" t="s">
        <v>5983</v>
      </c>
      <c r="V1120" t="s">
        <v>5983</v>
      </c>
      <c r="Y1120" t="s">
        <v>6948</v>
      </c>
      <c r="Z1120" t="s">
        <v>6949</v>
      </c>
      <c r="AA1120" t="s">
        <v>6950</v>
      </c>
      <c r="AB1120" t="s">
        <v>6951</v>
      </c>
      <c r="AC1120" t="s">
        <v>6952</v>
      </c>
      <c r="AD1120" t="s">
        <v>6953</v>
      </c>
    </row>
    <row r="1121" spans="1:30">
      <c r="A1121" t="s">
        <v>4604</v>
      </c>
      <c r="B1121" t="s">
        <v>4861</v>
      </c>
      <c r="C1121" t="s">
        <v>5768</v>
      </c>
      <c r="D1121" t="s">
        <v>5948</v>
      </c>
      <c r="E1121" t="s">
        <v>5949</v>
      </c>
      <c r="J1121" t="s">
        <v>6688</v>
      </c>
      <c r="M1121" t="e">
        <v>#N/A</v>
      </c>
      <c r="N1121" t="e">
        <v>#N/A</v>
      </c>
      <c r="O1121" t="e">
        <v>#N/A</v>
      </c>
      <c r="P1121" t="e">
        <v>#N/A</v>
      </c>
      <c r="R1121" t="e">
        <v>#N/A</v>
      </c>
      <c r="T1121" t="s">
        <v>5983</v>
      </c>
      <c r="U1121" t="s">
        <v>5983</v>
      </c>
      <c r="V1121" t="s">
        <v>5983</v>
      </c>
      <c r="Y1121" t="s">
        <v>6948</v>
      </c>
      <c r="Z1121" t="s">
        <v>6949</v>
      </c>
      <c r="AA1121" t="s">
        <v>6950</v>
      </c>
      <c r="AB1121" t="s">
        <v>6951</v>
      </c>
      <c r="AC1121" t="s">
        <v>6952</v>
      </c>
      <c r="AD1121" t="s">
        <v>6953</v>
      </c>
    </row>
    <row r="1122" spans="1:30">
      <c r="A1122">
        <v>11006978</v>
      </c>
      <c r="B1122" t="s">
        <v>4862</v>
      </c>
      <c r="C1122" t="s">
        <v>5770</v>
      </c>
      <c r="D1122" t="s">
        <v>6026</v>
      </c>
      <c r="E1122" t="s">
        <v>6027</v>
      </c>
      <c r="J1122" t="s">
        <v>6689</v>
      </c>
      <c r="M1122" t="e">
        <v>#N/A</v>
      </c>
      <c r="N1122" t="e">
        <v>#N/A</v>
      </c>
      <c r="O1122" t="e">
        <v>#N/A</v>
      </c>
      <c r="P1122" t="e">
        <v>#N/A</v>
      </c>
      <c r="R1122" t="e">
        <v>#N/A</v>
      </c>
      <c r="T1122" t="s">
        <v>5983</v>
      </c>
      <c r="U1122" t="s">
        <v>5983</v>
      </c>
      <c r="V1122" t="s">
        <v>5983</v>
      </c>
      <c r="Y1122" t="s">
        <v>6948</v>
      </c>
      <c r="Z1122" t="s">
        <v>6949</v>
      </c>
      <c r="AA1122" t="s">
        <v>6950</v>
      </c>
      <c r="AB1122" t="s">
        <v>6951</v>
      </c>
      <c r="AC1122" t="s">
        <v>6952</v>
      </c>
      <c r="AD1122" t="s">
        <v>6953</v>
      </c>
    </row>
    <row r="1123" spans="1:30">
      <c r="A1123">
        <v>11006977</v>
      </c>
      <c r="B1123" t="s">
        <v>4863</v>
      </c>
      <c r="C1123" t="s">
        <v>5771</v>
      </c>
      <c r="D1123" t="s">
        <v>6026</v>
      </c>
      <c r="E1123" t="s">
        <v>6027</v>
      </c>
      <c r="J1123" t="s">
        <v>6690</v>
      </c>
      <c r="M1123" t="e">
        <v>#N/A</v>
      </c>
      <c r="N1123" t="e">
        <v>#N/A</v>
      </c>
      <c r="O1123" t="e">
        <v>#N/A</v>
      </c>
      <c r="P1123" t="e">
        <v>#N/A</v>
      </c>
      <c r="R1123" t="e">
        <v>#N/A</v>
      </c>
      <c r="T1123" t="s">
        <v>5983</v>
      </c>
      <c r="U1123" t="s">
        <v>5983</v>
      </c>
      <c r="V1123" t="s">
        <v>5983</v>
      </c>
      <c r="Y1123" t="s">
        <v>6948</v>
      </c>
      <c r="Z1123" t="s">
        <v>6949</v>
      </c>
      <c r="AA1123" t="s">
        <v>6950</v>
      </c>
      <c r="AB1123" t="s">
        <v>6951</v>
      </c>
      <c r="AC1123" t="s">
        <v>6952</v>
      </c>
      <c r="AD1123" t="s">
        <v>6953</v>
      </c>
    </row>
    <row r="1124" spans="1:30">
      <c r="A1124">
        <v>11006976</v>
      </c>
      <c r="B1124" t="s">
        <v>4864</v>
      </c>
      <c r="C1124" t="s">
        <v>5772</v>
      </c>
      <c r="D1124" t="s">
        <v>6026</v>
      </c>
      <c r="E1124" t="s">
        <v>6027</v>
      </c>
      <c r="J1124" t="s">
        <v>6691</v>
      </c>
      <c r="M1124" t="e">
        <v>#N/A</v>
      </c>
      <c r="N1124" t="e">
        <v>#N/A</v>
      </c>
      <c r="O1124" t="e">
        <v>#N/A</v>
      </c>
      <c r="P1124" t="e">
        <v>#N/A</v>
      </c>
      <c r="R1124" t="e">
        <v>#N/A</v>
      </c>
      <c r="T1124" t="s">
        <v>5983</v>
      </c>
      <c r="U1124" t="s">
        <v>5983</v>
      </c>
      <c r="V1124" t="s">
        <v>5983</v>
      </c>
      <c r="Y1124" t="s">
        <v>6948</v>
      </c>
      <c r="Z1124" t="s">
        <v>6949</v>
      </c>
      <c r="AA1124" t="s">
        <v>6950</v>
      </c>
      <c r="AB1124" t="s">
        <v>6951</v>
      </c>
      <c r="AC1124" t="s">
        <v>6952</v>
      </c>
      <c r="AD1124" t="s">
        <v>6953</v>
      </c>
    </row>
    <row r="1125" spans="1:30">
      <c r="A1125">
        <v>11006975</v>
      </c>
      <c r="B1125" t="s">
        <v>4865</v>
      </c>
      <c r="C1125" t="s">
        <v>5773</v>
      </c>
      <c r="D1125" t="s">
        <v>6026</v>
      </c>
      <c r="E1125" t="s">
        <v>6027</v>
      </c>
      <c r="J1125" t="s">
        <v>6692</v>
      </c>
      <c r="M1125" t="e">
        <v>#N/A</v>
      </c>
      <c r="N1125" t="e">
        <v>#N/A</v>
      </c>
      <c r="O1125" t="e">
        <v>#N/A</v>
      </c>
      <c r="P1125" t="e">
        <v>#N/A</v>
      </c>
      <c r="R1125" t="e">
        <v>#N/A</v>
      </c>
      <c r="T1125" t="s">
        <v>5983</v>
      </c>
      <c r="U1125" t="s">
        <v>5983</v>
      </c>
      <c r="V1125" t="s">
        <v>5983</v>
      </c>
      <c r="Y1125" t="s">
        <v>6948</v>
      </c>
      <c r="Z1125" t="s">
        <v>6949</v>
      </c>
      <c r="AA1125" t="s">
        <v>6950</v>
      </c>
      <c r="AB1125" t="s">
        <v>6951</v>
      </c>
      <c r="AC1125" t="s">
        <v>6952</v>
      </c>
      <c r="AD1125" t="s">
        <v>6953</v>
      </c>
    </row>
    <row r="1126" spans="1:30">
      <c r="A1126">
        <v>11006974</v>
      </c>
      <c r="B1126" t="s">
        <v>4866</v>
      </c>
      <c r="C1126" t="s">
        <v>5774</v>
      </c>
      <c r="D1126" t="s">
        <v>6028</v>
      </c>
      <c r="E1126" t="s">
        <v>5949</v>
      </c>
      <c r="J1126" t="s">
        <v>6693</v>
      </c>
      <c r="M1126" t="e">
        <v>#N/A</v>
      </c>
      <c r="N1126" t="e">
        <v>#N/A</v>
      </c>
      <c r="O1126" t="e">
        <v>#N/A</v>
      </c>
      <c r="P1126" t="e">
        <v>#N/A</v>
      </c>
      <c r="R1126" t="e">
        <v>#N/A</v>
      </c>
      <c r="T1126" t="s">
        <v>5983</v>
      </c>
      <c r="U1126" t="s">
        <v>5983</v>
      </c>
      <c r="V1126" t="s">
        <v>5983</v>
      </c>
      <c r="Y1126" t="s">
        <v>6948</v>
      </c>
      <c r="Z1126" t="s">
        <v>6949</v>
      </c>
      <c r="AA1126" t="s">
        <v>6950</v>
      </c>
      <c r="AB1126" t="s">
        <v>6951</v>
      </c>
      <c r="AC1126" t="s">
        <v>6952</v>
      </c>
      <c r="AD1126" t="s">
        <v>6953</v>
      </c>
    </row>
    <row r="1127" spans="1:30">
      <c r="A1127">
        <v>11006973</v>
      </c>
      <c r="B1127" t="s">
        <v>4867</v>
      </c>
      <c r="C1127" t="s">
        <v>5775</v>
      </c>
      <c r="D1127" t="s">
        <v>6028</v>
      </c>
      <c r="E1127" t="s">
        <v>5949</v>
      </c>
      <c r="J1127" t="s">
        <v>6694</v>
      </c>
      <c r="M1127" t="e">
        <v>#N/A</v>
      </c>
      <c r="N1127" t="e">
        <v>#N/A</v>
      </c>
      <c r="O1127" t="e">
        <v>#N/A</v>
      </c>
      <c r="P1127" t="e">
        <v>#N/A</v>
      </c>
      <c r="R1127" t="e">
        <v>#N/A</v>
      </c>
      <c r="T1127" t="s">
        <v>5983</v>
      </c>
      <c r="U1127" t="s">
        <v>5983</v>
      </c>
      <c r="V1127" t="s">
        <v>5983</v>
      </c>
      <c r="Y1127" t="s">
        <v>6948</v>
      </c>
      <c r="Z1127" t="s">
        <v>6949</v>
      </c>
      <c r="AA1127" t="s">
        <v>6950</v>
      </c>
      <c r="AB1127" t="s">
        <v>6951</v>
      </c>
      <c r="AC1127" t="s">
        <v>6952</v>
      </c>
      <c r="AD1127" t="s">
        <v>6953</v>
      </c>
    </row>
    <row r="1128" spans="1:30">
      <c r="A1128" t="s">
        <v>4604</v>
      </c>
      <c r="B1128" t="s">
        <v>4868</v>
      </c>
      <c r="C1128" t="s">
        <v>5776</v>
      </c>
      <c r="D1128" t="s">
        <v>6028</v>
      </c>
      <c r="E1128" t="s">
        <v>5949</v>
      </c>
      <c r="J1128" t="s">
        <v>6695</v>
      </c>
      <c r="M1128" t="e">
        <v>#N/A</v>
      </c>
      <c r="N1128" t="e">
        <v>#N/A</v>
      </c>
      <c r="O1128" t="e">
        <v>#N/A</v>
      </c>
      <c r="P1128" t="e">
        <v>#N/A</v>
      </c>
      <c r="R1128" t="e">
        <v>#N/A</v>
      </c>
      <c r="T1128" t="s">
        <v>5983</v>
      </c>
      <c r="U1128" t="s">
        <v>5983</v>
      </c>
      <c r="V1128" t="s">
        <v>5983</v>
      </c>
      <c r="Y1128" t="s">
        <v>6948</v>
      </c>
      <c r="Z1128" t="s">
        <v>6949</v>
      </c>
      <c r="AA1128" t="s">
        <v>6950</v>
      </c>
      <c r="AB1128" t="s">
        <v>6951</v>
      </c>
      <c r="AC1128" t="s">
        <v>6952</v>
      </c>
      <c r="AD1128" t="s">
        <v>6953</v>
      </c>
    </row>
    <row r="1129" spans="1:30">
      <c r="A1129" t="s">
        <v>4604</v>
      </c>
      <c r="B1129" t="s">
        <v>4869</v>
      </c>
      <c r="C1129" t="s">
        <v>5777</v>
      </c>
      <c r="D1129" t="s">
        <v>6028</v>
      </c>
      <c r="E1129" t="s">
        <v>5949</v>
      </c>
      <c r="J1129" t="s">
        <v>6696</v>
      </c>
      <c r="M1129" t="e">
        <v>#N/A</v>
      </c>
      <c r="N1129" t="e">
        <v>#N/A</v>
      </c>
      <c r="O1129" t="e">
        <v>#N/A</v>
      </c>
      <c r="P1129" t="e">
        <v>#N/A</v>
      </c>
      <c r="R1129" t="e">
        <v>#N/A</v>
      </c>
      <c r="T1129" t="s">
        <v>5983</v>
      </c>
      <c r="U1129" t="s">
        <v>5983</v>
      </c>
      <c r="V1129" t="s">
        <v>5983</v>
      </c>
      <c r="Y1129" t="s">
        <v>6948</v>
      </c>
      <c r="Z1129" t="s">
        <v>6949</v>
      </c>
      <c r="AA1129" t="s">
        <v>6950</v>
      </c>
      <c r="AB1129" t="s">
        <v>6951</v>
      </c>
      <c r="AC1129" t="s">
        <v>6952</v>
      </c>
      <c r="AD1129" t="s">
        <v>6953</v>
      </c>
    </row>
    <row r="1130" spans="1:30">
      <c r="A1130">
        <v>11006972</v>
      </c>
      <c r="B1130" t="s">
        <v>4870</v>
      </c>
      <c r="C1130" t="s">
        <v>5778</v>
      </c>
      <c r="D1130" t="s">
        <v>6029</v>
      </c>
      <c r="E1130" t="s">
        <v>5949</v>
      </c>
      <c r="J1130" t="s">
        <v>6697</v>
      </c>
      <c r="M1130" t="e">
        <v>#N/A</v>
      </c>
      <c r="N1130" t="e">
        <v>#N/A</v>
      </c>
      <c r="O1130" t="e">
        <v>#N/A</v>
      </c>
      <c r="P1130" t="e">
        <v>#N/A</v>
      </c>
      <c r="R1130" t="e">
        <v>#N/A</v>
      </c>
      <c r="T1130" t="s">
        <v>5983</v>
      </c>
      <c r="U1130" t="s">
        <v>5985</v>
      </c>
      <c r="V1130" t="s">
        <v>5983</v>
      </c>
      <c r="Y1130" t="s">
        <v>6948</v>
      </c>
      <c r="Z1130" t="s">
        <v>6949</v>
      </c>
      <c r="AA1130" t="s">
        <v>6950</v>
      </c>
      <c r="AB1130" t="s">
        <v>6951</v>
      </c>
      <c r="AC1130" t="s">
        <v>6952</v>
      </c>
      <c r="AD1130" t="s">
        <v>6953</v>
      </c>
    </row>
    <row r="1131" spans="1:30">
      <c r="A1131" t="s">
        <v>4604</v>
      </c>
      <c r="B1131" t="s">
        <v>4871</v>
      </c>
      <c r="C1131" t="s">
        <v>5779</v>
      </c>
      <c r="D1131" t="s">
        <v>6029</v>
      </c>
      <c r="E1131" t="s">
        <v>5949</v>
      </c>
      <c r="J1131" t="s">
        <v>6698</v>
      </c>
      <c r="M1131" t="e">
        <v>#N/A</v>
      </c>
      <c r="N1131" t="e">
        <v>#N/A</v>
      </c>
      <c r="O1131" t="e">
        <v>#N/A</v>
      </c>
      <c r="P1131" t="e">
        <v>#N/A</v>
      </c>
      <c r="R1131" t="e">
        <v>#N/A</v>
      </c>
      <c r="T1131" t="s">
        <v>5983</v>
      </c>
      <c r="U1131" t="s">
        <v>5983</v>
      </c>
      <c r="V1131" t="s">
        <v>5983</v>
      </c>
      <c r="Y1131" t="s">
        <v>6948</v>
      </c>
      <c r="Z1131" t="s">
        <v>6949</v>
      </c>
      <c r="AA1131" t="s">
        <v>6950</v>
      </c>
      <c r="AB1131" t="s">
        <v>6951</v>
      </c>
      <c r="AC1131" t="s">
        <v>6952</v>
      </c>
      <c r="AD1131" t="s">
        <v>6953</v>
      </c>
    </row>
    <row r="1132" spans="1:30">
      <c r="A1132" t="s">
        <v>4604</v>
      </c>
      <c r="B1132" t="s">
        <v>4872</v>
      </c>
      <c r="C1132" t="s">
        <v>5780</v>
      </c>
      <c r="D1132">
        <v>0</v>
      </c>
      <c r="E1132">
        <v>0</v>
      </c>
      <c r="J1132" t="s">
        <v>6699</v>
      </c>
      <c r="M1132" t="e">
        <v>#N/A</v>
      </c>
      <c r="N1132" t="e">
        <v>#N/A</v>
      </c>
      <c r="O1132" t="e">
        <v>#N/A</v>
      </c>
      <c r="P1132" t="e">
        <v>#N/A</v>
      </c>
      <c r="R1132" t="e">
        <v>#N/A</v>
      </c>
      <c r="T1132">
        <v>0</v>
      </c>
      <c r="U1132">
        <v>0</v>
      </c>
      <c r="V1132" t="s">
        <v>5983</v>
      </c>
      <c r="Y1132" t="s">
        <v>6948</v>
      </c>
      <c r="Z1132" t="s">
        <v>6949</v>
      </c>
      <c r="AA1132" t="s">
        <v>6950</v>
      </c>
      <c r="AB1132" t="s">
        <v>6951</v>
      </c>
      <c r="AC1132" t="s">
        <v>6952</v>
      </c>
      <c r="AD1132" t="s">
        <v>6953</v>
      </c>
    </row>
    <row r="1133" spans="1:30">
      <c r="A1133" t="s">
        <v>4604</v>
      </c>
      <c r="B1133" t="s">
        <v>4873</v>
      </c>
      <c r="C1133" t="s">
        <v>5781</v>
      </c>
      <c r="D1133">
        <v>0</v>
      </c>
      <c r="E1133">
        <v>0</v>
      </c>
      <c r="J1133" t="s">
        <v>6700</v>
      </c>
      <c r="M1133" t="e">
        <v>#N/A</v>
      </c>
      <c r="N1133" t="e">
        <v>#N/A</v>
      </c>
      <c r="O1133" t="e">
        <v>#N/A</v>
      </c>
      <c r="P1133" t="e">
        <v>#N/A</v>
      </c>
      <c r="R1133" t="e">
        <v>#N/A</v>
      </c>
      <c r="T1133">
        <v>0</v>
      </c>
      <c r="U1133">
        <v>0</v>
      </c>
      <c r="V1133" t="s">
        <v>5983</v>
      </c>
      <c r="Y1133" t="s">
        <v>6948</v>
      </c>
      <c r="Z1133" t="s">
        <v>6949</v>
      </c>
      <c r="AA1133" t="s">
        <v>6950</v>
      </c>
      <c r="AB1133" t="s">
        <v>6951</v>
      </c>
      <c r="AC1133" t="s">
        <v>6952</v>
      </c>
      <c r="AD1133" t="s">
        <v>6953</v>
      </c>
    </row>
    <row r="1134" spans="1:30">
      <c r="A1134" t="s">
        <v>4604</v>
      </c>
      <c r="B1134" t="s">
        <v>4874</v>
      </c>
      <c r="C1134" t="s">
        <v>5782</v>
      </c>
      <c r="D1134">
        <v>0</v>
      </c>
      <c r="E1134">
        <v>0</v>
      </c>
      <c r="J1134">
        <v>0</v>
      </c>
      <c r="M1134" t="e">
        <v>#N/A</v>
      </c>
      <c r="N1134" t="e">
        <v>#N/A</v>
      </c>
      <c r="O1134" t="e">
        <v>#N/A</v>
      </c>
      <c r="P1134" t="e">
        <v>#N/A</v>
      </c>
      <c r="R1134" t="e">
        <v>#N/A</v>
      </c>
      <c r="T1134">
        <v>0</v>
      </c>
      <c r="U1134">
        <v>0</v>
      </c>
      <c r="V1134" t="s">
        <v>5983</v>
      </c>
      <c r="Y1134" t="s">
        <v>6948</v>
      </c>
      <c r="Z1134" t="s">
        <v>6949</v>
      </c>
      <c r="AA1134" t="s">
        <v>6950</v>
      </c>
      <c r="AB1134" t="s">
        <v>6951</v>
      </c>
      <c r="AC1134" t="s">
        <v>6952</v>
      </c>
      <c r="AD1134" t="s">
        <v>6953</v>
      </c>
    </row>
    <row r="1135" spans="1:30">
      <c r="A1135" t="s">
        <v>4604</v>
      </c>
      <c r="B1135" t="s">
        <v>4875</v>
      </c>
      <c r="C1135" t="s">
        <v>5783</v>
      </c>
      <c r="D1135">
        <v>0</v>
      </c>
      <c r="E1135">
        <v>0</v>
      </c>
      <c r="J1135">
        <v>0</v>
      </c>
      <c r="M1135" t="e">
        <v>#N/A</v>
      </c>
      <c r="N1135" t="e">
        <v>#N/A</v>
      </c>
      <c r="O1135" t="e">
        <v>#N/A</v>
      </c>
      <c r="P1135" t="e">
        <v>#N/A</v>
      </c>
      <c r="R1135" t="e">
        <v>#N/A</v>
      </c>
      <c r="T1135">
        <v>0</v>
      </c>
      <c r="U1135">
        <v>0</v>
      </c>
      <c r="V1135" t="s">
        <v>5983</v>
      </c>
      <c r="Y1135" t="s">
        <v>6948</v>
      </c>
      <c r="Z1135" t="s">
        <v>6949</v>
      </c>
      <c r="AA1135" t="s">
        <v>6950</v>
      </c>
      <c r="AB1135" t="s">
        <v>6951</v>
      </c>
      <c r="AC1135" t="s">
        <v>6952</v>
      </c>
      <c r="AD1135" t="s">
        <v>6953</v>
      </c>
    </row>
    <row r="1136" spans="1:30">
      <c r="A1136" t="s">
        <v>4604</v>
      </c>
      <c r="B1136" t="s">
        <v>4876</v>
      </c>
      <c r="C1136" t="s">
        <v>5784</v>
      </c>
      <c r="D1136">
        <v>0</v>
      </c>
      <c r="E1136">
        <v>0</v>
      </c>
      <c r="J1136">
        <v>0</v>
      </c>
      <c r="M1136" t="e">
        <v>#N/A</v>
      </c>
      <c r="N1136" t="e">
        <v>#N/A</v>
      </c>
      <c r="O1136" t="e">
        <v>#N/A</v>
      </c>
      <c r="P1136" t="e">
        <v>#N/A</v>
      </c>
      <c r="R1136" t="e">
        <v>#N/A</v>
      </c>
      <c r="T1136">
        <v>0</v>
      </c>
      <c r="U1136">
        <v>0</v>
      </c>
      <c r="V1136" t="s">
        <v>5983</v>
      </c>
      <c r="Y1136" t="s">
        <v>6948</v>
      </c>
      <c r="Z1136" t="s">
        <v>6949</v>
      </c>
      <c r="AA1136" t="s">
        <v>6950</v>
      </c>
      <c r="AB1136" t="s">
        <v>6951</v>
      </c>
      <c r="AC1136" t="s">
        <v>6952</v>
      </c>
      <c r="AD1136" t="s">
        <v>6953</v>
      </c>
    </row>
    <row r="1137" spans="1:30">
      <c r="A1137" t="s">
        <v>4604</v>
      </c>
      <c r="B1137" t="s">
        <v>4877</v>
      </c>
      <c r="C1137" t="s">
        <v>5745</v>
      </c>
      <c r="D1137">
        <v>0</v>
      </c>
      <c r="E1137">
        <v>0</v>
      </c>
      <c r="J1137">
        <v>0</v>
      </c>
      <c r="M1137" t="e">
        <v>#N/A</v>
      </c>
      <c r="N1137" t="e">
        <v>#N/A</v>
      </c>
      <c r="O1137" t="e">
        <v>#N/A</v>
      </c>
      <c r="P1137" t="e">
        <v>#N/A</v>
      </c>
      <c r="R1137" t="e">
        <v>#N/A</v>
      </c>
      <c r="T1137">
        <v>0</v>
      </c>
      <c r="U1137">
        <v>0</v>
      </c>
      <c r="V1137" t="s">
        <v>5983</v>
      </c>
      <c r="Y1137" t="s">
        <v>6948</v>
      </c>
      <c r="Z1137" t="s">
        <v>6949</v>
      </c>
      <c r="AA1137" t="s">
        <v>6950</v>
      </c>
      <c r="AB1137" t="s">
        <v>6951</v>
      </c>
      <c r="AC1137" t="s">
        <v>6952</v>
      </c>
      <c r="AD1137" t="s">
        <v>6953</v>
      </c>
    </row>
    <row r="1138" spans="1:30">
      <c r="A1138" t="s">
        <v>4604</v>
      </c>
      <c r="B1138" t="s">
        <v>4878</v>
      </c>
      <c r="C1138" t="s">
        <v>5785</v>
      </c>
      <c r="D1138">
        <v>0</v>
      </c>
      <c r="E1138">
        <v>0</v>
      </c>
      <c r="J1138">
        <v>0</v>
      </c>
      <c r="M1138" t="e">
        <v>#N/A</v>
      </c>
      <c r="N1138" t="e">
        <v>#N/A</v>
      </c>
      <c r="O1138" t="e">
        <v>#N/A</v>
      </c>
      <c r="P1138" t="e">
        <v>#N/A</v>
      </c>
      <c r="R1138" t="e">
        <v>#N/A</v>
      </c>
      <c r="T1138">
        <v>0</v>
      </c>
      <c r="U1138">
        <v>0</v>
      </c>
      <c r="V1138" t="s">
        <v>5983</v>
      </c>
      <c r="Y1138" t="s">
        <v>6948</v>
      </c>
      <c r="Z1138" t="s">
        <v>6949</v>
      </c>
      <c r="AA1138" t="s">
        <v>6950</v>
      </c>
      <c r="AB1138" t="s">
        <v>6951</v>
      </c>
      <c r="AC1138" t="s">
        <v>6952</v>
      </c>
      <c r="AD1138" t="s">
        <v>6953</v>
      </c>
    </row>
    <row r="1139" spans="1:30">
      <c r="A1139" t="s">
        <v>4604</v>
      </c>
      <c r="B1139" t="s">
        <v>4879</v>
      </c>
      <c r="C1139" t="s">
        <v>5785</v>
      </c>
      <c r="D1139">
        <v>0</v>
      </c>
      <c r="E1139">
        <v>0</v>
      </c>
      <c r="J1139">
        <v>0</v>
      </c>
      <c r="M1139" t="e">
        <v>#N/A</v>
      </c>
      <c r="N1139" t="e">
        <v>#N/A</v>
      </c>
      <c r="O1139" t="e">
        <v>#N/A</v>
      </c>
      <c r="P1139" t="e">
        <v>#N/A</v>
      </c>
      <c r="R1139" t="e">
        <v>#N/A</v>
      </c>
      <c r="T1139">
        <v>0</v>
      </c>
      <c r="U1139">
        <v>0</v>
      </c>
      <c r="V1139" t="s">
        <v>5983</v>
      </c>
      <c r="Y1139" t="s">
        <v>6948</v>
      </c>
      <c r="Z1139" t="s">
        <v>6949</v>
      </c>
      <c r="AA1139" t="s">
        <v>6950</v>
      </c>
      <c r="AB1139" t="s">
        <v>6951</v>
      </c>
      <c r="AC1139" t="s">
        <v>6952</v>
      </c>
      <c r="AD1139" t="s">
        <v>6953</v>
      </c>
    </row>
    <row r="1140" spans="1:30">
      <c r="A1140" t="s">
        <v>4604</v>
      </c>
      <c r="B1140" t="s">
        <v>4880</v>
      </c>
      <c r="C1140" t="s">
        <v>1089</v>
      </c>
      <c r="D1140">
        <v>0</v>
      </c>
      <c r="E1140">
        <v>0</v>
      </c>
      <c r="J1140">
        <v>0</v>
      </c>
      <c r="M1140" t="e">
        <v>#N/A</v>
      </c>
      <c r="N1140" t="e">
        <v>#N/A</v>
      </c>
      <c r="O1140" t="e">
        <v>#N/A</v>
      </c>
      <c r="P1140" t="e">
        <v>#N/A</v>
      </c>
      <c r="R1140" t="e">
        <v>#N/A</v>
      </c>
      <c r="T1140">
        <v>0</v>
      </c>
      <c r="U1140">
        <v>0</v>
      </c>
      <c r="V1140" t="s">
        <v>5983</v>
      </c>
      <c r="Y1140" t="s">
        <v>6948</v>
      </c>
      <c r="Z1140" t="s">
        <v>6949</v>
      </c>
      <c r="AA1140" t="s">
        <v>6950</v>
      </c>
      <c r="AB1140" t="s">
        <v>6951</v>
      </c>
      <c r="AC1140" t="s">
        <v>6952</v>
      </c>
      <c r="AD1140" t="s">
        <v>6953</v>
      </c>
    </row>
    <row r="1141" spans="1:30">
      <c r="A1141" t="s">
        <v>4604</v>
      </c>
      <c r="B1141" t="s">
        <v>4881</v>
      </c>
      <c r="C1141" t="s">
        <v>1089</v>
      </c>
      <c r="D1141">
        <v>0</v>
      </c>
      <c r="E1141">
        <v>0</v>
      </c>
      <c r="J1141">
        <v>0</v>
      </c>
      <c r="M1141" t="e">
        <v>#N/A</v>
      </c>
      <c r="N1141" t="e">
        <v>#N/A</v>
      </c>
      <c r="O1141" t="e">
        <v>#N/A</v>
      </c>
      <c r="P1141" t="e">
        <v>#N/A</v>
      </c>
      <c r="R1141" t="e">
        <v>#N/A</v>
      </c>
      <c r="T1141">
        <v>0</v>
      </c>
      <c r="U1141">
        <v>0</v>
      </c>
      <c r="V1141" t="s">
        <v>5983</v>
      </c>
      <c r="Y1141" t="s">
        <v>6948</v>
      </c>
      <c r="Z1141" t="s">
        <v>6949</v>
      </c>
      <c r="AA1141" t="s">
        <v>6950</v>
      </c>
      <c r="AB1141" t="s">
        <v>6951</v>
      </c>
      <c r="AC1141" t="s">
        <v>6952</v>
      </c>
      <c r="AD1141" t="s">
        <v>6953</v>
      </c>
    </row>
    <row r="1142" spans="1:30">
      <c r="A1142" t="s">
        <v>4604</v>
      </c>
      <c r="B1142" t="s">
        <v>4882</v>
      </c>
      <c r="C1142" t="s">
        <v>1089</v>
      </c>
      <c r="D1142">
        <v>0</v>
      </c>
      <c r="E1142">
        <v>0</v>
      </c>
      <c r="J1142">
        <v>0</v>
      </c>
      <c r="M1142" t="e">
        <v>#N/A</v>
      </c>
      <c r="N1142" t="e">
        <v>#N/A</v>
      </c>
      <c r="O1142" t="e">
        <v>#N/A</v>
      </c>
      <c r="P1142" t="e">
        <v>#N/A</v>
      </c>
      <c r="R1142" t="e">
        <v>#N/A</v>
      </c>
      <c r="T1142">
        <v>0</v>
      </c>
      <c r="U1142">
        <v>0</v>
      </c>
      <c r="V1142" t="s">
        <v>5983</v>
      </c>
      <c r="Y1142" t="s">
        <v>6948</v>
      </c>
      <c r="Z1142" t="s">
        <v>6949</v>
      </c>
      <c r="AA1142" t="s">
        <v>6950</v>
      </c>
      <c r="AB1142" t="s">
        <v>6951</v>
      </c>
      <c r="AC1142" t="s">
        <v>6952</v>
      </c>
      <c r="AD1142" t="s">
        <v>6953</v>
      </c>
    </row>
    <row r="1143" spans="1:30">
      <c r="A1143" t="s">
        <v>4604</v>
      </c>
      <c r="B1143" t="s">
        <v>4883</v>
      </c>
      <c r="C1143" t="s">
        <v>5747</v>
      </c>
      <c r="D1143">
        <v>0</v>
      </c>
      <c r="E1143">
        <v>0</v>
      </c>
      <c r="J1143">
        <v>0</v>
      </c>
      <c r="M1143" t="e">
        <v>#N/A</v>
      </c>
      <c r="N1143" t="e">
        <v>#N/A</v>
      </c>
      <c r="O1143" t="e">
        <v>#N/A</v>
      </c>
      <c r="P1143" t="e">
        <v>#N/A</v>
      </c>
      <c r="R1143" t="e">
        <v>#N/A</v>
      </c>
      <c r="T1143">
        <v>0</v>
      </c>
      <c r="U1143">
        <v>0</v>
      </c>
      <c r="V1143" t="s">
        <v>5983</v>
      </c>
      <c r="Y1143" t="s">
        <v>6948</v>
      </c>
      <c r="Z1143" t="s">
        <v>6949</v>
      </c>
      <c r="AA1143" t="s">
        <v>6950</v>
      </c>
      <c r="AB1143" t="s">
        <v>6951</v>
      </c>
      <c r="AC1143" t="s">
        <v>6952</v>
      </c>
      <c r="AD1143" t="s">
        <v>6953</v>
      </c>
    </row>
    <row r="1144" spans="1:30">
      <c r="A1144" t="s">
        <v>4604</v>
      </c>
      <c r="B1144" t="s">
        <v>4884</v>
      </c>
      <c r="C1144" t="s">
        <v>5747</v>
      </c>
      <c r="D1144">
        <v>0</v>
      </c>
      <c r="E1144">
        <v>0</v>
      </c>
      <c r="J1144">
        <v>0</v>
      </c>
      <c r="M1144" t="e">
        <v>#N/A</v>
      </c>
      <c r="N1144" t="e">
        <v>#N/A</v>
      </c>
      <c r="O1144" t="e">
        <v>#N/A</v>
      </c>
      <c r="P1144" t="e">
        <v>#N/A</v>
      </c>
      <c r="R1144" t="e">
        <v>#N/A</v>
      </c>
      <c r="T1144">
        <v>0</v>
      </c>
      <c r="U1144">
        <v>0</v>
      </c>
      <c r="V1144" t="s">
        <v>5983</v>
      </c>
      <c r="Y1144" t="s">
        <v>6948</v>
      </c>
      <c r="Z1144" t="s">
        <v>6949</v>
      </c>
      <c r="AA1144" t="s">
        <v>6950</v>
      </c>
      <c r="AB1144" t="s">
        <v>6951</v>
      </c>
      <c r="AC1144" t="s">
        <v>6952</v>
      </c>
      <c r="AD1144" t="s">
        <v>6953</v>
      </c>
    </row>
    <row r="1145" spans="1:30">
      <c r="A1145" t="s">
        <v>4604</v>
      </c>
      <c r="B1145" t="s">
        <v>4885</v>
      </c>
      <c r="C1145" t="s">
        <v>5747</v>
      </c>
      <c r="D1145">
        <v>0</v>
      </c>
      <c r="E1145">
        <v>0</v>
      </c>
      <c r="J1145">
        <v>0</v>
      </c>
      <c r="M1145" t="e">
        <v>#N/A</v>
      </c>
      <c r="N1145" t="e">
        <v>#N/A</v>
      </c>
      <c r="O1145" t="e">
        <v>#N/A</v>
      </c>
      <c r="P1145" t="e">
        <v>#N/A</v>
      </c>
      <c r="R1145" t="e">
        <v>#N/A</v>
      </c>
      <c r="T1145">
        <v>0</v>
      </c>
      <c r="U1145">
        <v>0</v>
      </c>
      <c r="V1145" t="s">
        <v>5983</v>
      </c>
      <c r="Y1145" t="s">
        <v>6948</v>
      </c>
      <c r="Z1145" t="s">
        <v>6949</v>
      </c>
      <c r="AA1145" t="s">
        <v>6950</v>
      </c>
      <c r="AB1145" t="s">
        <v>6951</v>
      </c>
      <c r="AC1145" t="s">
        <v>6952</v>
      </c>
      <c r="AD1145" t="s">
        <v>6953</v>
      </c>
    </row>
    <row r="1146" spans="1:30">
      <c r="A1146" t="s">
        <v>4604</v>
      </c>
      <c r="B1146" t="s">
        <v>4886</v>
      </c>
      <c r="C1146" t="s">
        <v>5786</v>
      </c>
      <c r="D1146">
        <v>0</v>
      </c>
      <c r="E1146">
        <v>0</v>
      </c>
      <c r="J1146">
        <v>0</v>
      </c>
      <c r="M1146" t="e">
        <v>#N/A</v>
      </c>
      <c r="N1146" t="e">
        <v>#N/A</v>
      </c>
      <c r="O1146" t="e">
        <v>#N/A</v>
      </c>
      <c r="P1146" t="e">
        <v>#N/A</v>
      </c>
      <c r="R1146" t="e">
        <v>#N/A</v>
      </c>
      <c r="T1146">
        <v>0</v>
      </c>
      <c r="U1146">
        <v>0</v>
      </c>
      <c r="V1146" t="s">
        <v>5983</v>
      </c>
      <c r="Y1146" t="s">
        <v>6948</v>
      </c>
      <c r="Z1146" t="s">
        <v>6949</v>
      </c>
      <c r="AA1146" t="s">
        <v>6950</v>
      </c>
      <c r="AB1146" t="s">
        <v>6951</v>
      </c>
      <c r="AC1146" t="s">
        <v>6952</v>
      </c>
      <c r="AD1146" t="s">
        <v>6953</v>
      </c>
    </row>
    <row r="1147" spans="1:30">
      <c r="A1147" t="s">
        <v>4604</v>
      </c>
      <c r="B1147" t="s">
        <v>4887</v>
      </c>
      <c r="C1147" t="s">
        <v>5787</v>
      </c>
      <c r="D1147">
        <v>0</v>
      </c>
      <c r="E1147">
        <v>0</v>
      </c>
      <c r="J1147">
        <v>0</v>
      </c>
      <c r="M1147" t="e">
        <v>#N/A</v>
      </c>
      <c r="N1147" t="e">
        <v>#N/A</v>
      </c>
      <c r="O1147" t="e">
        <v>#N/A</v>
      </c>
      <c r="P1147" t="e">
        <v>#N/A</v>
      </c>
      <c r="R1147" t="e">
        <v>#N/A</v>
      </c>
      <c r="T1147">
        <v>0</v>
      </c>
      <c r="U1147">
        <v>0</v>
      </c>
      <c r="V1147" t="s">
        <v>5983</v>
      </c>
      <c r="Y1147" t="s">
        <v>6948</v>
      </c>
      <c r="Z1147" t="s">
        <v>6949</v>
      </c>
      <c r="AA1147" t="s">
        <v>6950</v>
      </c>
      <c r="AB1147" t="s">
        <v>6951</v>
      </c>
      <c r="AC1147" t="s">
        <v>6952</v>
      </c>
      <c r="AD1147" t="s">
        <v>6953</v>
      </c>
    </row>
    <row r="1148" spans="1:30">
      <c r="A1148" t="s">
        <v>4604</v>
      </c>
      <c r="B1148" t="s">
        <v>4888</v>
      </c>
      <c r="C1148" t="s">
        <v>5787</v>
      </c>
      <c r="D1148">
        <v>0</v>
      </c>
      <c r="E1148">
        <v>0</v>
      </c>
      <c r="J1148">
        <v>0</v>
      </c>
      <c r="M1148" t="e">
        <v>#N/A</v>
      </c>
      <c r="N1148" t="e">
        <v>#N/A</v>
      </c>
      <c r="O1148" t="e">
        <v>#N/A</v>
      </c>
      <c r="P1148" t="e">
        <v>#N/A</v>
      </c>
      <c r="R1148" t="e">
        <v>#N/A</v>
      </c>
      <c r="T1148">
        <v>0</v>
      </c>
      <c r="U1148">
        <v>0</v>
      </c>
      <c r="V1148" t="s">
        <v>5983</v>
      </c>
      <c r="Y1148" t="s">
        <v>6948</v>
      </c>
      <c r="Z1148" t="s">
        <v>6949</v>
      </c>
      <c r="AA1148" t="s">
        <v>6950</v>
      </c>
      <c r="AB1148" t="s">
        <v>6951</v>
      </c>
      <c r="AC1148" t="s">
        <v>6952</v>
      </c>
      <c r="AD1148" t="s">
        <v>6953</v>
      </c>
    </row>
    <row r="1149" spans="1:30">
      <c r="A1149" t="s">
        <v>4604</v>
      </c>
      <c r="B1149" t="s">
        <v>4889</v>
      </c>
      <c r="C1149" t="s">
        <v>5788</v>
      </c>
      <c r="D1149">
        <v>0</v>
      </c>
      <c r="E1149">
        <v>0</v>
      </c>
      <c r="J1149">
        <v>0</v>
      </c>
      <c r="M1149" t="e">
        <v>#N/A</v>
      </c>
      <c r="N1149" t="e">
        <v>#N/A</v>
      </c>
      <c r="O1149" t="e">
        <v>#N/A</v>
      </c>
      <c r="P1149" t="e">
        <v>#N/A</v>
      </c>
      <c r="R1149" t="e">
        <v>#N/A</v>
      </c>
      <c r="T1149">
        <v>0</v>
      </c>
      <c r="U1149">
        <v>0</v>
      </c>
      <c r="V1149" t="s">
        <v>5983</v>
      </c>
      <c r="Y1149" t="s">
        <v>6948</v>
      </c>
      <c r="Z1149" t="s">
        <v>6949</v>
      </c>
      <c r="AA1149" t="s">
        <v>6950</v>
      </c>
      <c r="AB1149" t="s">
        <v>6951</v>
      </c>
      <c r="AC1149" t="s">
        <v>6952</v>
      </c>
      <c r="AD1149" t="s">
        <v>6953</v>
      </c>
    </row>
    <row r="1150" spans="1:30">
      <c r="A1150" t="s">
        <v>4604</v>
      </c>
      <c r="B1150" t="s">
        <v>4890</v>
      </c>
      <c r="C1150" t="s">
        <v>5788</v>
      </c>
      <c r="D1150">
        <v>0</v>
      </c>
      <c r="E1150">
        <v>0</v>
      </c>
      <c r="J1150">
        <v>0</v>
      </c>
      <c r="M1150" t="e">
        <v>#N/A</v>
      </c>
      <c r="N1150" t="e">
        <v>#N/A</v>
      </c>
      <c r="O1150" t="e">
        <v>#N/A</v>
      </c>
      <c r="P1150" t="e">
        <v>#N/A</v>
      </c>
      <c r="R1150" t="e">
        <v>#N/A</v>
      </c>
      <c r="T1150">
        <v>0</v>
      </c>
      <c r="U1150">
        <v>0</v>
      </c>
      <c r="V1150" t="s">
        <v>5983</v>
      </c>
      <c r="Y1150" t="s">
        <v>6948</v>
      </c>
      <c r="Z1150" t="s">
        <v>6949</v>
      </c>
      <c r="AA1150" t="s">
        <v>6950</v>
      </c>
      <c r="AB1150" t="s">
        <v>6951</v>
      </c>
      <c r="AC1150" t="s">
        <v>6952</v>
      </c>
      <c r="AD1150" t="s">
        <v>6953</v>
      </c>
    </row>
    <row r="1151" spans="1:30">
      <c r="A1151" t="s">
        <v>4604</v>
      </c>
      <c r="B1151" t="s">
        <v>4891</v>
      </c>
      <c r="C1151" t="s">
        <v>5788</v>
      </c>
      <c r="D1151">
        <v>0</v>
      </c>
      <c r="E1151">
        <v>0</v>
      </c>
      <c r="J1151">
        <v>0</v>
      </c>
      <c r="M1151" t="e">
        <v>#N/A</v>
      </c>
      <c r="N1151" t="e">
        <v>#N/A</v>
      </c>
      <c r="O1151" t="e">
        <v>#N/A</v>
      </c>
      <c r="P1151" t="e">
        <v>#N/A</v>
      </c>
      <c r="R1151" t="e">
        <v>#N/A</v>
      </c>
      <c r="T1151">
        <v>0</v>
      </c>
      <c r="U1151">
        <v>0</v>
      </c>
      <c r="V1151" t="s">
        <v>5983</v>
      </c>
      <c r="Y1151" t="s">
        <v>6948</v>
      </c>
      <c r="Z1151" t="s">
        <v>6949</v>
      </c>
      <c r="AA1151" t="s">
        <v>6950</v>
      </c>
      <c r="AB1151" t="s">
        <v>6951</v>
      </c>
      <c r="AC1151" t="s">
        <v>6952</v>
      </c>
      <c r="AD1151" t="s">
        <v>6953</v>
      </c>
    </row>
    <row r="1152" spans="1:30">
      <c r="A1152" t="s">
        <v>4604</v>
      </c>
      <c r="B1152" t="s">
        <v>4892</v>
      </c>
      <c r="C1152" t="s">
        <v>5789</v>
      </c>
      <c r="D1152">
        <v>0</v>
      </c>
      <c r="E1152">
        <v>0</v>
      </c>
      <c r="J1152">
        <v>0</v>
      </c>
      <c r="M1152" t="e">
        <v>#N/A</v>
      </c>
      <c r="N1152" t="e">
        <v>#N/A</v>
      </c>
      <c r="O1152" t="e">
        <v>#N/A</v>
      </c>
      <c r="P1152" t="e">
        <v>#N/A</v>
      </c>
      <c r="R1152" t="e">
        <v>#N/A</v>
      </c>
      <c r="T1152">
        <v>0</v>
      </c>
      <c r="U1152">
        <v>0</v>
      </c>
      <c r="V1152" t="s">
        <v>5983</v>
      </c>
      <c r="Y1152" t="s">
        <v>6948</v>
      </c>
      <c r="Z1152" t="s">
        <v>6949</v>
      </c>
      <c r="AA1152" t="s">
        <v>6950</v>
      </c>
      <c r="AB1152" t="s">
        <v>6951</v>
      </c>
      <c r="AC1152" t="s">
        <v>6952</v>
      </c>
      <c r="AD1152" t="s">
        <v>6953</v>
      </c>
    </row>
    <row r="1153" spans="1:30">
      <c r="A1153" t="s">
        <v>4604</v>
      </c>
      <c r="B1153" t="s">
        <v>4893</v>
      </c>
      <c r="C1153" t="s">
        <v>5790</v>
      </c>
      <c r="D1153">
        <v>0</v>
      </c>
      <c r="E1153">
        <v>0</v>
      </c>
      <c r="J1153">
        <v>0</v>
      </c>
      <c r="M1153" t="e">
        <v>#N/A</v>
      </c>
      <c r="N1153" t="e">
        <v>#N/A</v>
      </c>
      <c r="O1153" t="e">
        <v>#N/A</v>
      </c>
      <c r="P1153" t="e">
        <v>#N/A</v>
      </c>
      <c r="R1153" t="e">
        <v>#N/A</v>
      </c>
      <c r="T1153">
        <v>0</v>
      </c>
      <c r="U1153">
        <v>0</v>
      </c>
      <c r="V1153" t="s">
        <v>5983</v>
      </c>
      <c r="Y1153" t="s">
        <v>6948</v>
      </c>
      <c r="Z1153" t="s">
        <v>6949</v>
      </c>
      <c r="AA1153" t="s">
        <v>6950</v>
      </c>
      <c r="AB1153" t="s">
        <v>6951</v>
      </c>
      <c r="AC1153" t="s">
        <v>6952</v>
      </c>
      <c r="AD1153" t="s">
        <v>6953</v>
      </c>
    </row>
    <row r="1154" spans="1:30">
      <c r="A1154" t="s">
        <v>4604</v>
      </c>
      <c r="B1154" t="s">
        <v>4894</v>
      </c>
      <c r="C1154" t="s">
        <v>5790</v>
      </c>
      <c r="D1154">
        <v>0</v>
      </c>
      <c r="E1154">
        <v>0</v>
      </c>
      <c r="J1154">
        <v>0</v>
      </c>
      <c r="M1154" t="e">
        <v>#N/A</v>
      </c>
      <c r="N1154" t="e">
        <v>#N/A</v>
      </c>
      <c r="O1154" t="e">
        <v>#N/A</v>
      </c>
      <c r="P1154" t="e">
        <v>#N/A</v>
      </c>
      <c r="R1154" t="e">
        <v>#N/A</v>
      </c>
      <c r="T1154">
        <v>0</v>
      </c>
      <c r="U1154">
        <v>0</v>
      </c>
      <c r="V1154" t="s">
        <v>5983</v>
      </c>
      <c r="Y1154" t="s">
        <v>6948</v>
      </c>
      <c r="Z1154" t="s">
        <v>6949</v>
      </c>
      <c r="AA1154" t="s">
        <v>6950</v>
      </c>
      <c r="AB1154" t="s">
        <v>6951</v>
      </c>
      <c r="AC1154" t="s">
        <v>6952</v>
      </c>
      <c r="AD1154" t="s">
        <v>6953</v>
      </c>
    </row>
    <row r="1155" spans="1:30">
      <c r="A1155" t="s">
        <v>4604</v>
      </c>
      <c r="B1155" t="s">
        <v>4895</v>
      </c>
      <c r="C1155" t="s">
        <v>5685</v>
      </c>
      <c r="D1155">
        <v>0</v>
      </c>
      <c r="E1155">
        <v>0</v>
      </c>
      <c r="J1155">
        <v>0</v>
      </c>
      <c r="M1155" t="e">
        <v>#N/A</v>
      </c>
      <c r="N1155" t="e">
        <v>#N/A</v>
      </c>
      <c r="O1155" t="e">
        <v>#N/A</v>
      </c>
      <c r="P1155" t="e">
        <v>#N/A</v>
      </c>
      <c r="R1155" t="e">
        <v>#N/A</v>
      </c>
      <c r="T1155">
        <v>0</v>
      </c>
      <c r="U1155">
        <v>0</v>
      </c>
      <c r="V1155" t="s">
        <v>5983</v>
      </c>
      <c r="Y1155" t="s">
        <v>6948</v>
      </c>
      <c r="Z1155" t="s">
        <v>6949</v>
      </c>
      <c r="AA1155" t="s">
        <v>6950</v>
      </c>
      <c r="AB1155" t="s">
        <v>6951</v>
      </c>
      <c r="AC1155" t="s">
        <v>6952</v>
      </c>
      <c r="AD1155" t="s">
        <v>6953</v>
      </c>
    </row>
    <row r="1156" spans="1:30">
      <c r="A1156" t="s">
        <v>4604</v>
      </c>
      <c r="B1156" t="s">
        <v>4896</v>
      </c>
      <c r="C1156" t="s">
        <v>5624</v>
      </c>
      <c r="D1156">
        <v>0</v>
      </c>
      <c r="E1156">
        <v>0</v>
      </c>
      <c r="J1156">
        <v>0</v>
      </c>
      <c r="M1156" t="e">
        <v>#N/A</v>
      </c>
      <c r="N1156" t="e">
        <v>#N/A</v>
      </c>
      <c r="O1156" t="e">
        <v>#N/A</v>
      </c>
      <c r="P1156" t="e">
        <v>#N/A</v>
      </c>
      <c r="R1156" t="e">
        <v>#N/A</v>
      </c>
      <c r="T1156">
        <v>0</v>
      </c>
      <c r="U1156">
        <v>0</v>
      </c>
      <c r="V1156" t="s">
        <v>5983</v>
      </c>
      <c r="Y1156" t="s">
        <v>6948</v>
      </c>
      <c r="Z1156" t="s">
        <v>6949</v>
      </c>
      <c r="AA1156" t="s">
        <v>6950</v>
      </c>
      <c r="AB1156" t="s">
        <v>6951</v>
      </c>
      <c r="AC1156" t="s">
        <v>6952</v>
      </c>
      <c r="AD1156" t="s">
        <v>6953</v>
      </c>
    </row>
    <row r="1157" spans="1:30">
      <c r="A1157" t="s">
        <v>4604</v>
      </c>
      <c r="B1157" t="s">
        <v>4897</v>
      </c>
      <c r="C1157" t="s">
        <v>5624</v>
      </c>
      <c r="D1157">
        <v>0</v>
      </c>
      <c r="E1157">
        <v>0</v>
      </c>
      <c r="J1157">
        <v>0</v>
      </c>
      <c r="M1157" t="e">
        <v>#N/A</v>
      </c>
      <c r="N1157" t="e">
        <v>#N/A</v>
      </c>
      <c r="O1157" t="e">
        <v>#N/A</v>
      </c>
      <c r="P1157" t="e">
        <v>#N/A</v>
      </c>
      <c r="R1157" t="e">
        <v>#N/A</v>
      </c>
      <c r="T1157">
        <v>0</v>
      </c>
      <c r="U1157">
        <v>0</v>
      </c>
      <c r="V1157" t="s">
        <v>5983</v>
      </c>
      <c r="Y1157" t="s">
        <v>6948</v>
      </c>
      <c r="Z1157" t="s">
        <v>6949</v>
      </c>
      <c r="AA1157" t="s">
        <v>6950</v>
      </c>
      <c r="AB1157" t="s">
        <v>6951</v>
      </c>
      <c r="AC1157" t="s">
        <v>6952</v>
      </c>
      <c r="AD1157" t="s">
        <v>6953</v>
      </c>
    </row>
    <row r="1158" spans="1:30">
      <c r="A1158" t="s">
        <v>4604</v>
      </c>
      <c r="B1158" t="s">
        <v>4898</v>
      </c>
      <c r="C1158" t="s">
        <v>5791</v>
      </c>
      <c r="D1158">
        <v>0</v>
      </c>
      <c r="E1158">
        <v>0</v>
      </c>
      <c r="J1158">
        <v>0</v>
      </c>
      <c r="M1158" t="e">
        <v>#N/A</v>
      </c>
      <c r="N1158" t="e">
        <v>#N/A</v>
      </c>
      <c r="O1158" t="e">
        <v>#N/A</v>
      </c>
      <c r="P1158" t="e">
        <v>#N/A</v>
      </c>
      <c r="R1158" t="e">
        <v>#N/A</v>
      </c>
      <c r="T1158">
        <v>0</v>
      </c>
      <c r="U1158">
        <v>0</v>
      </c>
      <c r="V1158" t="s">
        <v>5983</v>
      </c>
      <c r="Y1158" t="s">
        <v>6948</v>
      </c>
      <c r="Z1158" t="s">
        <v>6949</v>
      </c>
      <c r="AA1158" t="s">
        <v>6950</v>
      </c>
      <c r="AB1158" t="s">
        <v>6951</v>
      </c>
      <c r="AC1158" t="s">
        <v>6952</v>
      </c>
      <c r="AD1158" t="s">
        <v>6953</v>
      </c>
    </row>
    <row r="1159" spans="1:30">
      <c r="A1159" t="s">
        <v>4604</v>
      </c>
      <c r="B1159" t="s">
        <v>4899</v>
      </c>
      <c r="C1159" t="s">
        <v>5792</v>
      </c>
      <c r="D1159">
        <v>0</v>
      </c>
      <c r="E1159">
        <v>0</v>
      </c>
      <c r="J1159">
        <v>0</v>
      </c>
      <c r="M1159" t="e">
        <v>#N/A</v>
      </c>
      <c r="N1159" t="e">
        <v>#N/A</v>
      </c>
      <c r="O1159" t="e">
        <v>#N/A</v>
      </c>
      <c r="P1159" t="e">
        <v>#N/A</v>
      </c>
      <c r="R1159" t="e">
        <v>#N/A</v>
      </c>
      <c r="T1159">
        <v>0</v>
      </c>
      <c r="U1159">
        <v>0</v>
      </c>
      <c r="V1159" t="s">
        <v>5983</v>
      </c>
      <c r="Y1159" t="s">
        <v>6948</v>
      </c>
      <c r="Z1159" t="s">
        <v>6949</v>
      </c>
      <c r="AA1159" t="s">
        <v>6950</v>
      </c>
      <c r="AB1159" t="s">
        <v>6951</v>
      </c>
      <c r="AC1159" t="s">
        <v>6952</v>
      </c>
      <c r="AD1159" t="s">
        <v>6953</v>
      </c>
    </row>
    <row r="1160" spans="1:30">
      <c r="A1160" t="s">
        <v>4604</v>
      </c>
      <c r="B1160" t="s">
        <v>4900</v>
      </c>
      <c r="C1160" t="s">
        <v>5792</v>
      </c>
      <c r="D1160">
        <v>0</v>
      </c>
      <c r="E1160">
        <v>0</v>
      </c>
      <c r="J1160">
        <v>0</v>
      </c>
      <c r="M1160" t="e">
        <v>#N/A</v>
      </c>
      <c r="N1160" t="e">
        <v>#N/A</v>
      </c>
      <c r="O1160" t="e">
        <v>#N/A</v>
      </c>
      <c r="P1160" t="e">
        <v>#N/A</v>
      </c>
      <c r="R1160" t="e">
        <v>#N/A</v>
      </c>
      <c r="T1160">
        <v>0</v>
      </c>
      <c r="U1160">
        <v>0</v>
      </c>
      <c r="V1160" t="s">
        <v>5983</v>
      </c>
      <c r="Y1160" t="s">
        <v>6948</v>
      </c>
      <c r="Z1160" t="s">
        <v>6949</v>
      </c>
      <c r="AA1160" t="s">
        <v>6950</v>
      </c>
      <c r="AB1160" t="s">
        <v>6951</v>
      </c>
      <c r="AC1160" t="s">
        <v>6952</v>
      </c>
      <c r="AD1160" t="s">
        <v>6953</v>
      </c>
    </row>
    <row r="1161" spans="1:30">
      <c r="A1161" t="s">
        <v>4604</v>
      </c>
      <c r="B1161" t="s">
        <v>4901</v>
      </c>
      <c r="C1161" t="s">
        <v>5686</v>
      </c>
      <c r="D1161">
        <v>0</v>
      </c>
      <c r="E1161">
        <v>0</v>
      </c>
      <c r="J1161">
        <v>0</v>
      </c>
      <c r="M1161" t="e">
        <v>#N/A</v>
      </c>
      <c r="N1161" t="e">
        <v>#N/A</v>
      </c>
      <c r="O1161" t="e">
        <v>#N/A</v>
      </c>
      <c r="P1161" t="e">
        <v>#N/A</v>
      </c>
      <c r="R1161" t="e">
        <v>#N/A</v>
      </c>
      <c r="T1161">
        <v>0</v>
      </c>
      <c r="U1161">
        <v>0</v>
      </c>
      <c r="V1161" t="s">
        <v>5983</v>
      </c>
      <c r="Y1161" t="s">
        <v>6948</v>
      </c>
      <c r="Z1161" t="s">
        <v>6949</v>
      </c>
      <c r="AA1161" t="s">
        <v>6950</v>
      </c>
      <c r="AB1161" t="s">
        <v>6951</v>
      </c>
      <c r="AC1161" t="s">
        <v>6952</v>
      </c>
      <c r="AD1161" t="s">
        <v>6953</v>
      </c>
    </row>
    <row r="1162" spans="1:30">
      <c r="A1162" t="s">
        <v>4604</v>
      </c>
      <c r="B1162" t="s">
        <v>4902</v>
      </c>
      <c r="C1162" t="s">
        <v>5686</v>
      </c>
      <c r="D1162">
        <v>0</v>
      </c>
      <c r="E1162">
        <v>0</v>
      </c>
      <c r="J1162">
        <v>0</v>
      </c>
      <c r="M1162" t="e">
        <v>#N/A</v>
      </c>
      <c r="N1162" t="e">
        <v>#N/A</v>
      </c>
      <c r="O1162" t="e">
        <v>#N/A</v>
      </c>
      <c r="P1162" t="e">
        <v>#N/A</v>
      </c>
      <c r="R1162" t="e">
        <v>#N/A</v>
      </c>
      <c r="T1162">
        <v>0</v>
      </c>
      <c r="U1162">
        <v>0</v>
      </c>
      <c r="V1162" t="s">
        <v>5983</v>
      </c>
      <c r="Y1162" t="s">
        <v>6948</v>
      </c>
      <c r="Z1162" t="s">
        <v>6949</v>
      </c>
      <c r="AA1162" t="s">
        <v>6950</v>
      </c>
      <c r="AB1162" t="s">
        <v>6951</v>
      </c>
      <c r="AC1162" t="s">
        <v>6952</v>
      </c>
      <c r="AD1162" t="s">
        <v>6953</v>
      </c>
    </row>
    <row r="1163" spans="1:30">
      <c r="A1163" t="s">
        <v>4604</v>
      </c>
      <c r="B1163" t="s">
        <v>4903</v>
      </c>
      <c r="C1163" t="s">
        <v>5686</v>
      </c>
      <c r="D1163">
        <v>0</v>
      </c>
      <c r="E1163">
        <v>0</v>
      </c>
      <c r="J1163">
        <v>0</v>
      </c>
      <c r="M1163" t="e">
        <v>#N/A</v>
      </c>
      <c r="N1163" t="e">
        <v>#N/A</v>
      </c>
      <c r="O1163" t="e">
        <v>#N/A</v>
      </c>
      <c r="P1163" t="e">
        <v>#N/A</v>
      </c>
      <c r="R1163" t="e">
        <v>#N/A</v>
      </c>
      <c r="T1163">
        <v>0</v>
      </c>
      <c r="U1163">
        <v>0</v>
      </c>
      <c r="V1163" t="s">
        <v>5983</v>
      </c>
      <c r="Y1163" t="s">
        <v>6948</v>
      </c>
      <c r="Z1163" t="s">
        <v>6949</v>
      </c>
      <c r="AA1163" t="s">
        <v>6950</v>
      </c>
      <c r="AB1163" t="s">
        <v>6951</v>
      </c>
      <c r="AC1163" t="s">
        <v>6952</v>
      </c>
      <c r="AD1163" t="s">
        <v>6953</v>
      </c>
    </row>
    <row r="1164" spans="1:30">
      <c r="A1164" t="s">
        <v>4604</v>
      </c>
      <c r="B1164" t="s">
        <v>4904</v>
      </c>
      <c r="C1164" t="s">
        <v>5627</v>
      </c>
      <c r="D1164">
        <v>0</v>
      </c>
      <c r="E1164">
        <v>0</v>
      </c>
      <c r="J1164">
        <v>0</v>
      </c>
      <c r="M1164" t="e">
        <v>#N/A</v>
      </c>
      <c r="N1164" t="e">
        <v>#N/A</v>
      </c>
      <c r="O1164" t="e">
        <v>#N/A</v>
      </c>
      <c r="P1164" t="e">
        <v>#N/A</v>
      </c>
      <c r="R1164" t="e">
        <v>#N/A</v>
      </c>
      <c r="T1164">
        <v>0</v>
      </c>
      <c r="U1164">
        <v>0</v>
      </c>
      <c r="V1164" t="s">
        <v>5983</v>
      </c>
      <c r="Y1164" t="s">
        <v>6948</v>
      </c>
      <c r="Z1164" t="s">
        <v>6949</v>
      </c>
      <c r="AA1164" t="s">
        <v>6950</v>
      </c>
      <c r="AB1164" t="s">
        <v>6951</v>
      </c>
      <c r="AC1164" t="s">
        <v>6952</v>
      </c>
      <c r="AD1164" t="s">
        <v>6953</v>
      </c>
    </row>
    <row r="1165" spans="1:30">
      <c r="A1165" t="s">
        <v>4604</v>
      </c>
      <c r="B1165" t="s">
        <v>4905</v>
      </c>
      <c r="C1165" t="s">
        <v>5627</v>
      </c>
      <c r="D1165">
        <v>0</v>
      </c>
      <c r="E1165">
        <v>0</v>
      </c>
      <c r="J1165">
        <v>0</v>
      </c>
      <c r="M1165" t="e">
        <v>#N/A</v>
      </c>
      <c r="N1165" t="e">
        <v>#N/A</v>
      </c>
      <c r="O1165" t="e">
        <v>#N/A</v>
      </c>
      <c r="P1165" t="e">
        <v>#N/A</v>
      </c>
      <c r="R1165" t="e">
        <v>#N/A</v>
      </c>
      <c r="T1165">
        <v>0</v>
      </c>
      <c r="U1165">
        <v>0</v>
      </c>
      <c r="V1165" t="s">
        <v>5983</v>
      </c>
      <c r="Y1165" t="s">
        <v>6948</v>
      </c>
      <c r="Z1165" t="s">
        <v>6949</v>
      </c>
      <c r="AA1165" t="s">
        <v>6950</v>
      </c>
      <c r="AB1165" t="s">
        <v>6951</v>
      </c>
      <c r="AC1165" t="s">
        <v>6952</v>
      </c>
      <c r="AD1165" t="s">
        <v>6953</v>
      </c>
    </row>
    <row r="1166" spans="1:30">
      <c r="A1166" t="s">
        <v>4604</v>
      </c>
      <c r="B1166" t="s">
        <v>4906</v>
      </c>
      <c r="C1166" t="s">
        <v>5627</v>
      </c>
      <c r="D1166">
        <v>0</v>
      </c>
      <c r="E1166">
        <v>0</v>
      </c>
      <c r="J1166">
        <v>0</v>
      </c>
      <c r="M1166" t="e">
        <v>#N/A</v>
      </c>
      <c r="N1166" t="e">
        <v>#N/A</v>
      </c>
      <c r="O1166" t="e">
        <v>#N/A</v>
      </c>
      <c r="P1166" t="e">
        <v>#N/A</v>
      </c>
      <c r="R1166" t="e">
        <v>#N/A</v>
      </c>
      <c r="T1166">
        <v>0</v>
      </c>
      <c r="U1166">
        <v>0</v>
      </c>
      <c r="V1166" t="s">
        <v>5983</v>
      </c>
      <c r="Y1166" t="s">
        <v>6948</v>
      </c>
      <c r="Z1166" t="s">
        <v>6949</v>
      </c>
      <c r="AA1166" t="s">
        <v>6950</v>
      </c>
      <c r="AB1166" t="s">
        <v>6951</v>
      </c>
      <c r="AC1166" t="s">
        <v>6952</v>
      </c>
      <c r="AD1166" t="s">
        <v>6953</v>
      </c>
    </row>
    <row r="1167" spans="1:30">
      <c r="A1167">
        <v>11006856</v>
      </c>
      <c r="B1167" t="s">
        <v>4907</v>
      </c>
      <c r="C1167" t="s">
        <v>5793</v>
      </c>
      <c r="D1167" t="s">
        <v>6030</v>
      </c>
      <c r="E1167" t="s">
        <v>5949</v>
      </c>
      <c r="J1167" t="s">
        <v>6701</v>
      </c>
      <c r="M1167" t="e">
        <v>#N/A</v>
      </c>
      <c r="N1167" t="e">
        <v>#N/A</v>
      </c>
      <c r="O1167" t="e">
        <v>#N/A</v>
      </c>
      <c r="P1167" t="e">
        <v>#N/A</v>
      </c>
      <c r="R1167" t="e">
        <v>#N/A</v>
      </c>
      <c r="T1167" t="s">
        <v>5983</v>
      </c>
      <c r="U1167" t="s">
        <v>5983</v>
      </c>
      <c r="V1167" t="s">
        <v>5983</v>
      </c>
      <c r="Y1167" t="s">
        <v>6948</v>
      </c>
      <c r="Z1167" t="s">
        <v>6949</v>
      </c>
      <c r="AA1167" t="s">
        <v>6950</v>
      </c>
      <c r="AB1167" t="s">
        <v>6951</v>
      </c>
      <c r="AC1167" t="s">
        <v>6952</v>
      </c>
      <c r="AD1167" t="s">
        <v>6953</v>
      </c>
    </row>
    <row r="1168" spans="1:30">
      <c r="A1168" t="s">
        <v>4604</v>
      </c>
      <c r="B1168" t="s">
        <v>4908</v>
      </c>
      <c r="C1168" t="s">
        <v>5794</v>
      </c>
      <c r="D1168" t="s">
        <v>6030</v>
      </c>
      <c r="E1168" t="s">
        <v>5949</v>
      </c>
      <c r="J1168" t="s">
        <v>6702</v>
      </c>
      <c r="M1168" t="e">
        <v>#N/A</v>
      </c>
      <c r="N1168" t="e">
        <v>#N/A</v>
      </c>
      <c r="O1168" t="e">
        <v>#N/A</v>
      </c>
      <c r="P1168" t="e">
        <v>#N/A</v>
      </c>
      <c r="R1168" t="e">
        <v>#N/A</v>
      </c>
      <c r="T1168" t="s">
        <v>5983</v>
      </c>
      <c r="U1168" t="s">
        <v>5983</v>
      </c>
      <c r="V1168" t="s">
        <v>5983</v>
      </c>
      <c r="Y1168" t="s">
        <v>6948</v>
      </c>
      <c r="Z1168" t="s">
        <v>6949</v>
      </c>
      <c r="AA1168" t="s">
        <v>6950</v>
      </c>
      <c r="AB1168" t="s">
        <v>6951</v>
      </c>
      <c r="AC1168" t="s">
        <v>6952</v>
      </c>
      <c r="AD1168" t="s">
        <v>6953</v>
      </c>
    </row>
    <row r="1169" spans="1:30">
      <c r="A1169">
        <v>11006854</v>
      </c>
      <c r="B1169" t="s">
        <v>4909</v>
      </c>
      <c r="C1169" t="s">
        <v>5793</v>
      </c>
      <c r="D1169" t="s">
        <v>6031</v>
      </c>
      <c r="E1169" t="s">
        <v>6032</v>
      </c>
      <c r="J1169" t="s">
        <v>6703</v>
      </c>
      <c r="M1169" t="e">
        <v>#N/A</v>
      </c>
      <c r="N1169" t="e">
        <v>#N/A</v>
      </c>
      <c r="O1169" t="e">
        <v>#N/A</v>
      </c>
      <c r="P1169" t="e">
        <v>#N/A</v>
      </c>
      <c r="R1169" t="e">
        <v>#N/A</v>
      </c>
      <c r="T1169" t="s">
        <v>5985</v>
      </c>
      <c r="U1169" t="s">
        <v>5985</v>
      </c>
      <c r="V1169" t="s">
        <v>5983</v>
      </c>
      <c r="Y1169" t="s">
        <v>6948</v>
      </c>
      <c r="Z1169" t="s">
        <v>6949</v>
      </c>
      <c r="AA1169" t="s">
        <v>6950</v>
      </c>
      <c r="AB1169" t="s">
        <v>6951</v>
      </c>
      <c r="AC1169" t="s">
        <v>6952</v>
      </c>
      <c r="AD1169" t="s">
        <v>6953</v>
      </c>
    </row>
    <row r="1170" spans="1:30">
      <c r="A1170">
        <v>11006852</v>
      </c>
      <c r="B1170" t="s">
        <v>4910</v>
      </c>
      <c r="C1170" t="s">
        <v>5794</v>
      </c>
      <c r="D1170" t="s">
        <v>6031</v>
      </c>
      <c r="E1170" t="s">
        <v>6032</v>
      </c>
      <c r="J1170" t="s">
        <v>6704</v>
      </c>
      <c r="M1170" t="e">
        <v>#N/A</v>
      </c>
      <c r="N1170" t="e">
        <v>#N/A</v>
      </c>
      <c r="O1170" t="e">
        <v>#N/A</v>
      </c>
      <c r="P1170" t="e">
        <v>#N/A</v>
      </c>
      <c r="R1170" t="e">
        <v>#N/A</v>
      </c>
      <c r="T1170" t="s">
        <v>5985</v>
      </c>
      <c r="U1170" t="s">
        <v>5985</v>
      </c>
      <c r="V1170" t="s">
        <v>5983</v>
      </c>
      <c r="Y1170" t="s">
        <v>6948</v>
      </c>
      <c r="Z1170" t="s">
        <v>6949</v>
      </c>
      <c r="AA1170" t="s">
        <v>6950</v>
      </c>
      <c r="AB1170" t="s">
        <v>6951</v>
      </c>
      <c r="AC1170" t="s">
        <v>6952</v>
      </c>
      <c r="AD1170" t="s">
        <v>6953</v>
      </c>
    </row>
    <row r="1171" spans="1:30">
      <c r="A1171">
        <v>11006851</v>
      </c>
      <c r="B1171" t="s">
        <v>4911</v>
      </c>
      <c r="C1171" t="s">
        <v>5795</v>
      </c>
      <c r="D1171" t="s">
        <v>6033</v>
      </c>
      <c r="E1171" t="s">
        <v>6034</v>
      </c>
      <c r="J1171" t="s">
        <v>6705</v>
      </c>
      <c r="M1171" t="e">
        <v>#N/A</v>
      </c>
      <c r="N1171" t="e">
        <v>#N/A</v>
      </c>
      <c r="O1171" t="e">
        <v>#N/A</v>
      </c>
      <c r="P1171" t="e">
        <v>#N/A</v>
      </c>
      <c r="R1171" t="e">
        <v>#N/A</v>
      </c>
      <c r="T1171" t="s">
        <v>5983</v>
      </c>
      <c r="U1171" t="s">
        <v>5983</v>
      </c>
      <c r="V1171" t="s">
        <v>5983</v>
      </c>
      <c r="Y1171" t="s">
        <v>6948</v>
      </c>
      <c r="Z1171" t="s">
        <v>6949</v>
      </c>
      <c r="AA1171" t="s">
        <v>6950</v>
      </c>
      <c r="AB1171" t="s">
        <v>6951</v>
      </c>
      <c r="AC1171" t="s">
        <v>6952</v>
      </c>
      <c r="AD1171" t="s">
        <v>6953</v>
      </c>
    </row>
    <row r="1172" spans="1:30">
      <c r="A1172">
        <v>11006849</v>
      </c>
      <c r="B1172" t="s">
        <v>4912</v>
      </c>
      <c r="C1172" t="s">
        <v>5796</v>
      </c>
      <c r="D1172" t="s">
        <v>6033</v>
      </c>
      <c r="E1172" t="s">
        <v>6034</v>
      </c>
      <c r="J1172" t="s">
        <v>6706</v>
      </c>
      <c r="M1172" t="e">
        <v>#N/A</v>
      </c>
      <c r="N1172" t="e">
        <v>#N/A</v>
      </c>
      <c r="O1172" t="e">
        <v>#N/A</v>
      </c>
      <c r="P1172" t="e">
        <v>#N/A</v>
      </c>
      <c r="R1172" t="e">
        <v>#N/A</v>
      </c>
      <c r="T1172" t="s">
        <v>5983</v>
      </c>
      <c r="U1172" t="s">
        <v>5985</v>
      </c>
      <c r="V1172" t="s">
        <v>5983</v>
      </c>
      <c r="Y1172" t="s">
        <v>6948</v>
      </c>
      <c r="Z1172" t="s">
        <v>6949</v>
      </c>
      <c r="AA1172" t="s">
        <v>6950</v>
      </c>
      <c r="AB1172" t="s">
        <v>6951</v>
      </c>
      <c r="AC1172" t="s">
        <v>6952</v>
      </c>
      <c r="AD1172" t="s">
        <v>6953</v>
      </c>
    </row>
    <row r="1173" spans="1:30">
      <c r="A1173">
        <v>11006847</v>
      </c>
      <c r="B1173" t="s">
        <v>4913</v>
      </c>
      <c r="C1173" t="s">
        <v>5797</v>
      </c>
      <c r="D1173" t="s">
        <v>6033</v>
      </c>
      <c r="E1173" t="s">
        <v>6034</v>
      </c>
      <c r="J1173" t="s">
        <v>6707</v>
      </c>
      <c r="M1173" t="e">
        <v>#N/A</v>
      </c>
      <c r="N1173" t="e">
        <v>#N/A</v>
      </c>
      <c r="O1173" t="e">
        <v>#N/A</v>
      </c>
      <c r="P1173" t="e">
        <v>#N/A</v>
      </c>
      <c r="R1173" t="e">
        <v>#N/A</v>
      </c>
      <c r="T1173" t="s">
        <v>5983</v>
      </c>
      <c r="U1173" t="s">
        <v>5983</v>
      </c>
      <c r="V1173" t="s">
        <v>5983</v>
      </c>
      <c r="Y1173" t="s">
        <v>6948</v>
      </c>
      <c r="Z1173" t="s">
        <v>6949</v>
      </c>
      <c r="AA1173" t="s">
        <v>6950</v>
      </c>
      <c r="AB1173" t="s">
        <v>6951</v>
      </c>
      <c r="AC1173" t="s">
        <v>6952</v>
      </c>
      <c r="AD1173" t="s">
        <v>6953</v>
      </c>
    </row>
    <row r="1174" spans="1:30">
      <c r="A1174">
        <v>11006845</v>
      </c>
      <c r="B1174" t="s">
        <v>4914</v>
      </c>
      <c r="C1174" t="s">
        <v>5798</v>
      </c>
      <c r="D1174" t="s">
        <v>6033</v>
      </c>
      <c r="E1174" t="s">
        <v>6034</v>
      </c>
      <c r="J1174" t="s">
        <v>6708</v>
      </c>
      <c r="M1174" t="e">
        <v>#N/A</v>
      </c>
      <c r="N1174" t="e">
        <v>#N/A</v>
      </c>
      <c r="O1174" t="e">
        <v>#N/A</v>
      </c>
      <c r="P1174" t="e">
        <v>#N/A</v>
      </c>
      <c r="R1174" t="e">
        <v>#N/A</v>
      </c>
      <c r="T1174" t="s">
        <v>5983</v>
      </c>
      <c r="U1174" t="s">
        <v>5983</v>
      </c>
      <c r="V1174" t="s">
        <v>5983</v>
      </c>
      <c r="Y1174" t="s">
        <v>6948</v>
      </c>
      <c r="Z1174" t="s">
        <v>6949</v>
      </c>
      <c r="AA1174" t="s">
        <v>6950</v>
      </c>
      <c r="AB1174" t="s">
        <v>6951</v>
      </c>
      <c r="AC1174" t="s">
        <v>6952</v>
      </c>
      <c r="AD1174" t="s">
        <v>6953</v>
      </c>
    </row>
    <row r="1175" spans="1:30">
      <c r="A1175">
        <v>11006844</v>
      </c>
      <c r="B1175" t="s">
        <v>4915</v>
      </c>
      <c r="C1175" t="s">
        <v>5799</v>
      </c>
      <c r="D1175" t="s">
        <v>6033</v>
      </c>
      <c r="E1175" t="s">
        <v>6034</v>
      </c>
      <c r="J1175" t="s">
        <v>6709</v>
      </c>
      <c r="M1175" t="e">
        <v>#N/A</v>
      </c>
      <c r="N1175" t="e">
        <v>#N/A</v>
      </c>
      <c r="O1175" t="e">
        <v>#N/A</v>
      </c>
      <c r="P1175" t="e">
        <v>#N/A</v>
      </c>
      <c r="R1175" t="e">
        <v>#N/A</v>
      </c>
      <c r="T1175" t="s">
        <v>5985</v>
      </c>
      <c r="U1175" t="s">
        <v>5985</v>
      </c>
      <c r="V1175" t="s">
        <v>5985</v>
      </c>
      <c r="Y1175" t="s">
        <v>6948</v>
      </c>
      <c r="Z1175" t="s">
        <v>6949</v>
      </c>
      <c r="AA1175" t="s">
        <v>6950</v>
      </c>
      <c r="AB1175" t="s">
        <v>6951</v>
      </c>
      <c r="AC1175" t="s">
        <v>6952</v>
      </c>
      <c r="AD1175" t="s">
        <v>6953</v>
      </c>
    </row>
    <row r="1176" spans="1:30">
      <c r="A1176">
        <v>11006843</v>
      </c>
      <c r="B1176" t="s">
        <v>4916</v>
      </c>
      <c r="C1176" t="s">
        <v>5800</v>
      </c>
      <c r="D1176" t="s">
        <v>6033</v>
      </c>
      <c r="E1176" t="s">
        <v>6034</v>
      </c>
      <c r="J1176" t="s">
        <v>6710</v>
      </c>
      <c r="M1176" t="e">
        <v>#N/A</v>
      </c>
      <c r="N1176" t="e">
        <v>#N/A</v>
      </c>
      <c r="O1176" t="e">
        <v>#N/A</v>
      </c>
      <c r="P1176" t="e">
        <v>#N/A</v>
      </c>
      <c r="R1176" t="e">
        <v>#N/A</v>
      </c>
      <c r="T1176" t="s">
        <v>5985</v>
      </c>
      <c r="U1176" t="s">
        <v>5985</v>
      </c>
      <c r="V1176" t="s">
        <v>5983</v>
      </c>
      <c r="Y1176" t="s">
        <v>6948</v>
      </c>
      <c r="Z1176" t="s">
        <v>6949</v>
      </c>
      <c r="AA1176" t="s">
        <v>6950</v>
      </c>
      <c r="AB1176" t="s">
        <v>6951</v>
      </c>
      <c r="AC1176" t="s">
        <v>6952</v>
      </c>
      <c r="AD1176" t="s">
        <v>6953</v>
      </c>
    </row>
    <row r="1177" spans="1:30">
      <c r="A1177" t="s">
        <v>4604</v>
      </c>
      <c r="B1177" t="s">
        <v>4917</v>
      </c>
      <c r="C1177" t="s">
        <v>5801</v>
      </c>
      <c r="D1177">
        <v>0</v>
      </c>
      <c r="E1177">
        <v>0</v>
      </c>
      <c r="J1177">
        <v>0</v>
      </c>
      <c r="M1177" t="e">
        <v>#N/A</v>
      </c>
      <c r="N1177" t="e">
        <v>#N/A</v>
      </c>
      <c r="O1177" t="e">
        <v>#N/A</v>
      </c>
      <c r="P1177" t="e">
        <v>#N/A</v>
      </c>
      <c r="R1177" t="e">
        <v>#N/A</v>
      </c>
      <c r="T1177">
        <v>0</v>
      </c>
      <c r="U1177">
        <v>0</v>
      </c>
      <c r="V1177" t="s">
        <v>5983</v>
      </c>
      <c r="Y1177" t="s">
        <v>6948</v>
      </c>
      <c r="Z1177" t="s">
        <v>6949</v>
      </c>
      <c r="AA1177" t="s">
        <v>6950</v>
      </c>
      <c r="AB1177" t="s">
        <v>6951</v>
      </c>
      <c r="AC1177" t="s">
        <v>6952</v>
      </c>
      <c r="AD1177" t="s">
        <v>6953</v>
      </c>
    </row>
    <row r="1178" spans="1:30">
      <c r="A1178" t="s">
        <v>4604</v>
      </c>
      <c r="B1178" t="s">
        <v>4918</v>
      </c>
      <c r="C1178" t="s">
        <v>5801</v>
      </c>
      <c r="D1178">
        <v>0</v>
      </c>
      <c r="E1178">
        <v>0</v>
      </c>
      <c r="J1178">
        <v>0</v>
      </c>
      <c r="M1178" t="e">
        <v>#N/A</v>
      </c>
      <c r="N1178" t="e">
        <v>#N/A</v>
      </c>
      <c r="O1178" t="e">
        <v>#N/A</v>
      </c>
      <c r="P1178" t="e">
        <v>#N/A</v>
      </c>
      <c r="R1178" t="e">
        <v>#N/A</v>
      </c>
      <c r="T1178">
        <v>0</v>
      </c>
      <c r="U1178">
        <v>0</v>
      </c>
      <c r="V1178" t="s">
        <v>5983</v>
      </c>
      <c r="Y1178" t="s">
        <v>6948</v>
      </c>
      <c r="Z1178" t="s">
        <v>6949</v>
      </c>
      <c r="AA1178" t="s">
        <v>6950</v>
      </c>
      <c r="AB1178" t="s">
        <v>6951</v>
      </c>
      <c r="AC1178" t="s">
        <v>6952</v>
      </c>
      <c r="AD1178" t="s">
        <v>6953</v>
      </c>
    </row>
    <row r="1179" spans="1:30">
      <c r="A1179">
        <v>11006842</v>
      </c>
      <c r="B1179" t="s">
        <v>4919</v>
      </c>
      <c r="C1179" t="s">
        <v>1005</v>
      </c>
      <c r="D1179" t="s">
        <v>6035</v>
      </c>
      <c r="E1179" t="s">
        <v>6036</v>
      </c>
      <c r="J1179" t="s">
        <v>6711</v>
      </c>
      <c r="M1179" t="e">
        <v>#N/A</v>
      </c>
      <c r="N1179" t="e">
        <v>#N/A</v>
      </c>
      <c r="O1179" t="e">
        <v>#N/A</v>
      </c>
      <c r="P1179" t="e">
        <v>#N/A</v>
      </c>
      <c r="R1179" t="e">
        <v>#N/A</v>
      </c>
      <c r="T1179" t="s">
        <v>5983</v>
      </c>
      <c r="U1179" t="s">
        <v>5983</v>
      </c>
      <c r="V1179" t="s">
        <v>5983</v>
      </c>
      <c r="Y1179" t="s">
        <v>6948</v>
      </c>
      <c r="Z1179" t="s">
        <v>6949</v>
      </c>
      <c r="AA1179" t="s">
        <v>6950</v>
      </c>
      <c r="AB1179" t="s">
        <v>6951</v>
      </c>
      <c r="AC1179" t="s">
        <v>6952</v>
      </c>
      <c r="AD1179" t="s">
        <v>6953</v>
      </c>
    </row>
    <row r="1180" spans="1:30">
      <c r="A1180">
        <v>11006841</v>
      </c>
      <c r="B1180" t="s">
        <v>4920</v>
      </c>
      <c r="C1180" t="s">
        <v>1006</v>
      </c>
      <c r="D1180" t="s">
        <v>6035</v>
      </c>
      <c r="E1180" t="s">
        <v>6036</v>
      </c>
      <c r="J1180" t="s">
        <v>6712</v>
      </c>
      <c r="M1180" t="e">
        <v>#N/A</v>
      </c>
      <c r="N1180" t="e">
        <v>#N/A</v>
      </c>
      <c r="O1180" t="e">
        <v>#N/A</v>
      </c>
      <c r="P1180" t="e">
        <v>#N/A</v>
      </c>
      <c r="R1180" t="e">
        <v>#N/A</v>
      </c>
      <c r="T1180" t="s">
        <v>5983</v>
      </c>
      <c r="U1180" t="s">
        <v>5983</v>
      </c>
      <c r="V1180" t="s">
        <v>5983</v>
      </c>
      <c r="Y1180" t="s">
        <v>6948</v>
      </c>
      <c r="Z1180" t="s">
        <v>6949</v>
      </c>
      <c r="AA1180" t="s">
        <v>6950</v>
      </c>
      <c r="AB1180" t="s">
        <v>6951</v>
      </c>
      <c r="AC1180" t="s">
        <v>6952</v>
      </c>
      <c r="AD1180" t="s">
        <v>6953</v>
      </c>
    </row>
    <row r="1181" spans="1:30">
      <c r="A1181">
        <v>11006839</v>
      </c>
      <c r="B1181" t="s">
        <v>4921</v>
      </c>
      <c r="C1181" t="s">
        <v>1007</v>
      </c>
      <c r="D1181" t="s">
        <v>6035</v>
      </c>
      <c r="E1181" t="s">
        <v>6036</v>
      </c>
      <c r="J1181" t="s">
        <v>6713</v>
      </c>
      <c r="M1181" t="e">
        <v>#N/A</v>
      </c>
      <c r="N1181" t="e">
        <v>#N/A</v>
      </c>
      <c r="O1181" t="e">
        <v>#N/A</v>
      </c>
      <c r="P1181" t="e">
        <v>#N/A</v>
      </c>
      <c r="R1181" t="e">
        <v>#N/A</v>
      </c>
      <c r="T1181" t="s">
        <v>5983</v>
      </c>
      <c r="U1181" t="s">
        <v>5983</v>
      </c>
      <c r="V1181" t="s">
        <v>5983</v>
      </c>
      <c r="Y1181" t="s">
        <v>6948</v>
      </c>
      <c r="Z1181" t="s">
        <v>6949</v>
      </c>
      <c r="AA1181" t="s">
        <v>6950</v>
      </c>
      <c r="AB1181" t="s">
        <v>6951</v>
      </c>
      <c r="AC1181" t="s">
        <v>6952</v>
      </c>
      <c r="AD1181" t="s">
        <v>6953</v>
      </c>
    </row>
    <row r="1182" spans="1:30">
      <c r="A1182">
        <v>11006838</v>
      </c>
      <c r="B1182" t="s">
        <v>4922</v>
      </c>
      <c r="C1182" t="s">
        <v>1008</v>
      </c>
      <c r="D1182" t="s">
        <v>6035</v>
      </c>
      <c r="E1182" t="s">
        <v>6036</v>
      </c>
      <c r="J1182" t="s">
        <v>6714</v>
      </c>
      <c r="M1182" t="e">
        <v>#N/A</v>
      </c>
      <c r="N1182" t="e">
        <v>#N/A</v>
      </c>
      <c r="O1182" t="e">
        <v>#N/A</v>
      </c>
      <c r="P1182" t="e">
        <v>#N/A</v>
      </c>
      <c r="R1182" t="e">
        <v>#N/A</v>
      </c>
      <c r="T1182" t="s">
        <v>5983</v>
      </c>
      <c r="U1182" t="s">
        <v>5983</v>
      </c>
      <c r="V1182" t="s">
        <v>5983</v>
      </c>
      <c r="Y1182" t="s">
        <v>6948</v>
      </c>
      <c r="Z1182" t="s">
        <v>6949</v>
      </c>
      <c r="AA1182" t="s">
        <v>6950</v>
      </c>
      <c r="AB1182" t="s">
        <v>6951</v>
      </c>
      <c r="AC1182" t="s">
        <v>6952</v>
      </c>
      <c r="AD1182" t="s">
        <v>6953</v>
      </c>
    </row>
    <row r="1183" spans="1:30">
      <c r="A1183">
        <v>11006837</v>
      </c>
      <c r="B1183" t="s">
        <v>4923</v>
      </c>
      <c r="C1183" t="s">
        <v>1083</v>
      </c>
      <c r="D1183" t="s">
        <v>6037</v>
      </c>
      <c r="E1183" t="s">
        <v>6038</v>
      </c>
      <c r="J1183" t="s">
        <v>6715</v>
      </c>
      <c r="M1183" t="e">
        <v>#N/A</v>
      </c>
      <c r="N1183" t="e">
        <v>#N/A</v>
      </c>
      <c r="O1183" t="e">
        <v>#N/A</v>
      </c>
      <c r="P1183" t="e">
        <v>#N/A</v>
      </c>
      <c r="R1183" t="e">
        <v>#N/A</v>
      </c>
      <c r="T1183" t="s">
        <v>5983</v>
      </c>
      <c r="U1183" t="s">
        <v>5983</v>
      </c>
      <c r="V1183" t="s">
        <v>5983</v>
      </c>
      <c r="Y1183" t="s">
        <v>6948</v>
      </c>
      <c r="Z1183" t="s">
        <v>6949</v>
      </c>
      <c r="AA1183" t="s">
        <v>6950</v>
      </c>
      <c r="AB1183" t="s">
        <v>6951</v>
      </c>
      <c r="AC1183" t="s">
        <v>6952</v>
      </c>
      <c r="AD1183" t="s">
        <v>6953</v>
      </c>
    </row>
    <row r="1184" spans="1:30">
      <c r="A1184">
        <v>11006835</v>
      </c>
      <c r="B1184" t="s">
        <v>4924</v>
      </c>
      <c r="C1184" t="s">
        <v>1081</v>
      </c>
      <c r="D1184" t="s">
        <v>6037</v>
      </c>
      <c r="E1184" t="s">
        <v>6038</v>
      </c>
      <c r="J1184" t="s">
        <v>6716</v>
      </c>
      <c r="M1184" t="e">
        <v>#N/A</v>
      </c>
      <c r="N1184" t="e">
        <v>#N/A</v>
      </c>
      <c r="O1184" t="e">
        <v>#N/A</v>
      </c>
      <c r="P1184" t="e">
        <v>#N/A</v>
      </c>
      <c r="R1184" t="e">
        <v>#N/A</v>
      </c>
      <c r="T1184" t="s">
        <v>5983</v>
      </c>
      <c r="U1184" t="s">
        <v>5983</v>
      </c>
      <c r="V1184" t="s">
        <v>5983</v>
      </c>
      <c r="Y1184" t="s">
        <v>6948</v>
      </c>
      <c r="Z1184" t="s">
        <v>6949</v>
      </c>
      <c r="AA1184" t="s">
        <v>6950</v>
      </c>
      <c r="AB1184" t="s">
        <v>6951</v>
      </c>
      <c r="AC1184" t="s">
        <v>6952</v>
      </c>
      <c r="AD1184" t="s">
        <v>6953</v>
      </c>
    </row>
    <row r="1185" spans="1:30">
      <c r="A1185">
        <v>11006833</v>
      </c>
      <c r="B1185" t="s">
        <v>4925</v>
      </c>
      <c r="C1185" t="s">
        <v>1009</v>
      </c>
      <c r="D1185" t="s">
        <v>6039</v>
      </c>
      <c r="E1185" t="s">
        <v>6040</v>
      </c>
      <c r="J1185" t="s">
        <v>6717</v>
      </c>
      <c r="M1185" t="e">
        <v>#N/A</v>
      </c>
      <c r="N1185" t="e">
        <v>#N/A</v>
      </c>
      <c r="O1185" t="e">
        <v>#N/A</v>
      </c>
      <c r="P1185" t="e">
        <v>#N/A</v>
      </c>
      <c r="R1185" t="e">
        <v>#N/A</v>
      </c>
      <c r="T1185" t="s">
        <v>5983</v>
      </c>
      <c r="U1185" t="s">
        <v>5983</v>
      </c>
      <c r="V1185" t="s">
        <v>5983</v>
      </c>
      <c r="Y1185" t="s">
        <v>6948</v>
      </c>
      <c r="Z1185" t="s">
        <v>6949</v>
      </c>
      <c r="AA1185" t="s">
        <v>6950</v>
      </c>
      <c r="AB1185" t="s">
        <v>6951</v>
      </c>
      <c r="AC1185" t="s">
        <v>6952</v>
      </c>
      <c r="AD1185" t="s">
        <v>6953</v>
      </c>
    </row>
    <row r="1186" spans="1:30">
      <c r="A1186">
        <v>11006831</v>
      </c>
      <c r="B1186" t="s">
        <v>4926</v>
      </c>
      <c r="C1186" t="s">
        <v>1196</v>
      </c>
      <c r="D1186" t="s">
        <v>6039</v>
      </c>
      <c r="E1186" t="s">
        <v>6040</v>
      </c>
      <c r="J1186" t="s">
        <v>6718</v>
      </c>
      <c r="M1186" t="e">
        <v>#N/A</v>
      </c>
      <c r="N1186" t="e">
        <v>#N/A</v>
      </c>
      <c r="O1186" t="e">
        <v>#N/A</v>
      </c>
      <c r="P1186" t="e">
        <v>#N/A</v>
      </c>
      <c r="R1186" t="e">
        <v>#N/A</v>
      </c>
      <c r="T1186" t="s">
        <v>5983</v>
      </c>
      <c r="U1186" t="s">
        <v>5983</v>
      </c>
      <c r="V1186" t="s">
        <v>5983</v>
      </c>
      <c r="Y1186" t="s">
        <v>6948</v>
      </c>
      <c r="Z1186" t="s">
        <v>6949</v>
      </c>
      <c r="AA1186" t="s">
        <v>6950</v>
      </c>
      <c r="AB1186" t="s">
        <v>6951</v>
      </c>
      <c r="AC1186" t="s">
        <v>6952</v>
      </c>
      <c r="AD1186" t="s">
        <v>6953</v>
      </c>
    </row>
    <row r="1187" spans="1:30">
      <c r="A1187">
        <v>11006829</v>
      </c>
      <c r="B1187" t="s">
        <v>4927</v>
      </c>
      <c r="C1187" t="s">
        <v>1010</v>
      </c>
      <c r="D1187" t="s">
        <v>6039</v>
      </c>
      <c r="E1187" t="s">
        <v>6040</v>
      </c>
      <c r="J1187" t="s">
        <v>6719</v>
      </c>
      <c r="M1187" t="e">
        <v>#N/A</v>
      </c>
      <c r="N1187" t="e">
        <v>#N/A</v>
      </c>
      <c r="O1187" t="e">
        <v>#N/A</v>
      </c>
      <c r="P1187" t="e">
        <v>#N/A</v>
      </c>
      <c r="R1187" t="e">
        <v>#N/A</v>
      </c>
      <c r="T1187" t="s">
        <v>5983</v>
      </c>
      <c r="U1187" t="s">
        <v>5983</v>
      </c>
      <c r="V1187" t="s">
        <v>5983</v>
      </c>
      <c r="Y1187" t="s">
        <v>6948</v>
      </c>
      <c r="Z1187" t="s">
        <v>6949</v>
      </c>
      <c r="AA1187" t="s">
        <v>6950</v>
      </c>
      <c r="AB1187" t="s">
        <v>6951</v>
      </c>
      <c r="AC1187" t="s">
        <v>6952</v>
      </c>
      <c r="AD1187" t="s">
        <v>6953</v>
      </c>
    </row>
    <row r="1188" spans="1:30">
      <c r="A1188">
        <v>11006827</v>
      </c>
      <c r="B1188" t="s">
        <v>4928</v>
      </c>
      <c r="C1188" t="s">
        <v>1224</v>
      </c>
      <c r="D1188" t="s">
        <v>6039</v>
      </c>
      <c r="E1188" t="s">
        <v>6040</v>
      </c>
      <c r="J1188" t="s">
        <v>6720</v>
      </c>
      <c r="M1188" t="e">
        <v>#N/A</v>
      </c>
      <c r="N1188" t="e">
        <v>#N/A</v>
      </c>
      <c r="O1188" t="e">
        <v>#N/A</v>
      </c>
      <c r="P1188" t="e">
        <v>#N/A</v>
      </c>
      <c r="R1188" t="e">
        <v>#N/A</v>
      </c>
      <c r="T1188" t="s">
        <v>5983</v>
      </c>
      <c r="U1188" t="s">
        <v>5983</v>
      </c>
      <c r="V1188" t="s">
        <v>5983</v>
      </c>
      <c r="Y1188" t="s">
        <v>6948</v>
      </c>
      <c r="Z1188" t="s">
        <v>6949</v>
      </c>
      <c r="AA1188" t="s">
        <v>6950</v>
      </c>
      <c r="AB1188" t="s">
        <v>6951</v>
      </c>
      <c r="AC1188" t="s">
        <v>6952</v>
      </c>
      <c r="AD1188" t="s">
        <v>6953</v>
      </c>
    </row>
    <row r="1189" spans="1:30">
      <c r="A1189">
        <v>11006261</v>
      </c>
      <c r="B1189" t="s">
        <v>4929</v>
      </c>
      <c r="C1189" t="s">
        <v>5802</v>
      </c>
      <c r="D1189" t="s">
        <v>6041</v>
      </c>
      <c r="E1189" t="s">
        <v>6042</v>
      </c>
      <c r="J1189" t="s">
        <v>6721</v>
      </c>
      <c r="M1189" t="e">
        <v>#N/A</v>
      </c>
      <c r="N1189" t="e">
        <v>#N/A</v>
      </c>
      <c r="O1189" t="e">
        <v>#N/A</v>
      </c>
      <c r="P1189" t="e">
        <v>#N/A</v>
      </c>
      <c r="R1189" t="e">
        <v>#N/A</v>
      </c>
      <c r="T1189" t="s">
        <v>5983</v>
      </c>
      <c r="U1189" t="s">
        <v>5983</v>
      </c>
      <c r="V1189" t="s">
        <v>5983</v>
      </c>
      <c r="Y1189" t="s">
        <v>6948</v>
      </c>
      <c r="Z1189" t="s">
        <v>6949</v>
      </c>
      <c r="AA1189" t="s">
        <v>6950</v>
      </c>
      <c r="AB1189" t="s">
        <v>6951</v>
      </c>
      <c r="AC1189" t="s">
        <v>6952</v>
      </c>
      <c r="AD1189" t="s">
        <v>6953</v>
      </c>
    </row>
    <row r="1190" spans="1:30">
      <c r="A1190">
        <v>11006256</v>
      </c>
      <c r="B1190" t="s">
        <v>4930</v>
      </c>
      <c r="C1190" t="s">
        <v>5803</v>
      </c>
      <c r="D1190" t="s">
        <v>6043</v>
      </c>
      <c r="E1190" t="s">
        <v>6044</v>
      </c>
      <c r="J1190" t="s">
        <v>6722</v>
      </c>
      <c r="M1190" t="e">
        <v>#N/A</v>
      </c>
      <c r="N1190" t="e">
        <v>#N/A</v>
      </c>
      <c r="O1190" t="e">
        <v>#N/A</v>
      </c>
      <c r="P1190" t="e">
        <v>#N/A</v>
      </c>
      <c r="R1190" t="e">
        <v>#N/A</v>
      </c>
      <c r="T1190" t="s">
        <v>5983</v>
      </c>
      <c r="U1190" t="s">
        <v>5983</v>
      </c>
      <c r="V1190" t="s">
        <v>5983</v>
      </c>
      <c r="Y1190" t="s">
        <v>6948</v>
      </c>
      <c r="Z1190" t="s">
        <v>6949</v>
      </c>
      <c r="AA1190" t="s">
        <v>6950</v>
      </c>
      <c r="AB1190" t="s">
        <v>6951</v>
      </c>
      <c r="AC1190" t="s">
        <v>6952</v>
      </c>
      <c r="AD1190" t="s">
        <v>6953</v>
      </c>
    </row>
    <row r="1191" spans="1:30">
      <c r="A1191">
        <v>11006254</v>
      </c>
      <c r="B1191" t="s">
        <v>4931</v>
      </c>
      <c r="C1191" t="s">
        <v>5804</v>
      </c>
      <c r="D1191" t="s">
        <v>6043</v>
      </c>
      <c r="E1191" t="s">
        <v>6044</v>
      </c>
      <c r="J1191" t="s">
        <v>6723</v>
      </c>
      <c r="M1191" t="e">
        <v>#N/A</v>
      </c>
      <c r="N1191" t="e">
        <v>#N/A</v>
      </c>
      <c r="O1191" t="e">
        <v>#N/A</v>
      </c>
      <c r="P1191" t="e">
        <v>#N/A</v>
      </c>
      <c r="R1191" t="e">
        <v>#N/A</v>
      </c>
      <c r="T1191" t="s">
        <v>5983</v>
      </c>
      <c r="U1191" t="s">
        <v>5985</v>
      </c>
      <c r="V1191" t="s">
        <v>5985</v>
      </c>
      <c r="Y1191" t="s">
        <v>6948</v>
      </c>
      <c r="Z1191" t="s">
        <v>6949</v>
      </c>
      <c r="AA1191" t="s">
        <v>6950</v>
      </c>
      <c r="AB1191" t="s">
        <v>6951</v>
      </c>
      <c r="AC1191" t="s">
        <v>6952</v>
      </c>
      <c r="AD1191" t="s">
        <v>6953</v>
      </c>
    </row>
    <row r="1192" spans="1:30">
      <c r="A1192" t="s">
        <v>4604</v>
      </c>
      <c r="B1192" t="s">
        <v>4932</v>
      </c>
      <c r="C1192" t="s">
        <v>5805</v>
      </c>
      <c r="D1192">
        <v>0</v>
      </c>
      <c r="E1192">
        <v>0</v>
      </c>
      <c r="J1192">
        <v>0</v>
      </c>
      <c r="M1192" t="e">
        <v>#N/A</v>
      </c>
      <c r="N1192" t="e">
        <v>#N/A</v>
      </c>
      <c r="O1192" t="e">
        <v>#N/A</v>
      </c>
      <c r="P1192" t="e">
        <v>#N/A</v>
      </c>
      <c r="R1192" t="e">
        <v>#N/A</v>
      </c>
      <c r="T1192">
        <v>0</v>
      </c>
      <c r="U1192">
        <v>0</v>
      </c>
      <c r="V1192" t="s">
        <v>5983</v>
      </c>
      <c r="Y1192" t="s">
        <v>6948</v>
      </c>
      <c r="Z1192" t="s">
        <v>6949</v>
      </c>
      <c r="AA1192" t="s">
        <v>6950</v>
      </c>
      <c r="AB1192" t="s">
        <v>6951</v>
      </c>
      <c r="AC1192" t="s">
        <v>6952</v>
      </c>
      <c r="AD1192" t="s">
        <v>6953</v>
      </c>
    </row>
    <row r="1193" spans="1:30">
      <c r="A1193" t="s">
        <v>4604</v>
      </c>
      <c r="B1193" t="s">
        <v>4933</v>
      </c>
      <c r="C1193" t="s">
        <v>5806</v>
      </c>
      <c r="D1193">
        <v>0</v>
      </c>
      <c r="E1193">
        <v>0</v>
      </c>
      <c r="J1193">
        <v>0</v>
      </c>
      <c r="M1193" t="e">
        <v>#N/A</v>
      </c>
      <c r="N1193" t="e">
        <v>#N/A</v>
      </c>
      <c r="O1193" t="e">
        <v>#N/A</v>
      </c>
      <c r="P1193" t="e">
        <v>#N/A</v>
      </c>
      <c r="R1193" t="e">
        <v>#N/A</v>
      </c>
      <c r="T1193">
        <v>0</v>
      </c>
      <c r="U1193">
        <v>0</v>
      </c>
      <c r="V1193" t="s">
        <v>5983</v>
      </c>
      <c r="Y1193" t="s">
        <v>6948</v>
      </c>
      <c r="Z1193" t="s">
        <v>6949</v>
      </c>
      <c r="AA1193" t="s">
        <v>6950</v>
      </c>
      <c r="AB1193" t="s">
        <v>6951</v>
      </c>
      <c r="AC1193" t="s">
        <v>6952</v>
      </c>
      <c r="AD1193" t="s">
        <v>6953</v>
      </c>
    </row>
    <row r="1194" spans="1:30">
      <c r="A1194">
        <v>11006253</v>
      </c>
      <c r="B1194" t="s">
        <v>4934</v>
      </c>
      <c r="C1194" t="s">
        <v>5803</v>
      </c>
      <c r="D1194" t="s">
        <v>6029</v>
      </c>
      <c r="E1194" t="s">
        <v>5949</v>
      </c>
      <c r="J1194" t="s">
        <v>6724</v>
      </c>
      <c r="M1194" t="e">
        <v>#N/A</v>
      </c>
      <c r="N1194" t="e">
        <v>#N/A</v>
      </c>
      <c r="O1194" t="e">
        <v>#N/A</v>
      </c>
      <c r="P1194" t="e">
        <v>#N/A</v>
      </c>
      <c r="R1194" t="e">
        <v>#N/A</v>
      </c>
      <c r="T1194" t="s">
        <v>5985</v>
      </c>
      <c r="U1194" t="s">
        <v>5985</v>
      </c>
      <c r="V1194" t="s">
        <v>5983</v>
      </c>
      <c r="Y1194" t="s">
        <v>6948</v>
      </c>
      <c r="Z1194" t="s">
        <v>6949</v>
      </c>
      <c r="AA1194" t="s">
        <v>6950</v>
      </c>
      <c r="AB1194" t="s">
        <v>6951</v>
      </c>
      <c r="AC1194" t="s">
        <v>6952</v>
      </c>
      <c r="AD1194" t="s">
        <v>6953</v>
      </c>
    </row>
    <row r="1195" spans="1:30">
      <c r="A1195" t="s">
        <v>4604</v>
      </c>
      <c r="B1195" t="s">
        <v>4935</v>
      </c>
      <c r="C1195" t="s">
        <v>5804</v>
      </c>
      <c r="D1195" t="s">
        <v>6029</v>
      </c>
      <c r="E1195" t="s">
        <v>5949</v>
      </c>
      <c r="J1195" t="s">
        <v>6725</v>
      </c>
      <c r="M1195" t="e">
        <v>#N/A</v>
      </c>
      <c r="N1195" t="e">
        <v>#N/A</v>
      </c>
      <c r="O1195" t="e">
        <v>#N/A</v>
      </c>
      <c r="P1195" t="e">
        <v>#N/A</v>
      </c>
      <c r="R1195" t="e">
        <v>#N/A</v>
      </c>
      <c r="T1195" t="s">
        <v>5983</v>
      </c>
      <c r="U1195" t="s">
        <v>5983</v>
      </c>
      <c r="V1195" t="s">
        <v>5983</v>
      </c>
      <c r="Y1195" t="s">
        <v>6948</v>
      </c>
      <c r="Z1195" t="s">
        <v>6949</v>
      </c>
      <c r="AA1195" t="s">
        <v>6950</v>
      </c>
      <c r="AB1195" t="s">
        <v>6951</v>
      </c>
      <c r="AC1195" t="s">
        <v>6952</v>
      </c>
      <c r="AD1195" t="s">
        <v>6953</v>
      </c>
    </row>
    <row r="1196" spans="1:30">
      <c r="A1196" t="s">
        <v>4604</v>
      </c>
      <c r="B1196" t="s">
        <v>4936</v>
      </c>
      <c r="C1196" t="s">
        <v>1013</v>
      </c>
      <c r="D1196">
        <v>0</v>
      </c>
      <c r="E1196">
        <v>0</v>
      </c>
      <c r="J1196" t="s">
        <v>6726</v>
      </c>
      <c r="M1196" t="e">
        <v>#N/A</v>
      </c>
      <c r="N1196" t="e">
        <v>#N/A</v>
      </c>
      <c r="O1196" t="e">
        <v>#N/A</v>
      </c>
      <c r="P1196" t="e">
        <v>#N/A</v>
      </c>
      <c r="R1196" t="e">
        <v>#N/A</v>
      </c>
      <c r="T1196">
        <v>0</v>
      </c>
      <c r="U1196">
        <v>0</v>
      </c>
      <c r="V1196" t="s">
        <v>5983</v>
      </c>
      <c r="Y1196" t="s">
        <v>6948</v>
      </c>
      <c r="Z1196" t="s">
        <v>6949</v>
      </c>
      <c r="AA1196" t="s">
        <v>6950</v>
      </c>
      <c r="AB1196" t="s">
        <v>6951</v>
      </c>
      <c r="AC1196" t="s">
        <v>6952</v>
      </c>
      <c r="AD1196" t="s">
        <v>6953</v>
      </c>
    </row>
    <row r="1197" spans="1:30">
      <c r="A1197" t="s">
        <v>4604</v>
      </c>
      <c r="B1197" t="s">
        <v>4937</v>
      </c>
      <c r="C1197" t="s">
        <v>5806</v>
      </c>
      <c r="D1197">
        <v>0</v>
      </c>
      <c r="E1197">
        <v>0</v>
      </c>
      <c r="J1197" t="s">
        <v>6727</v>
      </c>
      <c r="M1197" t="e">
        <v>#N/A</v>
      </c>
      <c r="N1197" t="e">
        <v>#N/A</v>
      </c>
      <c r="O1197" t="e">
        <v>#N/A</v>
      </c>
      <c r="P1197" t="e">
        <v>#N/A</v>
      </c>
      <c r="R1197" t="e">
        <v>#N/A</v>
      </c>
      <c r="T1197">
        <v>0</v>
      </c>
      <c r="U1197">
        <v>0</v>
      </c>
      <c r="V1197" t="s">
        <v>5983</v>
      </c>
      <c r="Y1197" t="s">
        <v>6948</v>
      </c>
      <c r="Z1197" t="s">
        <v>6949</v>
      </c>
      <c r="AA1197" t="s">
        <v>6950</v>
      </c>
      <c r="AB1197" t="s">
        <v>6951</v>
      </c>
      <c r="AC1197" t="s">
        <v>6952</v>
      </c>
      <c r="AD1197" t="s">
        <v>6953</v>
      </c>
    </row>
    <row r="1198" spans="1:30">
      <c r="A1198">
        <v>11006251</v>
      </c>
      <c r="B1198" t="s">
        <v>4938</v>
      </c>
      <c r="C1198" t="s">
        <v>5778</v>
      </c>
      <c r="D1198" t="s">
        <v>6045</v>
      </c>
      <c r="E1198" t="s">
        <v>6046</v>
      </c>
      <c r="J1198" t="s">
        <v>6728</v>
      </c>
      <c r="M1198" t="e">
        <v>#N/A</v>
      </c>
      <c r="N1198" t="e">
        <v>#N/A</v>
      </c>
      <c r="O1198" t="e">
        <v>#N/A</v>
      </c>
      <c r="P1198" t="e">
        <v>#N/A</v>
      </c>
      <c r="R1198" t="e">
        <v>#N/A</v>
      </c>
      <c r="T1198" t="s">
        <v>5983</v>
      </c>
      <c r="U1198" t="s">
        <v>5983</v>
      </c>
      <c r="V1198" t="s">
        <v>5983</v>
      </c>
      <c r="Y1198" t="s">
        <v>6948</v>
      </c>
      <c r="Z1198" t="s">
        <v>6949</v>
      </c>
      <c r="AA1198" t="s">
        <v>6950</v>
      </c>
      <c r="AB1198" t="s">
        <v>6951</v>
      </c>
      <c r="AC1198" t="s">
        <v>6952</v>
      </c>
      <c r="AD1198" t="s">
        <v>6953</v>
      </c>
    </row>
    <row r="1199" spans="1:30">
      <c r="A1199">
        <v>11006249</v>
      </c>
      <c r="B1199" t="s">
        <v>4939</v>
      </c>
      <c r="C1199" t="s">
        <v>5807</v>
      </c>
      <c r="D1199" t="s">
        <v>6045</v>
      </c>
      <c r="E1199" t="s">
        <v>6046</v>
      </c>
      <c r="J1199" t="s">
        <v>6729</v>
      </c>
      <c r="M1199" t="e">
        <v>#N/A</v>
      </c>
      <c r="N1199" t="e">
        <v>#N/A</v>
      </c>
      <c r="O1199" t="e">
        <v>#N/A</v>
      </c>
      <c r="P1199" t="e">
        <v>#N/A</v>
      </c>
      <c r="R1199" t="e">
        <v>#N/A</v>
      </c>
      <c r="T1199" t="s">
        <v>5985</v>
      </c>
      <c r="U1199" t="s">
        <v>5985</v>
      </c>
      <c r="V1199" t="s">
        <v>5983</v>
      </c>
      <c r="Y1199" t="s">
        <v>6948</v>
      </c>
      <c r="Z1199" t="s">
        <v>6949</v>
      </c>
      <c r="AA1199" t="s">
        <v>6950</v>
      </c>
      <c r="AB1199" t="s">
        <v>6951</v>
      </c>
      <c r="AC1199" t="s">
        <v>6952</v>
      </c>
      <c r="AD1199" t="s">
        <v>6953</v>
      </c>
    </row>
    <row r="1200" spans="1:30">
      <c r="A1200" t="s">
        <v>4604</v>
      </c>
      <c r="B1200" t="s">
        <v>4940</v>
      </c>
      <c r="C1200" t="s">
        <v>5780</v>
      </c>
      <c r="D1200" t="s">
        <v>6045</v>
      </c>
      <c r="E1200" t="s">
        <v>6046</v>
      </c>
      <c r="J1200" t="s">
        <v>6730</v>
      </c>
      <c r="M1200" t="e">
        <v>#N/A</v>
      </c>
      <c r="N1200" t="e">
        <v>#N/A</v>
      </c>
      <c r="O1200" t="e">
        <v>#N/A</v>
      </c>
      <c r="P1200" t="e">
        <v>#N/A</v>
      </c>
      <c r="R1200" t="e">
        <v>#N/A</v>
      </c>
      <c r="T1200" t="s">
        <v>5983</v>
      </c>
      <c r="U1200" t="s">
        <v>5983</v>
      </c>
      <c r="V1200" t="s">
        <v>5983</v>
      </c>
      <c r="Y1200" t="s">
        <v>6948</v>
      </c>
      <c r="Z1200" t="s">
        <v>6949</v>
      </c>
      <c r="AA1200" t="s">
        <v>6950</v>
      </c>
      <c r="AB1200" t="s">
        <v>6951</v>
      </c>
      <c r="AC1200" t="s">
        <v>6952</v>
      </c>
      <c r="AD1200" t="s">
        <v>6953</v>
      </c>
    </row>
    <row r="1201" spans="1:30">
      <c r="A1201" t="s">
        <v>4604</v>
      </c>
      <c r="B1201" t="s">
        <v>4941</v>
      </c>
      <c r="C1201" t="s">
        <v>5808</v>
      </c>
      <c r="D1201" t="s">
        <v>6045</v>
      </c>
      <c r="E1201" t="s">
        <v>6046</v>
      </c>
      <c r="J1201" t="s">
        <v>6731</v>
      </c>
      <c r="M1201" t="e">
        <v>#N/A</v>
      </c>
      <c r="N1201" t="e">
        <v>#N/A</v>
      </c>
      <c r="O1201" t="e">
        <v>#N/A</v>
      </c>
      <c r="P1201" t="e">
        <v>#N/A</v>
      </c>
      <c r="R1201" t="e">
        <v>#N/A</v>
      </c>
      <c r="T1201" t="s">
        <v>5983</v>
      </c>
      <c r="U1201" t="s">
        <v>5983</v>
      </c>
      <c r="V1201" t="s">
        <v>5983</v>
      </c>
      <c r="Y1201" t="s">
        <v>6948</v>
      </c>
      <c r="Z1201" t="s">
        <v>6949</v>
      </c>
      <c r="AA1201" t="s">
        <v>6950</v>
      </c>
      <c r="AB1201" t="s">
        <v>6951</v>
      </c>
      <c r="AC1201" t="s">
        <v>6952</v>
      </c>
      <c r="AD1201" t="s">
        <v>6953</v>
      </c>
    </row>
    <row r="1202" spans="1:30">
      <c r="A1202">
        <v>11006248</v>
      </c>
      <c r="B1202" t="s">
        <v>4942</v>
      </c>
      <c r="C1202" t="s">
        <v>5809</v>
      </c>
      <c r="D1202" t="s">
        <v>6047</v>
      </c>
      <c r="E1202" t="s">
        <v>6048</v>
      </c>
      <c r="J1202" t="s">
        <v>6732</v>
      </c>
      <c r="M1202" t="e">
        <v>#N/A</v>
      </c>
      <c r="N1202" t="e">
        <v>#N/A</v>
      </c>
      <c r="O1202" t="e">
        <v>#N/A</v>
      </c>
      <c r="P1202" t="e">
        <v>#N/A</v>
      </c>
      <c r="R1202" t="e">
        <v>#N/A</v>
      </c>
      <c r="T1202" t="s">
        <v>5983</v>
      </c>
      <c r="U1202" t="s">
        <v>5983</v>
      </c>
      <c r="V1202" t="s">
        <v>5983</v>
      </c>
      <c r="Y1202" t="s">
        <v>6948</v>
      </c>
      <c r="Z1202" t="s">
        <v>6949</v>
      </c>
      <c r="AA1202" t="s">
        <v>6950</v>
      </c>
      <c r="AB1202" t="s">
        <v>6951</v>
      </c>
      <c r="AC1202" t="s">
        <v>6952</v>
      </c>
      <c r="AD1202" t="s">
        <v>6953</v>
      </c>
    </row>
    <row r="1203" spans="1:30">
      <c r="A1203">
        <v>11006245</v>
      </c>
      <c r="B1203" t="s">
        <v>4943</v>
      </c>
      <c r="C1203" t="s">
        <v>5810</v>
      </c>
      <c r="D1203" t="s">
        <v>6047</v>
      </c>
      <c r="E1203" t="s">
        <v>6048</v>
      </c>
      <c r="J1203" t="s">
        <v>6733</v>
      </c>
      <c r="M1203" t="e">
        <v>#N/A</v>
      </c>
      <c r="N1203" t="e">
        <v>#N/A</v>
      </c>
      <c r="O1203" t="e">
        <v>#N/A</v>
      </c>
      <c r="P1203" t="e">
        <v>#N/A</v>
      </c>
      <c r="R1203" t="e">
        <v>#N/A</v>
      </c>
      <c r="T1203" t="s">
        <v>5983</v>
      </c>
      <c r="U1203" t="s">
        <v>5983</v>
      </c>
      <c r="V1203" t="s">
        <v>5983</v>
      </c>
      <c r="Y1203" t="s">
        <v>6948</v>
      </c>
      <c r="Z1203" t="s">
        <v>6949</v>
      </c>
      <c r="AA1203" t="s">
        <v>6950</v>
      </c>
      <c r="AB1203" t="s">
        <v>6951</v>
      </c>
      <c r="AC1203" t="s">
        <v>6952</v>
      </c>
      <c r="AD1203" t="s">
        <v>6953</v>
      </c>
    </row>
    <row r="1204" spans="1:30">
      <c r="A1204" t="s">
        <v>4604</v>
      </c>
      <c r="B1204" t="s">
        <v>4944</v>
      </c>
      <c r="C1204" t="s">
        <v>1018</v>
      </c>
      <c r="D1204" t="s">
        <v>6047</v>
      </c>
      <c r="E1204" t="s">
        <v>6048</v>
      </c>
      <c r="J1204" t="s">
        <v>6734</v>
      </c>
      <c r="M1204" t="e">
        <v>#N/A</v>
      </c>
      <c r="N1204" t="e">
        <v>#N/A</v>
      </c>
      <c r="O1204" t="e">
        <v>#N/A</v>
      </c>
      <c r="P1204" t="e">
        <v>#N/A</v>
      </c>
      <c r="R1204" t="e">
        <v>#N/A</v>
      </c>
      <c r="T1204" t="s">
        <v>5983</v>
      </c>
      <c r="U1204" t="s">
        <v>5983</v>
      </c>
      <c r="V1204" t="s">
        <v>5983</v>
      </c>
      <c r="Y1204" t="s">
        <v>6948</v>
      </c>
      <c r="Z1204" t="s">
        <v>6949</v>
      </c>
      <c r="AA1204" t="s">
        <v>6950</v>
      </c>
      <c r="AB1204" t="s">
        <v>6951</v>
      </c>
      <c r="AC1204" t="s">
        <v>6952</v>
      </c>
      <c r="AD1204" t="s">
        <v>6953</v>
      </c>
    </row>
    <row r="1205" spans="1:30">
      <c r="A1205" t="s">
        <v>4604</v>
      </c>
      <c r="B1205" t="s">
        <v>4945</v>
      </c>
      <c r="C1205" t="s">
        <v>1019</v>
      </c>
      <c r="D1205" t="s">
        <v>6047</v>
      </c>
      <c r="E1205" t="s">
        <v>6048</v>
      </c>
      <c r="J1205" t="s">
        <v>6735</v>
      </c>
      <c r="M1205" t="e">
        <v>#N/A</v>
      </c>
      <c r="N1205" t="e">
        <v>#N/A</v>
      </c>
      <c r="O1205" t="e">
        <v>#N/A</v>
      </c>
      <c r="P1205" t="e">
        <v>#N/A</v>
      </c>
      <c r="R1205" t="e">
        <v>#N/A</v>
      </c>
      <c r="T1205" t="s">
        <v>5983</v>
      </c>
      <c r="U1205" t="s">
        <v>5983</v>
      </c>
      <c r="V1205" t="s">
        <v>5983</v>
      </c>
      <c r="Y1205" t="s">
        <v>6948</v>
      </c>
      <c r="Z1205" t="s">
        <v>6949</v>
      </c>
      <c r="AA1205" t="s">
        <v>6950</v>
      </c>
      <c r="AB1205" t="s">
        <v>6951</v>
      </c>
      <c r="AC1205" t="s">
        <v>6952</v>
      </c>
      <c r="AD1205" t="s">
        <v>6953</v>
      </c>
    </row>
    <row r="1206" spans="1:30">
      <c r="A1206">
        <v>11006244</v>
      </c>
      <c r="B1206" t="s">
        <v>4946</v>
      </c>
      <c r="C1206" t="s">
        <v>5811</v>
      </c>
      <c r="D1206" t="s">
        <v>6029</v>
      </c>
      <c r="E1206" t="s">
        <v>5949</v>
      </c>
      <c r="J1206" t="s">
        <v>6736</v>
      </c>
      <c r="M1206" t="e">
        <v>#N/A</v>
      </c>
      <c r="N1206" t="e">
        <v>#N/A</v>
      </c>
      <c r="O1206" t="e">
        <v>#N/A</v>
      </c>
      <c r="P1206" t="e">
        <v>#N/A</v>
      </c>
      <c r="R1206" t="e">
        <v>#N/A</v>
      </c>
      <c r="T1206" t="s">
        <v>5985</v>
      </c>
      <c r="U1206" t="s">
        <v>5985</v>
      </c>
      <c r="V1206" t="s">
        <v>5983</v>
      </c>
      <c r="Y1206" t="s">
        <v>6948</v>
      </c>
      <c r="Z1206" t="s">
        <v>6949</v>
      </c>
      <c r="AA1206" t="s">
        <v>6950</v>
      </c>
      <c r="AB1206" t="s">
        <v>6951</v>
      </c>
      <c r="AC1206" t="s">
        <v>6952</v>
      </c>
      <c r="AD1206" t="s">
        <v>6953</v>
      </c>
    </row>
    <row r="1207" spans="1:30">
      <c r="A1207" t="s">
        <v>4604</v>
      </c>
      <c r="B1207" t="s">
        <v>4947</v>
      </c>
      <c r="C1207" t="s">
        <v>5810</v>
      </c>
      <c r="D1207" t="s">
        <v>6029</v>
      </c>
      <c r="E1207" t="s">
        <v>5949</v>
      </c>
      <c r="J1207" t="s">
        <v>6737</v>
      </c>
      <c r="M1207" t="e">
        <v>#N/A</v>
      </c>
      <c r="N1207" t="e">
        <v>#N/A</v>
      </c>
      <c r="O1207" t="e">
        <v>#N/A</v>
      </c>
      <c r="P1207" t="e">
        <v>#N/A</v>
      </c>
      <c r="R1207" t="e">
        <v>#N/A</v>
      </c>
      <c r="T1207" t="s">
        <v>5985</v>
      </c>
      <c r="U1207" t="s">
        <v>5985</v>
      </c>
      <c r="V1207" t="s">
        <v>5983</v>
      </c>
      <c r="Y1207" t="s">
        <v>6948</v>
      </c>
      <c r="Z1207" t="s">
        <v>6949</v>
      </c>
      <c r="AA1207" t="s">
        <v>6950</v>
      </c>
      <c r="AB1207" t="s">
        <v>6951</v>
      </c>
      <c r="AC1207" t="s">
        <v>6952</v>
      </c>
      <c r="AD1207" t="s">
        <v>6953</v>
      </c>
    </row>
    <row r="1208" spans="1:30">
      <c r="A1208" t="s">
        <v>4604</v>
      </c>
      <c r="B1208" t="s">
        <v>4948</v>
      </c>
      <c r="C1208" t="s">
        <v>5812</v>
      </c>
      <c r="D1208">
        <v>0</v>
      </c>
      <c r="E1208">
        <v>0</v>
      </c>
      <c r="J1208" t="s">
        <v>6738</v>
      </c>
      <c r="M1208" t="e">
        <v>#N/A</v>
      </c>
      <c r="N1208" t="e">
        <v>#N/A</v>
      </c>
      <c r="O1208" t="e">
        <v>#N/A</v>
      </c>
      <c r="P1208" t="e">
        <v>#N/A</v>
      </c>
      <c r="R1208" t="e">
        <v>#N/A</v>
      </c>
      <c r="T1208">
        <v>0</v>
      </c>
      <c r="U1208">
        <v>0</v>
      </c>
      <c r="V1208" t="s">
        <v>5983</v>
      </c>
      <c r="Y1208" t="s">
        <v>6948</v>
      </c>
      <c r="Z1208" t="s">
        <v>6949</v>
      </c>
      <c r="AA1208" t="s">
        <v>6950</v>
      </c>
      <c r="AB1208" t="s">
        <v>6951</v>
      </c>
      <c r="AC1208" t="s">
        <v>6952</v>
      </c>
      <c r="AD1208" t="s">
        <v>6953</v>
      </c>
    </row>
    <row r="1209" spans="1:30">
      <c r="A1209" t="s">
        <v>4604</v>
      </c>
      <c r="B1209" t="s">
        <v>4949</v>
      </c>
      <c r="C1209" t="s">
        <v>1019</v>
      </c>
      <c r="D1209">
        <v>0</v>
      </c>
      <c r="E1209">
        <v>0</v>
      </c>
      <c r="J1209" t="s">
        <v>6739</v>
      </c>
      <c r="M1209" t="e">
        <v>#N/A</v>
      </c>
      <c r="N1209" t="e">
        <v>#N/A</v>
      </c>
      <c r="O1209" t="e">
        <v>#N/A</v>
      </c>
      <c r="P1209" t="e">
        <v>#N/A</v>
      </c>
      <c r="R1209" t="e">
        <v>#N/A</v>
      </c>
      <c r="T1209">
        <v>0</v>
      </c>
      <c r="U1209">
        <v>0</v>
      </c>
      <c r="V1209" t="s">
        <v>5983</v>
      </c>
      <c r="Y1209" t="s">
        <v>6948</v>
      </c>
      <c r="Z1209" t="s">
        <v>6949</v>
      </c>
      <c r="AA1209" t="s">
        <v>6950</v>
      </c>
      <c r="AB1209" t="s">
        <v>6951</v>
      </c>
      <c r="AC1209" t="s">
        <v>6952</v>
      </c>
      <c r="AD1209" t="s">
        <v>6953</v>
      </c>
    </row>
    <row r="1210" spans="1:30">
      <c r="A1210" t="s">
        <v>4604</v>
      </c>
      <c r="B1210" t="s">
        <v>4950</v>
      </c>
      <c r="C1210" t="s">
        <v>5802</v>
      </c>
      <c r="D1210">
        <v>0</v>
      </c>
      <c r="E1210">
        <v>0</v>
      </c>
      <c r="J1210">
        <v>0</v>
      </c>
      <c r="M1210" t="e">
        <v>#N/A</v>
      </c>
      <c r="N1210" t="e">
        <v>#N/A</v>
      </c>
      <c r="O1210" t="e">
        <v>#N/A</v>
      </c>
      <c r="P1210" t="e">
        <v>#N/A</v>
      </c>
      <c r="R1210" t="e">
        <v>#N/A</v>
      </c>
      <c r="T1210">
        <v>0</v>
      </c>
      <c r="U1210">
        <v>0</v>
      </c>
      <c r="V1210" t="s">
        <v>5983</v>
      </c>
      <c r="Y1210" t="s">
        <v>6948</v>
      </c>
      <c r="Z1210" t="s">
        <v>6949</v>
      </c>
      <c r="AA1210" t="s">
        <v>6950</v>
      </c>
      <c r="AB1210" t="s">
        <v>6951</v>
      </c>
      <c r="AC1210" t="s">
        <v>6952</v>
      </c>
      <c r="AD1210" t="s">
        <v>6953</v>
      </c>
    </row>
    <row r="1211" spans="1:30">
      <c r="A1211" t="s">
        <v>4604</v>
      </c>
      <c r="B1211" t="s">
        <v>4951</v>
      </c>
      <c r="C1211" t="s">
        <v>5813</v>
      </c>
      <c r="D1211">
        <v>0</v>
      </c>
      <c r="E1211">
        <v>0</v>
      </c>
      <c r="J1211">
        <v>0</v>
      </c>
      <c r="M1211" t="e">
        <v>#N/A</v>
      </c>
      <c r="N1211" t="e">
        <v>#N/A</v>
      </c>
      <c r="O1211" t="e">
        <v>#N/A</v>
      </c>
      <c r="P1211" t="e">
        <v>#N/A</v>
      </c>
      <c r="R1211" t="e">
        <v>#N/A</v>
      </c>
      <c r="T1211">
        <v>0</v>
      </c>
      <c r="U1211">
        <v>0</v>
      </c>
      <c r="V1211" t="s">
        <v>5983</v>
      </c>
      <c r="Y1211" t="s">
        <v>6948</v>
      </c>
      <c r="Z1211" t="s">
        <v>6949</v>
      </c>
      <c r="AA1211" t="s">
        <v>6950</v>
      </c>
      <c r="AB1211" t="s">
        <v>6951</v>
      </c>
      <c r="AC1211" t="s">
        <v>6952</v>
      </c>
      <c r="AD1211" t="s">
        <v>6953</v>
      </c>
    </row>
    <row r="1212" spans="1:30">
      <c r="A1212" t="s">
        <v>4604</v>
      </c>
      <c r="B1212" t="s">
        <v>4952</v>
      </c>
      <c r="C1212" t="s">
        <v>5814</v>
      </c>
      <c r="D1212">
        <v>0</v>
      </c>
      <c r="E1212">
        <v>0</v>
      </c>
      <c r="J1212">
        <v>0</v>
      </c>
      <c r="M1212" t="e">
        <v>#N/A</v>
      </c>
      <c r="N1212" t="e">
        <v>#N/A</v>
      </c>
      <c r="O1212" t="e">
        <v>#N/A</v>
      </c>
      <c r="P1212" t="e">
        <v>#N/A</v>
      </c>
      <c r="R1212" t="e">
        <v>#N/A</v>
      </c>
      <c r="T1212">
        <v>0</v>
      </c>
      <c r="U1212">
        <v>0</v>
      </c>
      <c r="V1212" t="s">
        <v>5983</v>
      </c>
      <c r="Y1212" t="s">
        <v>6948</v>
      </c>
      <c r="Z1212" t="s">
        <v>6949</v>
      </c>
      <c r="AA1212" t="s">
        <v>6950</v>
      </c>
      <c r="AB1212" t="s">
        <v>6951</v>
      </c>
      <c r="AC1212" t="s">
        <v>6952</v>
      </c>
      <c r="AD1212" t="s">
        <v>6953</v>
      </c>
    </row>
    <row r="1213" spans="1:30">
      <c r="A1213" t="s">
        <v>4604</v>
      </c>
      <c r="B1213" t="s">
        <v>4953</v>
      </c>
      <c r="C1213" t="s">
        <v>5815</v>
      </c>
      <c r="D1213">
        <v>0</v>
      </c>
      <c r="E1213">
        <v>0</v>
      </c>
      <c r="J1213">
        <v>0</v>
      </c>
      <c r="M1213" t="e">
        <v>#N/A</v>
      </c>
      <c r="N1213" t="e">
        <v>#N/A</v>
      </c>
      <c r="O1213" t="e">
        <v>#N/A</v>
      </c>
      <c r="P1213" t="e">
        <v>#N/A</v>
      </c>
      <c r="R1213" t="e">
        <v>#N/A</v>
      </c>
      <c r="T1213">
        <v>0</v>
      </c>
      <c r="U1213">
        <v>0</v>
      </c>
      <c r="V1213" t="s">
        <v>5983</v>
      </c>
      <c r="Y1213" t="s">
        <v>6948</v>
      </c>
      <c r="Z1213" t="s">
        <v>6949</v>
      </c>
      <c r="AA1213" t="s">
        <v>6950</v>
      </c>
      <c r="AB1213" t="s">
        <v>6951</v>
      </c>
      <c r="AC1213" t="s">
        <v>6952</v>
      </c>
      <c r="AD1213" t="s">
        <v>6953</v>
      </c>
    </row>
    <row r="1214" spans="1:30">
      <c r="A1214" t="s">
        <v>4604</v>
      </c>
      <c r="B1214" t="s">
        <v>4954</v>
      </c>
      <c r="C1214" t="s">
        <v>5802</v>
      </c>
      <c r="D1214">
        <v>0</v>
      </c>
      <c r="E1214">
        <v>0</v>
      </c>
      <c r="J1214" t="s">
        <v>6740</v>
      </c>
      <c r="M1214" t="e">
        <v>#N/A</v>
      </c>
      <c r="N1214" t="e">
        <v>#N/A</v>
      </c>
      <c r="O1214" t="e">
        <v>#N/A</v>
      </c>
      <c r="P1214" t="e">
        <v>#N/A</v>
      </c>
      <c r="R1214" t="e">
        <v>#N/A</v>
      </c>
      <c r="T1214">
        <v>0</v>
      </c>
      <c r="U1214">
        <v>0</v>
      </c>
      <c r="V1214" t="s">
        <v>5983</v>
      </c>
      <c r="Y1214" t="s">
        <v>6948</v>
      </c>
      <c r="Z1214" t="s">
        <v>6949</v>
      </c>
      <c r="AA1214" t="s">
        <v>6950</v>
      </c>
      <c r="AB1214" t="s">
        <v>6951</v>
      </c>
      <c r="AC1214" t="s">
        <v>6952</v>
      </c>
      <c r="AD1214" t="s">
        <v>6953</v>
      </c>
    </row>
    <row r="1215" spans="1:30">
      <c r="A1215" t="s">
        <v>4604</v>
      </c>
      <c r="B1215" t="s">
        <v>4955</v>
      </c>
      <c r="C1215" t="s">
        <v>5813</v>
      </c>
      <c r="D1215">
        <v>0</v>
      </c>
      <c r="E1215">
        <v>0</v>
      </c>
      <c r="J1215" t="s">
        <v>6741</v>
      </c>
      <c r="M1215" t="e">
        <v>#N/A</v>
      </c>
      <c r="N1215" t="e">
        <v>#N/A</v>
      </c>
      <c r="O1215" t="e">
        <v>#N/A</v>
      </c>
      <c r="P1215" t="e">
        <v>#N/A</v>
      </c>
      <c r="R1215" t="e">
        <v>#N/A</v>
      </c>
      <c r="T1215">
        <v>0</v>
      </c>
      <c r="U1215">
        <v>0</v>
      </c>
      <c r="V1215" t="s">
        <v>5983</v>
      </c>
      <c r="Y1215" t="s">
        <v>6948</v>
      </c>
      <c r="Z1215" t="s">
        <v>6949</v>
      </c>
      <c r="AA1215" t="s">
        <v>6950</v>
      </c>
      <c r="AB1215" t="s">
        <v>6951</v>
      </c>
      <c r="AC1215" t="s">
        <v>6952</v>
      </c>
      <c r="AD1215" t="s">
        <v>6953</v>
      </c>
    </row>
    <row r="1216" spans="1:30">
      <c r="A1216" t="s">
        <v>4604</v>
      </c>
      <c r="B1216" t="s">
        <v>4956</v>
      </c>
      <c r="C1216" t="s">
        <v>5816</v>
      </c>
      <c r="D1216">
        <v>0</v>
      </c>
      <c r="E1216">
        <v>0</v>
      </c>
      <c r="J1216" t="s">
        <v>6742</v>
      </c>
      <c r="M1216" t="e">
        <v>#N/A</v>
      </c>
      <c r="N1216" t="e">
        <v>#N/A</v>
      </c>
      <c r="O1216" t="e">
        <v>#N/A</v>
      </c>
      <c r="P1216" t="e">
        <v>#N/A</v>
      </c>
      <c r="R1216" t="e">
        <v>#N/A</v>
      </c>
      <c r="T1216">
        <v>0</v>
      </c>
      <c r="U1216">
        <v>0</v>
      </c>
      <c r="V1216" t="s">
        <v>5983</v>
      </c>
      <c r="Y1216" t="s">
        <v>6948</v>
      </c>
      <c r="Z1216" t="s">
        <v>6949</v>
      </c>
      <c r="AA1216" t="s">
        <v>6950</v>
      </c>
      <c r="AB1216" t="s">
        <v>6951</v>
      </c>
      <c r="AC1216" t="s">
        <v>6952</v>
      </c>
      <c r="AD1216" t="s">
        <v>6953</v>
      </c>
    </row>
    <row r="1217" spans="1:30">
      <c r="A1217" t="s">
        <v>4604</v>
      </c>
      <c r="B1217" t="s">
        <v>4957</v>
      </c>
      <c r="C1217" t="s">
        <v>5815</v>
      </c>
      <c r="D1217">
        <v>0</v>
      </c>
      <c r="E1217">
        <v>0</v>
      </c>
      <c r="J1217" t="s">
        <v>6743</v>
      </c>
      <c r="M1217" t="e">
        <v>#N/A</v>
      </c>
      <c r="N1217" t="e">
        <v>#N/A</v>
      </c>
      <c r="O1217" t="e">
        <v>#N/A</v>
      </c>
      <c r="P1217" t="e">
        <v>#N/A</v>
      </c>
      <c r="R1217" t="e">
        <v>#N/A</v>
      </c>
      <c r="T1217">
        <v>0</v>
      </c>
      <c r="U1217">
        <v>0</v>
      </c>
      <c r="V1217" t="s">
        <v>5983</v>
      </c>
      <c r="Y1217" t="s">
        <v>6948</v>
      </c>
      <c r="Z1217" t="s">
        <v>6949</v>
      </c>
      <c r="AA1217" t="s">
        <v>6950</v>
      </c>
      <c r="AB1217" t="s">
        <v>6951</v>
      </c>
      <c r="AC1217" t="s">
        <v>6952</v>
      </c>
      <c r="AD1217" t="s">
        <v>6953</v>
      </c>
    </row>
    <row r="1218" spans="1:30">
      <c r="A1218">
        <v>11006229</v>
      </c>
      <c r="B1218" t="s">
        <v>4958</v>
      </c>
      <c r="C1218" t="s">
        <v>5817</v>
      </c>
      <c r="D1218" t="s">
        <v>6049</v>
      </c>
      <c r="E1218" t="s">
        <v>6050</v>
      </c>
      <c r="J1218" t="s">
        <v>6744</v>
      </c>
      <c r="M1218" t="e">
        <v>#N/A</v>
      </c>
      <c r="N1218" t="e">
        <v>#N/A</v>
      </c>
      <c r="O1218" t="e">
        <v>#N/A</v>
      </c>
      <c r="P1218" t="e">
        <v>#N/A</v>
      </c>
      <c r="R1218" t="e">
        <v>#N/A</v>
      </c>
      <c r="T1218" t="s">
        <v>5983</v>
      </c>
      <c r="U1218" t="s">
        <v>5983</v>
      </c>
      <c r="V1218" t="s">
        <v>5983</v>
      </c>
      <c r="Y1218" t="s">
        <v>6948</v>
      </c>
      <c r="Z1218" t="s">
        <v>6949</v>
      </c>
      <c r="AA1218" t="s">
        <v>6950</v>
      </c>
      <c r="AB1218" t="s">
        <v>6951</v>
      </c>
      <c r="AC1218" t="s">
        <v>6952</v>
      </c>
      <c r="AD1218" t="s">
        <v>6953</v>
      </c>
    </row>
    <row r="1219" spans="1:30">
      <c r="A1219">
        <v>11006225</v>
      </c>
      <c r="B1219" t="s">
        <v>4959</v>
      </c>
      <c r="C1219" t="s">
        <v>1308</v>
      </c>
      <c r="D1219" t="s">
        <v>6049</v>
      </c>
      <c r="E1219" t="s">
        <v>6050</v>
      </c>
      <c r="J1219" t="s">
        <v>6745</v>
      </c>
      <c r="M1219" t="e">
        <v>#N/A</v>
      </c>
      <c r="N1219" t="e">
        <v>#N/A</v>
      </c>
      <c r="O1219" t="e">
        <v>#N/A</v>
      </c>
      <c r="P1219" t="e">
        <v>#N/A</v>
      </c>
      <c r="R1219" t="e">
        <v>#N/A</v>
      </c>
      <c r="T1219" t="s">
        <v>5983</v>
      </c>
      <c r="U1219" t="s">
        <v>5983</v>
      </c>
      <c r="V1219" t="s">
        <v>5983</v>
      </c>
      <c r="Y1219" t="s">
        <v>6948</v>
      </c>
      <c r="Z1219" t="s">
        <v>6949</v>
      </c>
      <c r="AA1219" t="s">
        <v>6950</v>
      </c>
      <c r="AB1219" t="s">
        <v>6951</v>
      </c>
      <c r="AC1219" t="s">
        <v>6952</v>
      </c>
      <c r="AD1219" t="s">
        <v>6953</v>
      </c>
    </row>
    <row r="1220" spans="1:30">
      <c r="A1220" t="s">
        <v>4604</v>
      </c>
      <c r="B1220" t="s">
        <v>4960</v>
      </c>
      <c r="C1220" t="s">
        <v>1223</v>
      </c>
      <c r="D1220" t="s">
        <v>6051</v>
      </c>
      <c r="E1220" t="s">
        <v>6052</v>
      </c>
      <c r="J1220" t="s">
        <v>6746</v>
      </c>
      <c r="M1220" t="e">
        <v>#N/A</v>
      </c>
      <c r="N1220" t="e">
        <v>#N/A</v>
      </c>
      <c r="O1220" t="e">
        <v>#N/A</v>
      </c>
      <c r="P1220" t="e">
        <v>#N/A</v>
      </c>
      <c r="R1220" t="e">
        <v>#N/A</v>
      </c>
      <c r="T1220" t="s">
        <v>6930</v>
      </c>
      <c r="U1220" t="s">
        <v>6942</v>
      </c>
      <c r="V1220" t="s">
        <v>5985</v>
      </c>
      <c r="Y1220" t="s">
        <v>6948</v>
      </c>
      <c r="Z1220" t="s">
        <v>6949</v>
      </c>
      <c r="AA1220" t="s">
        <v>6950</v>
      </c>
      <c r="AB1220" t="s">
        <v>6951</v>
      </c>
      <c r="AC1220" t="s">
        <v>6952</v>
      </c>
      <c r="AD1220" t="s">
        <v>6953</v>
      </c>
    </row>
    <row r="1221" spans="1:30">
      <c r="A1221" t="s">
        <v>4604</v>
      </c>
      <c r="B1221" t="s">
        <v>4961</v>
      </c>
      <c r="C1221" t="s">
        <v>1224</v>
      </c>
      <c r="D1221" t="s">
        <v>6051</v>
      </c>
      <c r="E1221" t="s">
        <v>6052</v>
      </c>
      <c r="J1221" t="s">
        <v>6747</v>
      </c>
      <c r="M1221" t="e">
        <v>#N/A</v>
      </c>
      <c r="N1221" t="e">
        <v>#N/A</v>
      </c>
      <c r="O1221" t="e">
        <v>#N/A</v>
      </c>
      <c r="P1221" t="e">
        <v>#N/A</v>
      </c>
      <c r="R1221" t="e">
        <v>#N/A</v>
      </c>
      <c r="T1221" t="s">
        <v>6931</v>
      </c>
      <c r="U1221" t="s">
        <v>6943</v>
      </c>
      <c r="V1221" t="s">
        <v>5985</v>
      </c>
      <c r="Y1221" t="s">
        <v>6948</v>
      </c>
      <c r="Z1221" t="s">
        <v>6949</v>
      </c>
      <c r="AA1221" t="s">
        <v>6950</v>
      </c>
      <c r="AB1221" t="s">
        <v>6951</v>
      </c>
      <c r="AC1221" t="s">
        <v>6952</v>
      </c>
      <c r="AD1221" t="s">
        <v>6953</v>
      </c>
    </row>
    <row r="1222" spans="1:30">
      <c r="A1222" t="s">
        <v>4604</v>
      </c>
      <c r="B1222" t="s">
        <v>4962</v>
      </c>
      <c r="C1222" t="s">
        <v>1269</v>
      </c>
      <c r="D1222">
        <v>0</v>
      </c>
      <c r="E1222">
        <v>0</v>
      </c>
      <c r="J1222">
        <v>0</v>
      </c>
      <c r="M1222" t="e">
        <v>#N/A</v>
      </c>
      <c r="N1222" t="e">
        <v>#N/A</v>
      </c>
      <c r="O1222" t="e">
        <v>#N/A</v>
      </c>
      <c r="P1222" t="e">
        <v>#N/A</v>
      </c>
      <c r="R1222" t="e">
        <v>#N/A</v>
      </c>
      <c r="T1222">
        <v>0</v>
      </c>
      <c r="U1222">
        <v>0</v>
      </c>
      <c r="V1222" t="s">
        <v>5983</v>
      </c>
      <c r="Y1222" t="s">
        <v>6948</v>
      </c>
      <c r="Z1222" t="s">
        <v>6949</v>
      </c>
      <c r="AA1222" t="s">
        <v>6950</v>
      </c>
      <c r="AB1222" t="s">
        <v>6951</v>
      </c>
      <c r="AC1222" t="s">
        <v>6952</v>
      </c>
      <c r="AD1222" t="s">
        <v>6953</v>
      </c>
    </row>
    <row r="1223" spans="1:30">
      <c r="A1223" t="s">
        <v>4604</v>
      </c>
      <c r="B1223" t="s">
        <v>4963</v>
      </c>
      <c r="C1223" t="s">
        <v>1269</v>
      </c>
      <c r="D1223" t="s">
        <v>6053</v>
      </c>
      <c r="E1223" t="s">
        <v>6054</v>
      </c>
      <c r="J1223" t="s">
        <v>6748</v>
      </c>
      <c r="M1223" t="e">
        <v>#N/A</v>
      </c>
      <c r="N1223" t="e">
        <v>#N/A</v>
      </c>
      <c r="O1223" t="e">
        <v>#N/A</v>
      </c>
      <c r="P1223" t="e">
        <v>#N/A</v>
      </c>
      <c r="R1223" t="e">
        <v>#N/A</v>
      </c>
      <c r="T1223" t="s">
        <v>6932</v>
      </c>
      <c r="U1223" t="s">
        <v>6944</v>
      </c>
      <c r="V1223" t="s">
        <v>5985</v>
      </c>
      <c r="Y1223" t="s">
        <v>6948</v>
      </c>
      <c r="Z1223" t="s">
        <v>6949</v>
      </c>
      <c r="AA1223" t="s">
        <v>6950</v>
      </c>
      <c r="AB1223" t="s">
        <v>6951</v>
      </c>
      <c r="AC1223" t="s">
        <v>6952</v>
      </c>
      <c r="AD1223" t="s">
        <v>6953</v>
      </c>
    </row>
    <row r="1224" spans="1:30">
      <c r="A1224" t="s">
        <v>4604</v>
      </c>
      <c r="B1224" t="s">
        <v>4964</v>
      </c>
      <c r="C1224" t="s">
        <v>1008</v>
      </c>
      <c r="D1224">
        <v>0</v>
      </c>
      <c r="E1224">
        <v>0</v>
      </c>
      <c r="J1224">
        <v>0</v>
      </c>
      <c r="M1224" t="e">
        <v>#N/A</v>
      </c>
      <c r="N1224" t="e">
        <v>#N/A</v>
      </c>
      <c r="O1224" t="e">
        <v>#N/A</v>
      </c>
      <c r="P1224" t="e">
        <v>#N/A</v>
      </c>
      <c r="R1224" t="e">
        <v>#N/A</v>
      </c>
      <c r="T1224">
        <v>0</v>
      </c>
      <c r="U1224">
        <v>0</v>
      </c>
      <c r="V1224" t="s">
        <v>5983</v>
      </c>
      <c r="Y1224" t="s">
        <v>6948</v>
      </c>
      <c r="Z1224" t="s">
        <v>6949</v>
      </c>
      <c r="AA1224" t="s">
        <v>6950</v>
      </c>
      <c r="AB1224" t="s">
        <v>6951</v>
      </c>
      <c r="AC1224" t="s">
        <v>6952</v>
      </c>
      <c r="AD1224" t="s">
        <v>6953</v>
      </c>
    </row>
    <row r="1225" spans="1:30">
      <c r="A1225" t="s">
        <v>4604</v>
      </c>
      <c r="B1225" t="s">
        <v>4965</v>
      </c>
      <c r="C1225" t="s">
        <v>1008</v>
      </c>
      <c r="D1225" t="s">
        <v>6053</v>
      </c>
      <c r="E1225" t="s">
        <v>6054</v>
      </c>
      <c r="J1225" t="s">
        <v>6749</v>
      </c>
      <c r="M1225" t="e">
        <v>#N/A</v>
      </c>
      <c r="N1225" t="e">
        <v>#N/A</v>
      </c>
      <c r="O1225" t="e">
        <v>#N/A</v>
      </c>
      <c r="P1225" t="e">
        <v>#N/A</v>
      </c>
      <c r="R1225" t="e">
        <v>#N/A</v>
      </c>
      <c r="T1225" t="s">
        <v>6933</v>
      </c>
      <c r="U1225" t="s">
        <v>6945</v>
      </c>
      <c r="V1225" t="s">
        <v>5985</v>
      </c>
      <c r="Y1225" t="s">
        <v>6948</v>
      </c>
      <c r="Z1225" t="s">
        <v>6949</v>
      </c>
      <c r="AA1225" t="s">
        <v>6950</v>
      </c>
      <c r="AB1225" t="s">
        <v>6951</v>
      </c>
      <c r="AC1225" t="s">
        <v>6952</v>
      </c>
      <c r="AD1225" t="s">
        <v>6953</v>
      </c>
    </row>
    <row r="1226" spans="1:30">
      <c r="A1226" t="s">
        <v>4604</v>
      </c>
      <c r="B1226" t="s">
        <v>4966</v>
      </c>
      <c r="C1226" t="s">
        <v>5667</v>
      </c>
      <c r="D1226" t="s">
        <v>6055</v>
      </c>
      <c r="E1226" t="s">
        <v>6056</v>
      </c>
      <c r="J1226" t="s">
        <v>6581</v>
      </c>
      <c r="M1226" t="e">
        <v>#N/A</v>
      </c>
      <c r="N1226" t="e">
        <v>#N/A</v>
      </c>
      <c r="O1226" t="e">
        <v>#N/A</v>
      </c>
      <c r="P1226" t="e">
        <v>#N/A</v>
      </c>
      <c r="R1226" t="e">
        <v>#N/A</v>
      </c>
      <c r="T1226" t="s">
        <v>5983</v>
      </c>
      <c r="U1226" t="s">
        <v>5983</v>
      </c>
      <c r="V1226" t="s">
        <v>5983</v>
      </c>
      <c r="Y1226" t="s">
        <v>6948</v>
      </c>
      <c r="Z1226" t="s">
        <v>6949</v>
      </c>
      <c r="AA1226" t="s">
        <v>6950</v>
      </c>
      <c r="AB1226" t="s">
        <v>6951</v>
      </c>
      <c r="AC1226" t="s">
        <v>6952</v>
      </c>
      <c r="AD1226" t="s">
        <v>6953</v>
      </c>
    </row>
    <row r="1227" spans="1:30">
      <c r="A1227" t="s">
        <v>4604</v>
      </c>
      <c r="B1227" t="s">
        <v>4967</v>
      </c>
      <c r="C1227" t="s">
        <v>5668</v>
      </c>
      <c r="D1227" t="s">
        <v>6055</v>
      </c>
      <c r="E1227" t="s">
        <v>6056</v>
      </c>
      <c r="J1227" t="s">
        <v>6582</v>
      </c>
      <c r="M1227" t="e">
        <v>#N/A</v>
      </c>
      <c r="N1227" t="e">
        <v>#N/A</v>
      </c>
      <c r="O1227" t="e">
        <v>#N/A</v>
      </c>
      <c r="P1227" t="e">
        <v>#N/A</v>
      </c>
      <c r="R1227" t="e">
        <v>#N/A</v>
      </c>
      <c r="T1227" t="s">
        <v>5983</v>
      </c>
      <c r="U1227" t="s">
        <v>5983</v>
      </c>
      <c r="V1227" t="s">
        <v>5983</v>
      </c>
      <c r="Y1227" t="s">
        <v>6948</v>
      </c>
      <c r="Z1227" t="s">
        <v>6949</v>
      </c>
      <c r="AA1227" t="s">
        <v>6950</v>
      </c>
      <c r="AB1227" t="s">
        <v>6951</v>
      </c>
      <c r="AC1227" t="s">
        <v>6952</v>
      </c>
      <c r="AD1227" t="s">
        <v>6953</v>
      </c>
    </row>
    <row r="1228" spans="1:30">
      <c r="A1228" t="s">
        <v>4604</v>
      </c>
      <c r="B1228" t="s">
        <v>4968</v>
      </c>
      <c r="C1228" t="s">
        <v>5681</v>
      </c>
      <c r="D1228" t="s">
        <v>6057</v>
      </c>
      <c r="E1228" t="s">
        <v>6058</v>
      </c>
      <c r="J1228" t="s">
        <v>6595</v>
      </c>
      <c r="M1228" t="e">
        <v>#N/A</v>
      </c>
      <c r="N1228" t="e">
        <v>#N/A</v>
      </c>
      <c r="O1228" t="e">
        <v>#N/A</v>
      </c>
      <c r="P1228" t="e">
        <v>#N/A</v>
      </c>
      <c r="R1228" t="e">
        <v>#N/A</v>
      </c>
      <c r="T1228" t="s">
        <v>5983</v>
      </c>
      <c r="U1228" t="s">
        <v>5983</v>
      </c>
      <c r="V1228" t="s">
        <v>5983</v>
      </c>
      <c r="Y1228" t="s">
        <v>6948</v>
      </c>
      <c r="Z1228" t="s">
        <v>6949</v>
      </c>
      <c r="AA1228" t="s">
        <v>6950</v>
      </c>
      <c r="AB1228" t="s">
        <v>6951</v>
      </c>
      <c r="AC1228" t="s">
        <v>6952</v>
      </c>
      <c r="AD1228" t="s">
        <v>6953</v>
      </c>
    </row>
    <row r="1229" spans="1:30">
      <c r="A1229" t="s">
        <v>4604</v>
      </c>
      <c r="B1229" t="s">
        <v>4969</v>
      </c>
      <c r="C1229" t="s">
        <v>5682</v>
      </c>
      <c r="D1229" t="s">
        <v>6057</v>
      </c>
      <c r="E1229" t="s">
        <v>6058</v>
      </c>
      <c r="J1229" t="s">
        <v>6750</v>
      </c>
      <c r="M1229" t="e">
        <v>#N/A</v>
      </c>
      <c r="N1229" t="e">
        <v>#N/A</v>
      </c>
      <c r="O1229" t="e">
        <v>#N/A</v>
      </c>
      <c r="P1229" t="e">
        <v>#N/A</v>
      </c>
      <c r="R1229" t="e">
        <v>#N/A</v>
      </c>
      <c r="T1229" t="s">
        <v>5983</v>
      </c>
      <c r="U1229" t="s">
        <v>5983</v>
      </c>
      <c r="V1229" t="s">
        <v>5983</v>
      </c>
      <c r="Y1229" t="s">
        <v>6948</v>
      </c>
      <c r="Z1229" t="s">
        <v>6949</v>
      </c>
      <c r="AA1229" t="s">
        <v>6950</v>
      </c>
      <c r="AB1229" t="s">
        <v>6951</v>
      </c>
      <c r="AC1229" t="s">
        <v>6952</v>
      </c>
      <c r="AD1229" t="s">
        <v>6953</v>
      </c>
    </row>
    <row r="1230" spans="1:30">
      <c r="A1230" t="s">
        <v>4604</v>
      </c>
      <c r="B1230" t="s">
        <v>4970</v>
      </c>
      <c r="C1230" t="s">
        <v>5818</v>
      </c>
      <c r="D1230" t="s">
        <v>6057</v>
      </c>
      <c r="E1230" t="s">
        <v>6058</v>
      </c>
      <c r="J1230" t="s">
        <v>6751</v>
      </c>
      <c r="M1230" t="e">
        <v>#N/A</v>
      </c>
      <c r="N1230" t="e">
        <v>#N/A</v>
      </c>
      <c r="O1230" t="e">
        <v>#N/A</v>
      </c>
      <c r="P1230" t="e">
        <v>#N/A</v>
      </c>
      <c r="R1230" t="e">
        <v>#N/A</v>
      </c>
      <c r="T1230" t="s">
        <v>5983</v>
      </c>
      <c r="U1230" t="s">
        <v>5983</v>
      </c>
      <c r="V1230" t="s">
        <v>5983</v>
      </c>
      <c r="Y1230" t="s">
        <v>6948</v>
      </c>
      <c r="Z1230" t="s">
        <v>6949</v>
      </c>
      <c r="AA1230" t="s">
        <v>6950</v>
      </c>
      <c r="AB1230" t="s">
        <v>6951</v>
      </c>
      <c r="AC1230" t="s">
        <v>6952</v>
      </c>
      <c r="AD1230" t="s">
        <v>6953</v>
      </c>
    </row>
    <row r="1231" spans="1:30">
      <c r="A1231" t="s">
        <v>4604</v>
      </c>
      <c r="B1231" t="s">
        <v>4971</v>
      </c>
      <c r="C1231" t="s">
        <v>5684</v>
      </c>
      <c r="D1231" t="s">
        <v>6057</v>
      </c>
      <c r="E1231" t="s">
        <v>6058</v>
      </c>
      <c r="J1231" t="s">
        <v>6752</v>
      </c>
      <c r="M1231" t="e">
        <v>#N/A</v>
      </c>
      <c r="N1231" t="e">
        <v>#N/A</v>
      </c>
      <c r="O1231" t="e">
        <v>#N/A</v>
      </c>
      <c r="P1231" t="e">
        <v>#N/A</v>
      </c>
      <c r="R1231" t="e">
        <v>#N/A</v>
      </c>
      <c r="T1231" t="s">
        <v>5983</v>
      </c>
      <c r="U1231" t="s">
        <v>5983</v>
      </c>
      <c r="V1231" t="s">
        <v>5983</v>
      </c>
      <c r="Y1231" t="s">
        <v>6948</v>
      </c>
      <c r="Z1231" t="s">
        <v>6949</v>
      </c>
      <c r="AA1231" t="s">
        <v>6950</v>
      </c>
      <c r="AB1231" t="s">
        <v>6951</v>
      </c>
      <c r="AC1231" t="s">
        <v>6952</v>
      </c>
      <c r="AD1231" t="s">
        <v>6953</v>
      </c>
    </row>
    <row r="1232" spans="1:30">
      <c r="A1232" t="s">
        <v>4604</v>
      </c>
      <c r="B1232" t="s">
        <v>4972</v>
      </c>
      <c r="C1232" t="s">
        <v>5685</v>
      </c>
      <c r="D1232" t="s">
        <v>6059</v>
      </c>
      <c r="E1232" t="s">
        <v>6060</v>
      </c>
      <c r="J1232" t="s">
        <v>6753</v>
      </c>
      <c r="M1232" t="e">
        <v>#N/A</v>
      </c>
      <c r="N1232" t="e">
        <v>#N/A</v>
      </c>
      <c r="O1232" t="e">
        <v>#N/A</v>
      </c>
      <c r="P1232" t="e">
        <v>#N/A</v>
      </c>
      <c r="R1232" t="e">
        <v>#N/A</v>
      </c>
      <c r="T1232" t="s">
        <v>5983</v>
      </c>
      <c r="U1232" t="s">
        <v>5983</v>
      </c>
      <c r="V1232" t="s">
        <v>5983</v>
      </c>
      <c r="Y1232" t="s">
        <v>6948</v>
      </c>
      <c r="Z1232" t="s">
        <v>6949</v>
      </c>
      <c r="AA1232" t="s">
        <v>6950</v>
      </c>
      <c r="AB1232" t="s">
        <v>6951</v>
      </c>
      <c r="AC1232" t="s">
        <v>6952</v>
      </c>
      <c r="AD1232" t="s">
        <v>6953</v>
      </c>
    </row>
    <row r="1233" spans="1:30">
      <c r="A1233" t="s">
        <v>4604</v>
      </c>
      <c r="B1233" t="s">
        <v>4973</v>
      </c>
      <c r="C1233" t="s">
        <v>5686</v>
      </c>
      <c r="D1233" t="s">
        <v>6059</v>
      </c>
      <c r="E1233" t="s">
        <v>6060</v>
      </c>
      <c r="J1233" t="s">
        <v>6754</v>
      </c>
      <c r="M1233" t="e">
        <v>#N/A</v>
      </c>
      <c r="N1233" t="e">
        <v>#N/A</v>
      </c>
      <c r="O1233" t="e">
        <v>#N/A</v>
      </c>
      <c r="P1233" t="e">
        <v>#N/A</v>
      </c>
      <c r="R1233" t="e">
        <v>#N/A</v>
      </c>
      <c r="T1233" t="s">
        <v>5983</v>
      </c>
      <c r="U1233" t="s">
        <v>5983</v>
      </c>
      <c r="V1233" t="s">
        <v>5983</v>
      </c>
      <c r="Y1233" t="s">
        <v>6948</v>
      </c>
      <c r="Z1233" t="s">
        <v>6949</v>
      </c>
      <c r="AA1233" t="s">
        <v>6950</v>
      </c>
      <c r="AB1233" t="s">
        <v>6951</v>
      </c>
      <c r="AC1233" t="s">
        <v>6952</v>
      </c>
      <c r="AD1233" t="s">
        <v>6953</v>
      </c>
    </row>
    <row r="1234" spans="1:30">
      <c r="A1234" t="s">
        <v>4604</v>
      </c>
      <c r="B1234" t="s">
        <v>4974</v>
      </c>
      <c r="C1234" t="s">
        <v>5791</v>
      </c>
      <c r="D1234" t="s">
        <v>6059</v>
      </c>
      <c r="E1234" t="s">
        <v>6060</v>
      </c>
      <c r="J1234" t="s">
        <v>6755</v>
      </c>
      <c r="M1234" t="e">
        <v>#N/A</v>
      </c>
      <c r="N1234" t="e">
        <v>#N/A</v>
      </c>
      <c r="O1234" t="e">
        <v>#N/A</v>
      </c>
      <c r="P1234" t="e">
        <v>#N/A</v>
      </c>
      <c r="R1234" t="e">
        <v>#N/A</v>
      </c>
      <c r="T1234" t="s">
        <v>5983</v>
      </c>
      <c r="U1234" t="s">
        <v>5983</v>
      </c>
      <c r="V1234" t="s">
        <v>5983</v>
      </c>
      <c r="Y1234" t="s">
        <v>6948</v>
      </c>
      <c r="Z1234" t="s">
        <v>6949</v>
      </c>
      <c r="AA1234" t="s">
        <v>6950</v>
      </c>
      <c r="AB1234" t="s">
        <v>6951</v>
      </c>
      <c r="AC1234" t="s">
        <v>6952</v>
      </c>
      <c r="AD1234" t="s">
        <v>6953</v>
      </c>
    </row>
    <row r="1235" spans="1:30">
      <c r="A1235" t="s">
        <v>4604</v>
      </c>
      <c r="B1235" t="s">
        <v>4975</v>
      </c>
      <c r="C1235" t="s">
        <v>5688</v>
      </c>
      <c r="D1235" t="s">
        <v>6061</v>
      </c>
      <c r="E1235" t="s">
        <v>6062</v>
      </c>
      <c r="J1235" t="s">
        <v>6602</v>
      </c>
      <c r="M1235" t="e">
        <v>#N/A</v>
      </c>
      <c r="N1235" t="e">
        <v>#N/A</v>
      </c>
      <c r="O1235" t="e">
        <v>#N/A</v>
      </c>
      <c r="P1235" t="e">
        <v>#N/A</v>
      </c>
      <c r="R1235" t="e">
        <v>#N/A</v>
      </c>
      <c r="T1235" t="s">
        <v>5983</v>
      </c>
      <c r="U1235" t="s">
        <v>5983</v>
      </c>
      <c r="V1235" t="s">
        <v>5983</v>
      </c>
      <c r="Y1235" t="s">
        <v>6948</v>
      </c>
      <c r="Z1235" t="s">
        <v>6949</v>
      </c>
      <c r="AA1235" t="s">
        <v>6950</v>
      </c>
      <c r="AB1235" t="s">
        <v>6951</v>
      </c>
      <c r="AC1235" t="s">
        <v>6952</v>
      </c>
      <c r="AD1235" t="s">
        <v>6953</v>
      </c>
    </row>
    <row r="1236" spans="1:30">
      <c r="A1236" t="s">
        <v>4604</v>
      </c>
      <c r="B1236" t="s">
        <v>4976</v>
      </c>
      <c r="C1236" t="s">
        <v>5689</v>
      </c>
      <c r="D1236" t="s">
        <v>6061</v>
      </c>
      <c r="E1236" t="s">
        <v>6062</v>
      </c>
      <c r="J1236" t="s">
        <v>6756</v>
      </c>
      <c r="M1236" t="e">
        <v>#N/A</v>
      </c>
      <c r="N1236" t="e">
        <v>#N/A</v>
      </c>
      <c r="O1236" t="e">
        <v>#N/A</v>
      </c>
      <c r="P1236" t="e">
        <v>#N/A</v>
      </c>
      <c r="R1236" t="e">
        <v>#N/A</v>
      </c>
      <c r="T1236" t="s">
        <v>5983</v>
      </c>
      <c r="U1236" t="s">
        <v>5983</v>
      </c>
      <c r="V1236" t="s">
        <v>5983</v>
      </c>
      <c r="Y1236" t="s">
        <v>6948</v>
      </c>
      <c r="Z1236" t="s">
        <v>6949</v>
      </c>
      <c r="AA1236" t="s">
        <v>6950</v>
      </c>
      <c r="AB1236" t="s">
        <v>6951</v>
      </c>
      <c r="AC1236" t="s">
        <v>6952</v>
      </c>
      <c r="AD1236" t="s">
        <v>6953</v>
      </c>
    </row>
    <row r="1237" spans="1:30">
      <c r="A1237" t="s">
        <v>4604</v>
      </c>
      <c r="B1237" t="s">
        <v>4977</v>
      </c>
      <c r="C1237" t="s">
        <v>5690</v>
      </c>
      <c r="D1237" t="s">
        <v>6061</v>
      </c>
      <c r="E1237" t="s">
        <v>6062</v>
      </c>
      <c r="J1237" t="s">
        <v>6757</v>
      </c>
      <c r="M1237" t="e">
        <v>#N/A</v>
      </c>
      <c r="N1237" t="e">
        <v>#N/A</v>
      </c>
      <c r="O1237" t="e">
        <v>#N/A</v>
      </c>
      <c r="P1237" t="e">
        <v>#N/A</v>
      </c>
      <c r="R1237" t="e">
        <v>#N/A</v>
      </c>
      <c r="T1237" t="s">
        <v>5983</v>
      </c>
      <c r="U1237" t="s">
        <v>5983</v>
      </c>
      <c r="V1237" t="s">
        <v>5983</v>
      </c>
      <c r="Y1237" t="s">
        <v>6948</v>
      </c>
      <c r="Z1237" t="s">
        <v>6949</v>
      </c>
      <c r="AA1237" t="s">
        <v>6950</v>
      </c>
      <c r="AB1237" t="s">
        <v>6951</v>
      </c>
      <c r="AC1237" t="s">
        <v>6952</v>
      </c>
      <c r="AD1237" t="s">
        <v>6953</v>
      </c>
    </row>
    <row r="1238" spans="1:30">
      <c r="A1238" t="s">
        <v>4604</v>
      </c>
      <c r="B1238" t="s">
        <v>4978</v>
      </c>
      <c r="C1238" t="s">
        <v>5691</v>
      </c>
      <c r="D1238" t="s">
        <v>6061</v>
      </c>
      <c r="E1238" t="s">
        <v>6062</v>
      </c>
      <c r="J1238" t="s">
        <v>6758</v>
      </c>
      <c r="M1238" t="e">
        <v>#N/A</v>
      </c>
      <c r="N1238" t="e">
        <v>#N/A</v>
      </c>
      <c r="O1238" t="e">
        <v>#N/A</v>
      </c>
      <c r="P1238" t="e">
        <v>#N/A</v>
      </c>
      <c r="R1238" t="e">
        <v>#N/A</v>
      </c>
      <c r="T1238" t="s">
        <v>5983</v>
      </c>
      <c r="U1238" t="s">
        <v>5983</v>
      </c>
      <c r="V1238" t="s">
        <v>5983</v>
      </c>
      <c r="Y1238" t="s">
        <v>6948</v>
      </c>
      <c r="Z1238" t="s">
        <v>6949</v>
      </c>
      <c r="AA1238" t="s">
        <v>6950</v>
      </c>
      <c r="AB1238" t="s">
        <v>6951</v>
      </c>
      <c r="AC1238" t="s">
        <v>6952</v>
      </c>
      <c r="AD1238" t="s">
        <v>6953</v>
      </c>
    </row>
    <row r="1239" spans="1:30">
      <c r="A1239" t="s">
        <v>4604</v>
      </c>
      <c r="B1239" t="s">
        <v>4979</v>
      </c>
      <c r="C1239" t="s">
        <v>5674</v>
      </c>
      <c r="D1239" t="s">
        <v>6063</v>
      </c>
      <c r="E1239" t="s">
        <v>6064</v>
      </c>
      <c r="J1239" t="s">
        <v>6606</v>
      </c>
      <c r="M1239" t="e">
        <v>#N/A</v>
      </c>
      <c r="N1239" t="e">
        <v>#N/A</v>
      </c>
      <c r="O1239" t="e">
        <v>#N/A</v>
      </c>
      <c r="P1239" t="e">
        <v>#N/A</v>
      </c>
      <c r="R1239" t="e">
        <v>#N/A</v>
      </c>
      <c r="T1239" t="s">
        <v>5983</v>
      </c>
      <c r="U1239" t="s">
        <v>5983</v>
      </c>
      <c r="V1239" t="s">
        <v>5983</v>
      </c>
      <c r="Y1239" t="s">
        <v>6948</v>
      </c>
      <c r="Z1239" t="s">
        <v>6949</v>
      </c>
      <c r="AA1239" t="s">
        <v>6950</v>
      </c>
      <c r="AB1239" t="s">
        <v>6951</v>
      </c>
      <c r="AC1239" t="s">
        <v>6952</v>
      </c>
      <c r="AD1239" t="s">
        <v>6953</v>
      </c>
    </row>
    <row r="1240" spans="1:30">
      <c r="A1240" t="s">
        <v>4604</v>
      </c>
      <c r="B1240" t="s">
        <v>4980</v>
      </c>
      <c r="C1240" t="s">
        <v>5676</v>
      </c>
      <c r="D1240" t="s">
        <v>6063</v>
      </c>
      <c r="E1240" t="s">
        <v>6064</v>
      </c>
      <c r="J1240" t="s">
        <v>6759</v>
      </c>
      <c r="M1240" t="e">
        <v>#N/A</v>
      </c>
      <c r="N1240" t="e">
        <v>#N/A</v>
      </c>
      <c r="O1240" t="e">
        <v>#N/A</v>
      </c>
      <c r="P1240" t="e">
        <v>#N/A</v>
      </c>
      <c r="R1240" t="e">
        <v>#N/A</v>
      </c>
      <c r="T1240" t="s">
        <v>5983</v>
      </c>
      <c r="U1240" t="s">
        <v>5983</v>
      </c>
      <c r="V1240" t="s">
        <v>5983</v>
      </c>
      <c r="Y1240" t="s">
        <v>6948</v>
      </c>
      <c r="Z1240" t="s">
        <v>6949</v>
      </c>
      <c r="AA1240" t="s">
        <v>6950</v>
      </c>
      <c r="AB1240" t="s">
        <v>6951</v>
      </c>
      <c r="AC1240" t="s">
        <v>6952</v>
      </c>
      <c r="AD1240" t="s">
        <v>6953</v>
      </c>
    </row>
    <row r="1241" spans="1:30">
      <c r="A1241" t="s">
        <v>4604</v>
      </c>
      <c r="B1241" t="s">
        <v>4981</v>
      </c>
      <c r="C1241" t="s">
        <v>5692</v>
      </c>
      <c r="D1241" t="s">
        <v>6065</v>
      </c>
      <c r="E1241" t="s">
        <v>6066</v>
      </c>
      <c r="J1241" t="s">
        <v>6760</v>
      </c>
      <c r="M1241" t="e">
        <v>#N/A</v>
      </c>
      <c r="N1241" t="e">
        <v>#N/A</v>
      </c>
      <c r="O1241" t="e">
        <v>#N/A</v>
      </c>
      <c r="P1241" t="e">
        <v>#N/A</v>
      </c>
      <c r="R1241" t="e">
        <v>#N/A</v>
      </c>
      <c r="T1241" t="s">
        <v>5983</v>
      </c>
      <c r="U1241" t="s">
        <v>5983</v>
      </c>
      <c r="V1241" t="s">
        <v>5983</v>
      </c>
      <c r="Y1241" t="s">
        <v>6948</v>
      </c>
      <c r="Z1241" t="s">
        <v>6949</v>
      </c>
      <c r="AA1241" t="s">
        <v>6950</v>
      </c>
      <c r="AB1241" t="s">
        <v>6951</v>
      </c>
      <c r="AC1241" t="s">
        <v>6952</v>
      </c>
      <c r="AD1241" t="s">
        <v>6953</v>
      </c>
    </row>
    <row r="1242" spans="1:30">
      <c r="A1242" t="s">
        <v>4604</v>
      </c>
      <c r="B1242" t="s">
        <v>4982</v>
      </c>
      <c r="C1242" t="s">
        <v>5693</v>
      </c>
      <c r="D1242" t="s">
        <v>6065</v>
      </c>
      <c r="E1242" t="s">
        <v>6066</v>
      </c>
      <c r="J1242" t="s">
        <v>6761</v>
      </c>
      <c r="M1242" t="e">
        <v>#N/A</v>
      </c>
      <c r="N1242" t="e">
        <v>#N/A</v>
      </c>
      <c r="O1242" t="e">
        <v>#N/A</v>
      </c>
      <c r="P1242" t="e">
        <v>#N/A</v>
      </c>
      <c r="R1242" t="e">
        <v>#N/A</v>
      </c>
      <c r="T1242" t="s">
        <v>5983</v>
      </c>
      <c r="U1242" t="s">
        <v>5983</v>
      </c>
      <c r="V1242" t="s">
        <v>5983</v>
      </c>
      <c r="Y1242" t="s">
        <v>6948</v>
      </c>
      <c r="Z1242" t="s">
        <v>6949</v>
      </c>
      <c r="AA1242" t="s">
        <v>6950</v>
      </c>
      <c r="AB1242" t="s">
        <v>6951</v>
      </c>
      <c r="AC1242" t="s">
        <v>6952</v>
      </c>
      <c r="AD1242" t="s">
        <v>6953</v>
      </c>
    </row>
    <row r="1243" spans="1:30">
      <c r="A1243" t="s">
        <v>4604</v>
      </c>
      <c r="B1243" t="s">
        <v>4983</v>
      </c>
      <c r="C1243" t="s">
        <v>5694</v>
      </c>
      <c r="D1243" t="s">
        <v>6065</v>
      </c>
      <c r="E1243" t="s">
        <v>6066</v>
      </c>
      <c r="J1243" t="s">
        <v>6610</v>
      </c>
      <c r="M1243" t="e">
        <v>#N/A</v>
      </c>
      <c r="N1243" t="e">
        <v>#N/A</v>
      </c>
      <c r="O1243" t="e">
        <v>#N/A</v>
      </c>
      <c r="P1243" t="e">
        <v>#N/A</v>
      </c>
      <c r="R1243" t="e">
        <v>#N/A</v>
      </c>
      <c r="T1243" t="s">
        <v>5983</v>
      </c>
      <c r="U1243" t="s">
        <v>5983</v>
      </c>
      <c r="V1243" t="s">
        <v>5983</v>
      </c>
      <c r="Y1243" t="s">
        <v>6948</v>
      </c>
      <c r="Z1243" t="s">
        <v>6949</v>
      </c>
      <c r="AA1243" t="s">
        <v>6950</v>
      </c>
      <c r="AB1243" t="s">
        <v>6951</v>
      </c>
      <c r="AC1243" t="s">
        <v>6952</v>
      </c>
      <c r="AD1243" t="s">
        <v>6953</v>
      </c>
    </row>
    <row r="1244" spans="1:30">
      <c r="A1244" t="s">
        <v>4604</v>
      </c>
      <c r="B1244" t="s">
        <v>4984</v>
      </c>
      <c r="C1244" t="s">
        <v>5695</v>
      </c>
      <c r="D1244" t="s">
        <v>6065</v>
      </c>
      <c r="E1244" t="s">
        <v>6066</v>
      </c>
      <c r="J1244" t="s">
        <v>6762</v>
      </c>
      <c r="M1244" t="e">
        <v>#N/A</v>
      </c>
      <c r="N1244" t="e">
        <v>#N/A</v>
      </c>
      <c r="O1244" t="e">
        <v>#N/A</v>
      </c>
      <c r="P1244" t="e">
        <v>#N/A</v>
      </c>
      <c r="R1244" t="e">
        <v>#N/A</v>
      </c>
      <c r="T1244" t="s">
        <v>5983</v>
      </c>
      <c r="U1244" t="s">
        <v>5983</v>
      </c>
      <c r="V1244" t="s">
        <v>5983</v>
      </c>
      <c r="Y1244" t="s">
        <v>6948</v>
      </c>
      <c r="Z1244" t="s">
        <v>6949</v>
      </c>
      <c r="AA1244" t="s">
        <v>6950</v>
      </c>
      <c r="AB1244" t="s">
        <v>6951</v>
      </c>
      <c r="AC1244" t="s">
        <v>6952</v>
      </c>
      <c r="AD1244" t="s">
        <v>6953</v>
      </c>
    </row>
    <row r="1245" spans="1:30">
      <c r="A1245" t="s">
        <v>4604</v>
      </c>
      <c r="B1245" t="s">
        <v>4985</v>
      </c>
      <c r="C1245" t="s">
        <v>5696</v>
      </c>
      <c r="D1245" t="s">
        <v>6065</v>
      </c>
      <c r="E1245" t="s">
        <v>6066</v>
      </c>
      <c r="J1245" t="s">
        <v>6763</v>
      </c>
      <c r="M1245" t="e">
        <v>#N/A</v>
      </c>
      <c r="N1245" t="e">
        <v>#N/A</v>
      </c>
      <c r="O1245" t="e">
        <v>#N/A</v>
      </c>
      <c r="P1245" t="e">
        <v>#N/A</v>
      </c>
      <c r="R1245" t="e">
        <v>#N/A</v>
      </c>
      <c r="T1245" t="s">
        <v>5983</v>
      </c>
      <c r="U1245" t="s">
        <v>5983</v>
      </c>
      <c r="V1245" t="s">
        <v>5983</v>
      </c>
      <c r="Y1245" t="s">
        <v>6948</v>
      </c>
      <c r="Z1245" t="s">
        <v>6949</v>
      </c>
      <c r="AA1245" t="s">
        <v>6950</v>
      </c>
      <c r="AB1245" t="s">
        <v>6951</v>
      </c>
      <c r="AC1245" t="s">
        <v>6952</v>
      </c>
      <c r="AD1245" t="s">
        <v>6953</v>
      </c>
    </row>
    <row r="1246" spans="1:30">
      <c r="A1246" t="s">
        <v>4604</v>
      </c>
      <c r="B1246" t="s">
        <v>4986</v>
      </c>
      <c r="C1246" t="s">
        <v>5657</v>
      </c>
      <c r="D1246" t="s">
        <v>6065</v>
      </c>
      <c r="E1246" t="s">
        <v>6066</v>
      </c>
      <c r="J1246" t="s">
        <v>6764</v>
      </c>
      <c r="M1246" t="e">
        <v>#N/A</v>
      </c>
      <c r="N1246" t="e">
        <v>#N/A</v>
      </c>
      <c r="O1246" t="e">
        <v>#N/A</v>
      </c>
      <c r="P1246" t="e">
        <v>#N/A</v>
      </c>
      <c r="R1246" t="e">
        <v>#N/A</v>
      </c>
      <c r="T1246" t="s">
        <v>5983</v>
      </c>
      <c r="U1246" t="s">
        <v>5983</v>
      </c>
      <c r="V1246" t="s">
        <v>5983</v>
      </c>
      <c r="Y1246" t="s">
        <v>6948</v>
      </c>
      <c r="Z1246" t="s">
        <v>6949</v>
      </c>
      <c r="AA1246" t="s">
        <v>6950</v>
      </c>
      <c r="AB1246" t="s">
        <v>6951</v>
      </c>
      <c r="AC1246" t="s">
        <v>6952</v>
      </c>
      <c r="AD1246" t="s">
        <v>6953</v>
      </c>
    </row>
    <row r="1247" spans="1:30">
      <c r="A1247" t="s">
        <v>4604</v>
      </c>
      <c r="B1247" t="s">
        <v>4987</v>
      </c>
      <c r="C1247" t="s">
        <v>5819</v>
      </c>
      <c r="D1247" t="s">
        <v>6067</v>
      </c>
      <c r="E1247" t="s">
        <v>6068</v>
      </c>
      <c r="J1247" t="s">
        <v>6614</v>
      </c>
      <c r="M1247" t="e">
        <v>#N/A</v>
      </c>
      <c r="N1247" t="e">
        <v>#N/A</v>
      </c>
      <c r="O1247" t="e">
        <v>#N/A</v>
      </c>
      <c r="P1247" t="e">
        <v>#N/A</v>
      </c>
      <c r="R1247" t="e">
        <v>#N/A</v>
      </c>
      <c r="T1247" t="s">
        <v>5983</v>
      </c>
      <c r="U1247" t="s">
        <v>5983</v>
      </c>
      <c r="V1247" t="s">
        <v>5983</v>
      </c>
      <c r="Y1247" t="s">
        <v>6948</v>
      </c>
      <c r="Z1247" t="s">
        <v>6949</v>
      </c>
      <c r="AA1247" t="s">
        <v>6950</v>
      </c>
      <c r="AB1247" t="s">
        <v>6951</v>
      </c>
      <c r="AC1247" t="s">
        <v>6952</v>
      </c>
      <c r="AD1247" t="s">
        <v>6953</v>
      </c>
    </row>
    <row r="1248" spans="1:30">
      <c r="A1248" t="s">
        <v>4604</v>
      </c>
      <c r="B1248" t="s">
        <v>4988</v>
      </c>
      <c r="C1248" t="s">
        <v>5820</v>
      </c>
      <c r="D1248" t="s">
        <v>6067</v>
      </c>
      <c r="E1248" t="s">
        <v>6068</v>
      </c>
      <c r="J1248" t="s">
        <v>6765</v>
      </c>
      <c r="M1248" t="e">
        <v>#N/A</v>
      </c>
      <c r="N1248" t="e">
        <v>#N/A</v>
      </c>
      <c r="O1248" t="e">
        <v>#N/A</v>
      </c>
      <c r="P1248" t="e">
        <v>#N/A</v>
      </c>
      <c r="R1248" t="e">
        <v>#N/A</v>
      </c>
      <c r="T1248" t="s">
        <v>5983</v>
      </c>
      <c r="U1248" t="s">
        <v>5983</v>
      </c>
      <c r="V1248" t="s">
        <v>5983</v>
      </c>
      <c r="Y1248" t="s">
        <v>6948</v>
      </c>
      <c r="Z1248" t="s">
        <v>6949</v>
      </c>
      <c r="AA1248" t="s">
        <v>6950</v>
      </c>
      <c r="AB1248" t="s">
        <v>6951</v>
      </c>
      <c r="AC1248" t="s">
        <v>6952</v>
      </c>
      <c r="AD1248" t="s">
        <v>6953</v>
      </c>
    </row>
    <row r="1249" spans="1:30">
      <c r="A1249" t="s">
        <v>4604</v>
      </c>
      <c r="B1249" t="s">
        <v>4989</v>
      </c>
      <c r="C1249" t="s">
        <v>1024</v>
      </c>
      <c r="D1249" t="s">
        <v>6067</v>
      </c>
      <c r="E1249" t="s">
        <v>6068</v>
      </c>
      <c r="J1249" t="s">
        <v>6766</v>
      </c>
      <c r="M1249" t="e">
        <v>#N/A</v>
      </c>
      <c r="N1249" t="e">
        <v>#N/A</v>
      </c>
      <c r="O1249" t="e">
        <v>#N/A</v>
      </c>
      <c r="P1249" t="e">
        <v>#N/A</v>
      </c>
      <c r="R1249" t="e">
        <v>#N/A</v>
      </c>
      <c r="T1249" t="s">
        <v>5983</v>
      </c>
      <c r="U1249" t="s">
        <v>5983</v>
      </c>
      <c r="V1249" t="s">
        <v>5983</v>
      </c>
      <c r="Y1249" t="s">
        <v>6948</v>
      </c>
      <c r="Z1249" t="s">
        <v>6949</v>
      </c>
      <c r="AA1249" t="s">
        <v>6950</v>
      </c>
      <c r="AB1249" t="s">
        <v>6951</v>
      </c>
      <c r="AC1249" t="s">
        <v>6952</v>
      </c>
      <c r="AD1249" t="s">
        <v>6953</v>
      </c>
    </row>
    <row r="1250" spans="1:30">
      <c r="A1250" t="s">
        <v>4604</v>
      </c>
      <c r="B1250" t="s">
        <v>4990</v>
      </c>
      <c r="C1250" t="s">
        <v>1025</v>
      </c>
      <c r="D1250" t="s">
        <v>6067</v>
      </c>
      <c r="E1250" t="s">
        <v>6068</v>
      </c>
      <c r="J1250" t="s">
        <v>6767</v>
      </c>
      <c r="M1250" t="e">
        <v>#N/A</v>
      </c>
      <c r="N1250" t="e">
        <v>#N/A</v>
      </c>
      <c r="O1250" t="e">
        <v>#N/A</v>
      </c>
      <c r="P1250" t="e">
        <v>#N/A</v>
      </c>
      <c r="R1250" t="e">
        <v>#N/A</v>
      </c>
      <c r="T1250" t="s">
        <v>5983</v>
      </c>
      <c r="U1250" t="s">
        <v>5983</v>
      </c>
      <c r="V1250" t="s">
        <v>5983</v>
      </c>
      <c r="Y1250" t="s">
        <v>6948</v>
      </c>
      <c r="Z1250" t="s">
        <v>6949</v>
      </c>
      <c r="AA1250" t="s">
        <v>6950</v>
      </c>
      <c r="AB1250" t="s">
        <v>6951</v>
      </c>
      <c r="AC1250" t="s">
        <v>6952</v>
      </c>
      <c r="AD1250" t="s">
        <v>6953</v>
      </c>
    </row>
    <row r="1251" spans="1:30">
      <c r="A1251" t="s">
        <v>4604</v>
      </c>
      <c r="B1251" t="s">
        <v>4991</v>
      </c>
      <c r="C1251" t="s">
        <v>5701</v>
      </c>
      <c r="D1251" t="s">
        <v>6069</v>
      </c>
      <c r="E1251" t="s">
        <v>6070</v>
      </c>
      <c r="J1251" t="s">
        <v>6618</v>
      </c>
      <c r="M1251" t="e">
        <v>#N/A</v>
      </c>
      <c r="N1251" t="e">
        <v>#N/A</v>
      </c>
      <c r="O1251" t="e">
        <v>#N/A</v>
      </c>
      <c r="P1251" t="e">
        <v>#N/A</v>
      </c>
      <c r="R1251" t="e">
        <v>#N/A</v>
      </c>
      <c r="T1251" t="s">
        <v>5983</v>
      </c>
      <c r="U1251" t="s">
        <v>5983</v>
      </c>
      <c r="V1251" t="s">
        <v>5983</v>
      </c>
      <c r="Y1251" t="s">
        <v>6948</v>
      </c>
      <c r="Z1251" t="s">
        <v>6949</v>
      </c>
      <c r="AA1251" t="s">
        <v>6950</v>
      </c>
      <c r="AB1251" t="s">
        <v>6951</v>
      </c>
      <c r="AC1251" t="s">
        <v>6952</v>
      </c>
      <c r="AD1251" t="s">
        <v>6953</v>
      </c>
    </row>
    <row r="1252" spans="1:30">
      <c r="A1252" t="s">
        <v>4604</v>
      </c>
      <c r="B1252" t="s">
        <v>4992</v>
      </c>
      <c r="C1252" t="s">
        <v>5821</v>
      </c>
      <c r="D1252" t="s">
        <v>6069</v>
      </c>
      <c r="E1252" t="s">
        <v>6070</v>
      </c>
      <c r="J1252" t="s">
        <v>6768</v>
      </c>
      <c r="M1252" t="e">
        <v>#N/A</v>
      </c>
      <c r="N1252" t="e">
        <v>#N/A</v>
      </c>
      <c r="O1252" t="e">
        <v>#N/A</v>
      </c>
      <c r="P1252" t="e">
        <v>#N/A</v>
      </c>
      <c r="R1252" t="e">
        <v>#N/A</v>
      </c>
      <c r="T1252" t="s">
        <v>5983</v>
      </c>
      <c r="U1252" t="s">
        <v>5983</v>
      </c>
      <c r="V1252" t="s">
        <v>5983</v>
      </c>
      <c r="Y1252" t="s">
        <v>6948</v>
      </c>
      <c r="Z1252" t="s">
        <v>6949</v>
      </c>
      <c r="AA1252" t="s">
        <v>6950</v>
      </c>
      <c r="AB1252" t="s">
        <v>6951</v>
      </c>
      <c r="AC1252" t="s">
        <v>6952</v>
      </c>
      <c r="AD1252" t="s">
        <v>6953</v>
      </c>
    </row>
    <row r="1253" spans="1:30">
      <c r="A1253" t="s">
        <v>4604</v>
      </c>
      <c r="B1253" t="s">
        <v>4993</v>
      </c>
      <c r="C1253" t="s">
        <v>1179</v>
      </c>
      <c r="D1253" t="s">
        <v>6069</v>
      </c>
      <c r="E1253" t="s">
        <v>6070</v>
      </c>
      <c r="J1253" t="s">
        <v>6769</v>
      </c>
      <c r="M1253" t="e">
        <v>#N/A</v>
      </c>
      <c r="N1253" t="e">
        <v>#N/A</v>
      </c>
      <c r="O1253" t="e">
        <v>#N/A</v>
      </c>
      <c r="P1253" t="e">
        <v>#N/A</v>
      </c>
      <c r="R1253" t="e">
        <v>#N/A</v>
      </c>
      <c r="T1253" t="s">
        <v>5983</v>
      </c>
      <c r="U1253" t="s">
        <v>5983</v>
      </c>
      <c r="V1253" t="s">
        <v>5983</v>
      </c>
      <c r="Y1253" t="s">
        <v>6948</v>
      </c>
      <c r="Z1253" t="s">
        <v>6949</v>
      </c>
      <c r="AA1253" t="s">
        <v>6950</v>
      </c>
      <c r="AB1253" t="s">
        <v>6951</v>
      </c>
      <c r="AC1253" t="s">
        <v>6952</v>
      </c>
      <c r="AD1253" t="s">
        <v>6953</v>
      </c>
    </row>
    <row r="1254" spans="1:30">
      <c r="A1254" t="s">
        <v>4604</v>
      </c>
      <c r="B1254" t="s">
        <v>4994</v>
      </c>
      <c r="C1254" t="s">
        <v>1027</v>
      </c>
      <c r="D1254" t="s">
        <v>6069</v>
      </c>
      <c r="E1254" t="s">
        <v>6070</v>
      </c>
      <c r="J1254" t="s">
        <v>6770</v>
      </c>
      <c r="M1254" t="e">
        <v>#N/A</v>
      </c>
      <c r="N1254" t="e">
        <v>#N/A</v>
      </c>
      <c r="O1254" t="e">
        <v>#N/A</v>
      </c>
      <c r="P1254" t="e">
        <v>#N/A</v>
      </c>
      <c r="R1254" t="e">
        <v>#N/A</v>
      </c>
      <c r="T1254" t="s">
        <v>5983</v>
      </c>
      <c r="U1254" t="s">
        <v>5983</v>
      </c>
      <c r="V1254" t="s">
        <v>5983</v>
      </c>
      <c r="Y1254" t="s">
        <v>6948</v>
      </c>
      <c r="Z1254" t="s">
        <v>6949</v>
      </c>
      <c r="AA1254" t="s">
        <v>6950</v>
      </c>
      <c r="AB1254" t="s">
        <v>6951</v>
      </c>
      <c r="AC1254" t="s">
        <v>6952</v>
      </c>
      <c r="AD1254" t="s">
        <v>6953</v>
      </c>
    </row>
    <row r="1255" spans="1:30">
      <c r="A1255" t="s">
        <v>4604</v>
      </c>
      <c r="B1255" t="s">
        <v>4995</v>
      </c>
      <c r="C1255" t="s">
        <v>5822</v>
      </c>
      <c r="D1255" t="s">
        <v>6069</v>
      </c>
      <c r="E1255" t="s">
        <v>6070</v>
      </c>
      <c r="J1255" t="s">
        <v>6621</v>
      </c>
      <c r="M1255" t="e">
        <v>#N/A</v>
      </c>
      <c r="N1255" t="e">
        <v>#N/A</v>
      </c>
      <c r="O1255" t="e">
        <v>#N/A</v>
      </c>
      <c r="P1255" t="e">
        <v>#N/A</v>
      </c>
      <c r="R1255" t="e">
        <v>#N/A</v>
      </c>
      <c r="T1255" t="s">
        <v>5983</v>
      </c>
      <c r="U1255" t="s">
        <v>5983</v>
      </c>
      <c r="V1255" t="s">
        <v>5983</v>
      </c>
      <c r="Y1255" t="s">
        <v>6948</v>
      </c>
      <c r="Z1255" t="s">
        <v>6949</v>
      </c>
      <c r="AA1255" t="s">
        <v>6950</v>
      </c>
      <c r="AB1255" t="s">
        <v>6951</v>
      </c>
      <c r="AC1255" t="s">
        <v>6952</v>
      </c>
      <c r="AD1255" t="s">
        <v>6953</v>
      </c>
    </row>
    <row r="1256" spans="1:30">
      <c r="A1256" t="s">
        <v>4604</v>
      </c>
      <c r="B1256" t="s">
        <v>4996</v>
      </c>
      <c r="C1256" t="s">
        <v>5823</v>
      </c>
      <c r="D1256" t="s">
        <v>6069</v>
      </c>
      <c r="E1256" t="s">
        <v>6070</v>
      </c>
      <c r="J1256" t="s">
        <v>6771</v>
      </c>
      <c r="M1256" t="e">
        <v>#N/A</v>
      </c>
      <c r="N1256" t="e">
        <v>#N/A</v>
      </c>
      <c r="O1256" t="e">
        <v>#N/A</v>
      </c>
      <c r="P1256" t="e">
        <v>#N/A</v>
      </c>
      <c r="R1256" t="e">
        <v>#N/A</v>
      </c>
      <c r="T1256" t="s">
        <v>5983</v>
      </c>
      <c r="U1256" t="s">
        <v>5983</v>
      </c>
      <c r="V1256" t="s">
        <v>5983</v>
      </c>
      <c r="Y1256" t="s">
        <v>6948</v>
      </c>
      <c r="Z1256" t="s">
        <v>6949</v>
      </c>
      <c r="AA1256" t="s">
        <v>6950</v>
      </c>
      <c r="AB1256" t="s">
        <v>6951</v>
      </c>
      <c r="AC1256" t="s">
        <v>6952</v>
      </c>
      <c r="AD1256" t="s">
        <v>6953</v>
      </c>
    </row>
    <row r="1257" spans="1:30">
      <c r="A1257" t="s">
        <v>4604</v>
      </c>
      <c r="B1257" t="s">
        <v>4997</v>
      </c>
      <c r="C1257" t="s">
        <v>5824</v>
      </c>
      <c r="D1257" t="s">
        <v>6069</v>
      </c>
      <c r="E1257" t="s">
        <v>6070</v>
      </c>
      <c r="J1257" t="s">
        <v>6772</v>
      </c>
      <c r="M1257" t="e">
        <v>#N/A</v>
      </c>
      <c r="N1257" t="e">
        <v>#N/A</v>
      </c>
      <c r="O1257" t="e">
        <v>#N/A</v>
      </c>
      <c r="P1257" t="e">
        <v>#N/A</v>
      </c>
      <c r="R1257" t="e">
        <v>#N/A</v>
      </c>
      <c r="T1257" t="s">
        <v>5983</v>
      </c>
      <c r="U1257" t="s">
        <v>5983</v>
      </c>
      <c r="V1257" t="s">
        <v>5983</v>
      </c>
      <c r="Y1257" t="s">
        <v>6948</v>
      </c>
      <c r="Z1257" t="s">
        <v>6949</v>
      </c>
      <c r="AA1257" t="s">
        <v>6950</v>
      </c>
      <c r="AB1257" t="s">
        <v>6951</v>
      </c>
      <c r="AC1257" t="s">
        <v>6952</v>
      </c>
      <c r="AD1257" t="s">
        <v>6953</v>
      </c>
    </row>
    <row r="1258" spans="1:30">
      <c r="A1258" t="s">
        <v>4604</v>
      </c>
      <c r="B1258" t="s">
        <v>4998</v>
      </c>
      <c r="C1258" t="s">
        <v>5708</v>
      </c>
      <c r="D1258" t="s">
        <v>6069</v>
      </c>
      <c r="E1258" t="s">
        <v>6070</v>
      </c>
      <c r="J1258" t="s">
        <v>6773</v>
      </c>
      <c r="M1258" t="e">
        <v>#N/A</v>
      </c>
      <c r="N1258" t="e">
        <v>#N/A</v>
      </c>
      <c r="O1258" t="e">
        <v>#N/A</v>
      </c>
      <c r="P1258" t="e">
        <v>#N/A</v>
      </c>
      <c r="R1258" t="e">
        <v>#N/A</v>
      </c>
      <c r="T1258" t="s">
        <v>5983</v>
      </c>
      <c r="U1258" t="s">
        <v>5983</v>
      </c>
      <c r="V1258" t="s">
        <v>5983</v>
      </c>
      <c r="Y1258" t="s">
        <v>6948</v>
      </c>
      <c r="Z1258" t="s">
        <v>6949</v>
      </c>
      <c r="AA1258" t="s">
        <v>6950</v>
      </c>
      <c r="AB1258" t="s">
        <v>6951</v>
      </c>
      <c r="AC1258" t="s">
        <v>6952</v>
      </c>
      <c r="AD1258" t="s">
        <v>6953</v>
      </c>
    </row>
    <row r="1259" spans="1:30">
      <c r="A1259" t="s">
        <v>4604</v>
      </c>
      <c r="B1259" t="s">
        <v>4999</v>
      </c>
      <c r="C1259" t="s">
        <v>5709</v>
      </c>
      <c r="D1259" t="s">
        <v>6069</v>
      </c>
      <c r="E1259" t="s">
        <v>6070</v>
      </c>
      <c r="J1259" t="s">
        <v>6623</v>
      </c>
      <c r="M1259" t="e">
        <v>#N/A</v>
      </c>
      <c r="N1259" t="e">
        <v>#N/A</v>
      </c>
      <c r="O1259" t="e">
        <v>#N/A</v>
      </c>
      <c r="P1259" t="e">
        <v>#N/A</v>
      </c>
      <c r="R1259" t="e">
        <v>#N/A</v>
      </c>
      <c r="T1259" t="s">
        <v>5983</v>
      </c>
      <c r="U1259" t="s">
        <v>5983</v>
      </c>
      <c r="V1259" t="s">
        <v>5983</v>
      </c>
      <c r="Y1259" t="s">
        <v>6948</v>
      </c>
      <c r="Z1259" t="s">
        <v>6949</v>
      </c>
      <c r="AA1259" t="s">
        <v>6950</v>
      </c>
      <c r="AB1259" t="s">
        <v>6951</v>
      </c>
      <c r="AC1259" t="s">
        <v>6952</v>
      </c>
      <c r="AD1259" t="s">
        <v>6953</v>
      </c>
    </row>
    <row r="1260" spans="1:30">
      <c r="A1260" t="s">
        <v>4604</v>
      </c>
      <c r="B1260" t="s">
        <v>5000</v>
      </c>
      <c r="C1260" t="s">
        <v>5825</v>
      </c>
      <c r="D1260" t="s">
        <v>6069</v>
      </c>
      <c r="E1260" t="s">
        <v>6070</v>
      </c>
      <c r="J1260" t="s">
        <v>6624</v>
      </c>
      <c r="M1260" t="e">
        <v>#N/A</v>
      </c>
      <c r="N1260" t="e">
        <v>#N/A</v>
      </c>
      <c r="O1260" t="e">
        <v>#N/A</v>
      </c>
      <c r="P1260" t="e">
        <v>#N/A</v>
      </c>
      <c r="R1260" t="e">
        <v>#N/A</v>
      </c>
      <c r="T1260" t="s">
        <v>5983</v>
      </c>
      <c r="U1260" t="s">
        <v>5983</v>
      </c>
      <c r="V1260" t="s">
        <v>5983</v>
      </c>
      <c r="Y1260" t="s">
        <v>6948</v>
      </c>
      <c r="Z1260" t="s">
        <v>6949</v>
      </c>
      <c r="AA1260" t="s">
        <v>6950</v>
      </c>
      <c r="AB1260" t="s">
        <v>6951</v>
      </c>
      <c r="AC1260" t="s">
        <v>6952</v>
      </c>
      <c r="AD1260" t="s">
        <v>6953</v>
      </c>
    </row>
    <row r="1261" spans="1:30">
      <c r="A1261" t="s">
        <v>4604</v>
      </c>
      <c r="B1261" t="s">
        <v>5001</v>
      </c>
      <c r="C1261" t="s">
        <v>5826</v>
      </c>
      <c r="D1261" t="s">
        <v>6069</v>
      </c>
      <c r="E1261" t="s">
        <v>6070</v>
      </c>
      <c r="J1261" t="s">
        <v>6774</v>
      </c>
      <c r="M1261" t="e">
        <v>#N/A</v>
      </c>
      <c r="N1261" t="e">
        <v>#N/A</v>
      </c>
      <c r="O1261" t="e">
        <v>#N/A</v>
      </c>
      <c r="P1261" t="e">
        <v>#N/A</v>
      </c>
      <c r="R1261" t="e">
        <v>#N/A</v>
      </c>
      <c r="T1261" t="s">
        <v>5983</v>
      </c>
      <c r="U1261" t="s">
        <v>5983</v>
      </c>
      <c r="V1261" t="s">
        <v>5983</v>
      </c>
      <c r="Y1261" t="s">
        <v>6948</v>
      </c>
      <c r="Z1261" t="s">
        <v>6949</v>
      </c>
      <c r="AA1261" t="s">
        <v>6950</v>
      </c>
      <c r="AB1261" t="s">
        <v>6951</v>
      </c>
      <c r="AC1261" t="s">
        <v>6952</v>
      </c>
      <c r="AD1261" t="s">
        <v>6953</v>
      </c>
    </row>
    <row r="1262" spans="1:30">
      <c r="A1262" t="s">
        <v>4604</v>
      </c>
      <c r="B1262" t="s">
        <v>5002</v>
      </c>
      <c r="C1262" t="s">
        <v>5827</v>
      </c>
      <c r="D1262" t="s">
        <v>6069</v>
      </c>
      <c r="E1262" t="s">
        <v>6070</v>
      </c>
      <c r="J1262" t="s">
        <v>6775</v>
      </c>
      <c r="M1262" t="e">
        <v>#N/A</v>
      </c>
      <c r="N1262" t="e">
        <v>#N/A</v>
      </c>
      <c r="O1262" t="e">
        <v>#N/A</v>
      </c>
      <c r="P1262" t="e">
        <v>#N/A</v>
      </c>
      <c r="R1262" t="e">
        <v>#N/A</v>
      </c>
      <c r="T1262" t="s">
        <v>5983</v>
      </c>
      <c r="U1262" t="s">
        <v>5983</v>
      </c>
      <c r="V1262" t="s">
        <v>5983</v>
      </c>
      <c r="Y1262" t="s">
        <v>6948</v>
      </c>
      <c r="Z1262" t="s">
        <v>6949</v>
      </c>
      <c r="AA1262" t="s">
        <v>6950</v>
      </c>
      <c r="AB1262" t="s">
        <v>6951</v>
      </c>
      <c r="AC1262" t="s">
        <v>6952</v>
      </c>
      <c r="AD1262" t="s">
        <v>6953</v>
      </c>
    </row>
    <row r="1263" spans="1:30">
      <c r="A1263" t="s">
        <v>4604</v>
      </c>
      <c r="B1263" t="s">
        <v>5003</v>
      </c>
      <c r="C1263" t="s">
        <v>5712</v>
      </c>
      <c r="D1263" t="s">
        <v>6069</v>
      </c>
      <c r="E1263" t="s">
        <v>6070</v>
      </c>
      <c r="J1263" t="s">
        <v>6626</v>
      </c>
      <c r="M1263" t="e">
        <v>#N/A</v>
      </c>
      <c r="N1263" t="e">
        <v>#N/A</v>
      </c>
      <c r="O1263" t="e">
        <v>#N/A</v>
      </c>
      <c r="P1263" t="e">
        <v>#N/A</v>
      </c>
      <c r="R1263" t="e">
        <v>#N/A</v>
      </c>
      <c r="T1263" t="s">
        <v>5983</v>
      </c>
      <c r="U1263" t="s">
        <v>5983</v>
      </c>
      <c r="V1263" t="s">
        <v>5983</v>
      </c>
      <c r="Y1263" t="s">
        <v>6948</v>
      </c>
      <c r="Z1263" t="s">
        <v>6949</v>
      </c>
      <c r="AA1263" t="s">
        <v>6950</v>
      </c>
      <c r="AB1263" t="s">
        <v>6951</v>
      </c>
      <c r="AC1263" t="s">
        <v>6952</v>
      </c>
      <c r="AD1263" t="s">
        <v>6953</v>
      </c>
    </row>
    <row r="1264" spans="1:30">
      <c r="A1264" t="s">
        <v>4604</v>
      </c>
      <c r="B1264" t="s">
        <v>5004</v>
      </c>
      <c r="C1264" t="s">
        <v>5713</v>
      </c>
      <c r="D1264" t="s">
        <v>6069</v>
      </c>
      <c r="E1264" t="s">
        <v>6070</v>
      </c>
      <c r="J1264" t="s">
        <v>6627</v>
      </c>
      <c r="M1264" t="e">
        <v>#N/A</v>
      </c>
      <c r="N1264" t="e">
        <v>#N/A</v>
      </c>
      <c r="O1264" t="e">
        <v>#N/A</v>
      </c>
      <c r="P1264" t="e">
        <v>#N/A</v>
      </c>
      <c r="R1264" t="e">
        <v>#N/A</v>
      </c>
      <c r="T1264" t="s">
        <v>5983</v>
      </c>
      <c r="U1264" t="s">
        <v>5983</v>
      </c>
      <c r="V1264" t="s">
        <v>5983</v>
      </c>
      <c r="Y1264" t="s">
        <v>6948</v>
      </c>
      <c r="Z1264" t="s">
        <v>6949</v>
      </c>
      <c r="AA1264" t="s">
        <v>6950</v>
      </c>
      <c r="AB1264" t="s">
        <v>6951</v>
      </c>
      <c r="AC1264" t="s">
        <v>6952</v>
      </c>
      <c r="AD1264" t="s">
        <v>6953</v>
      </c>
    </row>
    <row r="1265" spans="1:30">
      <c r="A1265" t="s">
        <v>4604</v>
      </c>
      <c r="B1265" t="s">
        <v>5005</v>
      </c>
      <c r="C1265" t="s">
        <v>5714</v>
      </c>
      <c r="D1265" t="s">
        <v>6069</v>
      </c>
      <c r="E1265" t="s">
        <v>6070</v>
      </c>
      <c r="J1265" t="s">
        <v>6628</v>
      </c>
      <c r="M1265" t="e">
        <v>#N/A</v>
      </c>
      <c r="N1265" t="e">
        <v>#N/A</v>
      </c>
      <c r="O1265" t="e">
        <v>#N/A</v>
      </c>
      <c r="P1265" t="e">
        <v>#N/A</v>
      </c>
      <c r="R1265" t="e">
        <v>#N/A</v>
      </c>
      <c r="T1265" t="s">
        <v>5983</v>
      </c>
      <c r="U1265" t="s">
        <v>5983</v>
      </c>
      <c r="V1265" t="s">
        <v>5983</v>
      </c>
      <c r="Y1265" t="s">
        <v>6948</v>
      </c>
      <c r="Z1265" t="s">
        <v>6949</v>
      </c>
      <c r="AA1265" t="s">
        <v>6950</v>
      </c>
      <c r="AB1265" t="s">
        <v>6951</v>
      </c>
      <c r="AC1265" t="s">
        <v>6952</v>
      </c>
      <c r="AD1265" t="s">
        <v>6953</v>
      </c>
    </row>
    <row r="1266" spans="1:30">
      <c r="A1266" t="s">
        <v>4604</v>
      </c>
      <c r="B1266" t="s">
        <v>5006</v>
      </c>
      <c r="C1266" t="s">
        <v>5715</v>
      </c>
      <c r="D1266" t="s">
        <v>6069</v>
      </c>
      <c r="E1266" t="s">
        <v>6070</v>
      </c>
      <c r="J1266" t="s">
        <v>6776</v>
      </c>
      <c r="M1266" t="e">
        <v>#N/A</v>
      </c>
      <c r="N1266" t="e">
        <v>#N/A</v>
      </c>
      <c r="O1266" t="e">
        <v>#N/A</v>
      </c>
      <c r="P1266" t="e">
        <v>#N/A</v>
      </c>
      <c r="R1266" t="e">
        <v>#N/A</v>
      </c>
      <c r="T1266" t="s">
        <v>5983</v>
      </c>
      <c r="U1266" t="s">
        <v>5983</v>
      </c>
      <c r="V1266" t="s">
        <v>5983</v>
      </c>
      <c r="Y1266" t="s">
        <v>6948</v>
      </c>
      <c r="Z1266" t="s">
        <v>6949</v>
      </c>
      <c r="AA1266" t="s">
        <v>6950</v>
      </c>
      <c r="AB1266" t="s">
        <v>6951</v>
      </c>
      <c r="AC1266" t="s">
        <v>6952</v>
      </c>
      <c r="AD1266" t="s">
        <v>6953</v>
      </c>
    </row>
    <row r="1267" spans="1:30">
      <c r="A1267" t="s">
        <v>4604</v>
      </c>
      <c r="B1267" t="s">
        <v>5007</v>
      </c>
      <c r="C1267" t="s">
        <v>5716</v>
      </c>
      <c r="D1267" t="s">
        <v>6069</v>
      </c>
      <c r="E1267" t="s">
        <v>6070</v>
      </c>
      <c r="J1267" t="s">
        <v>6630</v>
      </c>
      <c r="M1267" t="e">
        <v>#N/A</v>
      </c>
      <c r="N1267" t="e">
        <v>#N/A</v>
      </c>
      <c r="O1267" t="e">
        <v>#N/A</v>
      </c>
      <c r="P1267" t="e">
        <v>#N/A</v>
      </c>
      <c r="R1267" t="e">
        <v>#N/A</v>
      </c>
      <c r="T1267" t="s">
        <v>5983</v>
      </c>
      <c r="U1267" t="s">
        <v>5983</v>
      </c>
      <c r="V1267" t="s">
        <v>5983</v>
      </c>
      <c r="Y1267" t="s">
        <v>6948</v>
      </c>
      <c r="Z1267" t="s">
        <v>6949</v>
      </c>
      <c r="AA1267" t="s">
        <v>6950</v>
      </c>
      <c r="AB1267" t="s">
        <v>6951</v>
      </c>
      <c r="AC1267" t="s">
        <v>6952</v>
      </c>
      <c r="AD1267" t="s">
        <v>6953</v>
      </c>
    </row>
    <row r="1268" spans="1:30">
      <c r="A1268" t="s">
        <v>4604</v>
      </c>
      <c r="B1268" t="s">
        <v>5008</v>
      </c>
      <c r="C1268" t="s">
        <v>5828</v>
      </c>
      <c r="D1268" t="s">
        <v>6069</v>
      </c>
      <c r="E1268" t="s">
        <v>6070</v>
      </c>
      <c r="J1268" t="s">
        <v>6631</v>
      </c>
      <c r="M1268" t="e">
        <v>#N/A</v>
      </c>
      <c r="N1268" t="e">
        <v>#N/A</v>
      </c>
      <c r="O1268" t="e">
        <v>#N/A</v>
      </c>
      <c r="P1268" t="e">
        <v>#N/A</v>
      </c>
      <c r="R1268" t="e">
        <v>#N/A</v>
      </c>
      <c r="T1268" t="s">
        <v>5983</v>
      </c>
      <c r="U1268" t="s">
        <v>5983</v>
      </c>
      <c r="V1268" t="s">
        <v>5983</v>
      </c>
      <c r="Y1268" t="s">
        <v>6948</v>
      </c>
      <c r="Z1268" t="s">
        <v>6949</v>
      </c>
      <c r="AA1268" t="s">
        <v>6950</v>
      </c>
      <c r="AB1268" t="s">
        <v>6951</v>
      </c>
      <c r="AC1268" t="s">
        <v>6952</v>
      </c>
      <c r="AD1268" t="s">
        <v>6953</v>
      </c>
    </row>
    <row r="1269" spans="1:30">
      <c r="A1269">
        <v>11005795</v>
      </c>
      <c r="B1269" t="s">
        <v>5009</v>
      </c>
      <c r="C1269" t="s">
        <v>5718</v>
      </c>
      <c r="D1269" t="s">
        <v>6071</v>
      </c>
      <c r="E1269" t="s">
        <v>6072</v>
      </c>
      <c r="J1269" t="s">
        <v>6632</v>
      </c>
      <c r="M1269" t="e">
        <v>#N/A</v>
      </c>
      <c r="N1269" t="e">
        <v>#N/A</v>
      </c>
      <c r="O1269" t="e">
        <v>#N/A</v>
      </c>
      <c r="P1269" t="e">
        <v>#N/A</v>
      </c>
      <c r="R1269" t="e">
        <v>#N/A</v>
      </c>
      <c r="T1269" t="s">
        <v>5983</v>
      </c>
      <c r="U1269" t="s">
        <v>5983</v>
      </c>
      <c r="V1269" t="s">
        <v>5983</v>
      </c>
      <c r="Y1269" t="s">
        <v>6948</v>
      </c>
      <c r="Z1269" t="s">
        <v>6949</v>
      </c>
      <c r="AA1269" t="s">
        <v>6950</v>
      </c>
      <c r="AB1269" t="s">
        <v>6951</v>
      </c>
      <c r="AC1269" t="s">
        <v>6952</v>
      </c>
      <c r="AD1269" t="s">
        <v>6953</v>
      </c>
    </row>
    <row r="1270" spans="1:30">
      <c r="A1270" t="s">
        <v>4604</v>
      </c>
      <c r="B1270" t="s">
        <v>5010</v>
      </c>
      <c r="C1270" t="s">
        <v>5719</v>
      </c>
      <c r="D1270" t="s">
        <v>6071</v>
      </c>
      <c r="E1270" t="s">
        <v>6072</v>
      </c>
      <c r="J1270" t="s">
        <v>6633</v>
      </c>
      <c r="M1270" t="e">
        <v>#N/A</v>
      </c>
      <c r="N1270" t="e">
        <v>#N/A</v>
      </c>
      <c r="O1270" t="e">
        <v>#N/A</v>
      </c>
      <c r="P1270" t="e">
        <v>#N/A</v>
      </c>
      <c r="R1270" t="e">
        <v>#N/A</v>
      </c>
      <c r="T1270" t="s">
        <v>5983</v>
      </c>
      <c r="U1270" t="s">
        <v>5983</v>
      </c>
      <c r="V1270" t="s">
        <v>5983</v>
      </c>
      <c r="Y1270" t="s">
        <v>6948</v>
      </c>
      <c r="Z1270" t="s">
        <v>6949</v>
      </c>
      <c r="AA1270" t="s">
        <v>6950</v>
      </c>
      <c r="AB1270" t="s">
        <v>6951</v>
      </c>
      <c r="AC1270" t="s">
        <v>6952</v>
      </c>
      <c r="AD1270" t="s">
        <v>6953</v>
      </c>
    </row>
    <row r="1271" spans="1:30">
      <c r="A1271" t="s">
        <v>4604</v>
      </c>
      <c r="B1271" t="s">
        <v>5011</v>
      </c>
      <c r="C1271" t="s">
        <v>5720</v>
      </c>
      <c r="D1271" t="s">
        <v>6071</v>
      </c>
      <c r="E1271" t="s">
        <v>6072</v>
      </c>
      <c r="J1271" t="s">
        <v>6634</v>
      </c>
      <c r="M1271" t="e">
        <v>#N/A</v>
      </c>
      <c r="N1271" t="e">
        <v>#N/A</v>
      </c>
      <c r="O1271" t="e">
        <v>#N/A</v>
      </c>
      <c r="P1271" t="e">
        <v>#N/A</v>
      </c>
      <c r="R1271" t="e">
        <v>#N/A</v>
      </c>
      <c r="T1271" t="s">
        <v>5983</v>
      </c>
      <c r="U1271" t="s">
        <v>5983</v>
      </c>
      <c r="V1271" t="s">
        <v>5983</v>
      </c>
      <c r="Y1271" t="s">
        <v>6948</v>
      </c>
      <c r="Z1271" t="s">
        <v>6949</v>
      </c>
      <c r="AA1271" t="s">
        <v>6950</v>
      </c>
      <c r="AB1271" t="s">
        <v>6951</v>
      </c>
      <c r="AC1271" t="s">
        <v>6952</v>
      </c>
      <c r="AD1271" t="s">
        <v>6953</v>
      </c>
    </row>
    <row r="1272" spans="1:30">
      <c r="A1272" t="s">
        <v>4604</v>
      </c>
      <c r="B1272" t="s">
        <v>5012</v>
      </c>
      <c r="C1272" t="s">
        <v>5721</v>
      </c>
      <c r="D1272" t="s">
        <v>6073</v>
      </c>
      <c r="E1272" t="s">
        <v>6074</v>
      </c>
      <c r="J1272" t="s">
        <v>6777</v>
      </c>
      <c r="M1272" t="e">
        <v>#N/A</v>
      </c>
      <c r="N1272" t="e">
        <v>#N/A</v>
      </c>
      <c r="O1272" t="e">
        <v>#N/A</v>
      </c>
      <c r="P1272" t="e">
        <v>#N/A</v>
      </c>
      <c r="R1272" t="e">
        <v>#N/A</v>
      </c>
      <c r="T1272" t="s">
        <v>5983</v>
      </c>
      <c r="U1272" t="s">
        <v>5983</v>
      </c>
      <c r="V1272" t="s">
        <v>5983</v>
      </c>
      <c r="Y1272" t="s">
        <v>6948</v>
      </c>
      <c r="Z1272" t="s">
        <v>6949</v>
      </c>
      <c r="AA1272" t="s">
        <v>6950</v>
      </c>
      <c r="AB1272" t="s">
        <v>6951</v>
      </c>
      <c r="AC1272" t="s">
        <v>6952</v>
      </c>
      <c r="AD1272" t="s">
        <v>6953</v>
      </c>
    </row>
    <row r="1273" spans="1:30">
      <c r="A1273" t="s">
        <v>4604</v>
      </c>
      <c r="B1273" t="s">
        <v>5013</v>
      </c>
      <c r="C1273" t="s">
        <v>5722</v>
      </c>
      <c r="D1273" t="s">
        <v>6073</v>
      </c>
      <c r="E1273" t="s">
        <v>6074</v>
      </c>
      <c r="J1273" t="s">
        <v>6778</v>
      </c>
      <c r="M1273" t="e">
        <v>#N/A</v>
      </c>
      <c r="N1273" t="e">
        <v>#N/A</v>
      </c>
      <c r="O1273" t="e">
        <v>#N/A</v>
      </c>
      <c r="P1273" t="e">
        <v>#N/A</v>
      </c>
      <c r="R1273" t="e">
        <v>#N/A</v>
      </c>
      <c r="T1273" t="s">
        <v>5983</v>
      </c>
      <c r="U1273" t="s">
        <v>5983</v>
      </c>
      <c r="V1273" t="s">
        <v>5983</v>
      </c>
      <c r="Y1273" t="s">
        <v>6948</v>
      </c>
      <c r="Z1273" t="s">
        <v>6949</v>
      </c>
      <c r="AA1273" t="s">
        <v>6950</v>
      </c>
      <c r="AB1273" t="s">
        <v>6951</v>
      </c>
      <c r="AC1273" t="s">
        <v>6952</v>
      </c>
      <c r="AD1273" t="s">
        <v>6953</v>
      </c>
    </row>
    <row r="1274" spans="1:30">
      <c r="A1274" t="s">
        <v>4604</v>
      </c>
      <c r="B1274" t="s">
        <v>5014</v>
      </c>
      <c r="C1274" t="s">
        <v>5723</v>
      </c>
      <c r="D1274" t="s">
        <v>6073</v>
      </c>
      <c r="E1274" t="s">
        <v>6074</v>
      </c>
      <c r="J1274" t="s">
        <v>6779</v>
      </c>
      <c r="M1274" t="e">
        <v>#N/A</v>
      </c>
      <c r="N1274" t="e">
        <v>#N/A</v>
      </c>
      <c r="O1274" t="e">
        <v>#N/A</v>
      </c>
      <c r="P1274" t="e">
        <v>#N/A</v>
      </c>
      <c r="R1274" t="e">
        <v>#N/A</v>
      </c>
      <c r="T1274" t="s">
        <v>5983</v>
      </c>
      <c r="U1274" t="s">
        <v>5983</v>
      </c>
      <c r="V1274" t="s">
        <v>5983</v>
      </c>
      <c r="Y1274" t="s">
        <v>6948</v>
      </c>
      <c r="Z1274" t="s">
        <v>6949</v>
      </c>
      <c r="AA1274" t="s">
        <v>6950</v>
      </c>
      <c r="AB1274" t="s">
        <v>6951</v>
      </c>
      <c r="AC1274" t="s">
        <v>6952</v>
      </c>
      <c r="AD1274" t="s">
        <v>6953</v>
      </c>
    </row>
    <row r="1275" spans="1:30">
      <c r="A1275" t="s">
        <v>4604</v>
      </c>
      <c r="B1275" t="s">
        <v>5015</v>
      </c>
      <c r="C1275" t="s">
        <v>5724</v>
      </c>
      <c r="D1275" t="s">
        <v>6073</v>
      </c>
      <c r="E1275" t="s">
        <v>6074</v>
      </c>
      <c r="J1275" t="s">
        <v>6780</v>
      </c>
      <c r="M1275" t="e">
        <v>#N/A</v>
      </c>
      <c r="N1275" t="e">
        <v>#N/A</v>
      </c>
      <c r="O1275" t="e">
        <v>#N/A</v>
      </c>
      <c r="P1275" t="e">
        <v>#N/A</v>
      </c>
      <c r="R1275" t="e">
        <v>#N/A</v>
      </c>
      <c r="T1275" t="s">
        <v>5983</v>
      </c>
      <c r="U1275" t="s">
        <v>5983</v>
      </c>
      <c r="V1275" t="s">
        <v>5983</v>
      </c>
      <c r="Y1275" t="s">
        <v>6948</v>
      </c>
      <c r="Z1275" t="s">
        <v>6949</v>
      </c>
      <c r="AA1275" t="s">
        <v>6950</v>
      </c>
      <c r="AB1275" t="s">
        <v>6951</v>
      </c>
      <c r="AC1275" t="s">
        <v>6952</v>
      </c>
      <c r="AD1275" t="s">
        <v>6953</v>
      </c>
    </row>
    <row r="1276" spans="1:30">
      <c r="A1276" t="s">
        <v>4604</v>
      </c>
      <c r="B1276" t="s">
        <v>5016</v>
      </c>
      <c r="C1276" t="s">
        <v>5725</v>
      </c>
      <c r="D1276" t="s">
        <v>6075</v>
      </c>
      <c r="E1276" t="s">
        <v>6076</v>
      </c>
      <c r="J1276" t="s">
        <v>6781</v>
      </c>
      <c r="M1276" t="e">
        <v>#N/A</v>
      </c>
      <c r="N1276" t="e">
        <v>#N/A</v>
      </c>
      <c r="O1276" t="e">
        <v>#N/A</v>
      </c>
      <c r="P1276" t="e">
        <v>#N/A</v>
      </c>
      <c r="R1276" t="e">
        <v>#N/A</v>
      </c>
      <c r="T1276" t="s">
        <v>5983</v>
      </c>
      <c r="U1276" t="s">
        <v>5983</v>
      </c>
      <c r="V1276" t="s">
        <v>5983</v>
      </c>
      <c r="Y1276" t="s">
        <v>6948</v>
      </c>
      <c r="Z1276" t="s">
        <v>6949</v>
      </c>
      <c r="AA1276" t="s">
        <v>6950</v>
      </c>
      <c r="AB1276" t="s">
        <v>6951</v>
      </c>
      <c r="AC1276" t="s">
        <v>6952</v>
      </c>
      <c r="AD1276" t="s">
        <v>6953</v>
      </c>
    </row>
    <row r="1277" spans="1:30">
      <c r="A1277" t="s">
        <v>4604</v>
      </c>
      <c r="B1277" t="s">
        <v>5017</v>
      </c>
      <c r="C1277" t="s">
        <v>5726</v>
      </c>
      <c r="D1277" t="s">
        <v>6075</v>
      </c>
      <c r="E1277" t="s">
        <v>6076</v>
      </c>
      <c r="J1277" t="s">
        <v>6782</v>
      </c>
      <c r="M1277" t="e">
        <v>#N/A</v>
      </c>
      <c r="N1277" t="e">
        <v>#N/A</v>
      </c>
      <c r="O1277" t="e">
        <v>#N/A</v>
      </c>
      <c r="P1277" t="e">
        <v>#N/A</v>
      </c>
      <c r="R1277" t="e">
        <v>#N/A</v>
      </c>
      <c r="T1277" t="s">
        <v>5983</v>
      </c>
      <c r="U1277" t="s">
        <v>5983</v>
      </c>
      <c r="V1277" t="s">
        <v>5983</v>
      </c>
      <c r="Y1277" t="s">
        <v>6948</v>
      </c>
      <c r="Z1277" t="s">
        <v>6949</v>
      </c>
      <c r="AA1277" t="s">
        <v>6950</v>
      </c>
      <c r="AB1277" t="s">
        <v>6951</v>
      </c>
      <c r="AC1277" t="s">
        <v>6952</v>
      </c>
      <c r="AD1277" t="s">
        <v>6953</v>
      </c>
    </row>
    <row r="1278" spans="1:30">
      <c r="A1278" t="s">
        <v>4604</v>
      </c>
      <c r="B1278" t="s">
        <v>5018</v>
      </c>
      <c r="C1278" t="s">
        <v>5727</v>
      </c>
      <c r="D1278" t="s">
        <v>6075</v>
      </c>
      <c r="E1278" t="s">
        <v>6076</v>
      </c>
      <c r="J1278" t="s">
        <v>6783</v>
      </c>
      <c r="M1278" t="e">
        <v>#N/A</v>
      </c>
      <c r="N1278" t="e">
        <v>#N/A</v>
      </c>
      <c r="O1278" t="e">
        <v>#N/A</v>
      </c>
      <c r="P1278" t="e">
        <v>#N/A</v>
      </c>
      <c r="R1278" t="e">
        <v>#N/A</v>
      </c>
      <c r="T1278" t="s">
        <v>5983</v>
      </c>
      <c r="U1278" t="s">
        <v>5983</v>
      </c>
      <c r="V1278" t="s">
        <v>5983</v>
      </c>
      <c r="Y1278" t="s">
        <v>6948</v>
      </c>
      <c r="Z1278" t="s">
        <v>6949</v>
      </c>
      <c r="AA1278" t="s">
        <v>6950</v>
      </c>
      <c r="AB1278" t="s">
        <v>6951</v>
      </c>
      <c r="AC1278" t="s">
        <v>6952</v>
      </c>
      <c r="AD1278" t="s">
        <v>6953</v>
      </c>
    </row>
    <row r="1279" spans="1:30">
      <c r="A1279" t="s">
        <v>4604</v>
      </c>
      <c r="B1279" t="s">
        <v>5019</v>
      </c>
      <c r="C1279" t="s">
        <v>5728</v>
      </c>
      <c r="D1279" t="s">
        <v>6075</v>
      </c>
      <c r="E1279" t="s">
        <v>6076</v>
      </c>
      <c r="J1279" t="s">
        <v>6784</v>
      </c>
      <c r="M1279" t="e">
        <v>#N/A</v>
      </c>
      <c r="N1279" t="e">
        <v>#N/A</v>
      </c>
      <c r="O1279" t="e">
        <v>#N/A</v>
      </c>
      <c r="P1279" t="e">
        <v>#N/A</v>
      </c>
      <c r="R1279" t="e">
        <v>#N/A</v>
      </c>
      <c r="T1279" t="s">
        <v>5983</v>
      </c>
      <c r="U1279" t="s">
        <v>5983</v>
      </c>
      <c r="V1279" t="s">
        <v>5983</v>
      </c>
      <c r="Y1279" t="s">
        <v>6948</v>
      </c>
      <c r="Z1279" t="s">
        <v>6949</v>
      </c>
      <c r="AA1279" t="s">
        <v>6950</v>
      </c>
      <c r="AB1279" t="s">
        <v>6951</v>
      </c>
      <c r="AC1279" t="s">
        <v>6952</v>
      </c>
      <c r="AD1279" t="s">
        <v>6953</v>
      </c>
    </row>
    <row r="1280" spans="1:30">
      <c r="A1280" t="s">
        <v>4604</v>
      </c>
      <c r="B1280" t="s">
        <v>5020</v>
      </c>
      <c r="C1280" t="s">
        <v>5801</v>
      </c>
      <c r="D1280" t="s">
        <v>6077</v>
      </c>
      <c r="E1280" t="s">
        <v>6078</v>
      </c>
      <c r="J1280" t="s">
        <v>6642</v>
      </c>
      <c r="M1280" t="e">
        <v>#N/A</v>
      </c>
      <c r="N1280" t="e">
        <v>#N/A</v>
      </c>
      <c r="O1280" t="e">
        <v>#N/A</v>
      </c>
      <c r="P1280" t="e">
        <v>#N/A</v>
      </c>
      <c r="R1280" t="e">
        <v>#N/A</v>
      </c>
      <c r="T1280" t="s">
        <v>5983</v>
      </c>
      <c r="U1280" t="s">
        <v>5983</v>
      </c>
      <c r="V1280" t="s">
        <v>5983</v>
      </c>
      <c r="Y1280" t="s">
        <v>6948</v>
      </c>
      <c r="Z1280" t="s">
        <v>6949</v>
      </c>
      <c r="AA1280" t="s">
        <v>6950</v>
      </c>
      <c r="AB1280" t="s">
        <v>6951</v>
      </c>
      <c r="AC1280" t="s">
        <v>6952</v>
      </c>
      <c r="AD1280" t="s">
        <v>6953</v>
      </c>
    </row>
    <row r="1281" spans="1:30">
      <c r="A1281" t="s">
        <v>4604</v>
      </c>
      <c r="B1281" t="s">
        <v>5021</v>
      </c>
      <c r="C1281" t="s">
        <v>5730</v>
      </c>
      <c r="D1281" t="s">
        <v>6079</v>
      </c>
      <c r="E1281" t="s">
        <v>6080</v>
      </c>
      <c r="J1281" t="s">
        <v>6643</v>
      </c>
      <c r="M1281" t="e">
        <v>#N/A</v>
      </c>
      <c r="N1281" t="e">
        <v>#N/A</v>
      </c>
      <c r="O1281" t="e">
        <v>#N/A</v>
      </c>
      <c r="P1281" t="e">
        <v>#N/A</v>
      </c>
      <c r="R1281" t="e">
        <v>#N/A</v>
      </c>
      <c r="T1281" t="s">
        <v>5983</v>
      </c>
      <c r="U1281" t="s">
        <v>5983</v>
      </c>
      <c r="V1281" t="s">
        <v>5983</v>
      </c>
      <c r="Y1281" t="s">
        <v>6948</v>
      </c>
      <c r="Z1281" t="s">
        <v>6949</v>
      </c>
      <c r="AA1281" t="s">
        <v>6950</v>
      </c>
      <c r="AB1281" t="s">
        <v>6951</v>
      </c>
      <c r="AC1281" t="s">
        <v>6952</v>
      </c>
      <c r="AD1281" t="s">
        <v>6953</v>
      </c>
    </row>
    <row r="1282" spans="1:30">
      <c r="A1282" t="s">
        <v>4604</v>
      </c>
      <c r="B1282" t="s">
        <v>5022</v>
      </c>
      <c r="C1282" t="s">
        <v>5731</v>
      </c>
      <c r="D1282" t="s">
        <v>6079</v>
      </c>
      <c r="E1282" t="s">
        <v>6080</v>
      </c>
      <c r="J1282" t="s">
        <v>6785</v>
      </c>
      <c r="M1282" t="e">
        <v>#N/A</v>
      </c>
      <c r="N1282" t="e">
        <v>#N/A</v>
      </c>
      <c r="O1282" t="e">
        <v>#N/A</v>
      </c>
      <c r="P1282" t="e">
        <v>#N/A</v>
      </c>
      <c r="R1282" t="e">
        <v>#N/A</v>
      </c>
      <c r="T1282" t="s">
        <v>5983</v>
      </c>
      <c r="U1282" t="s">
        <v>5983</v>
      </c>
      <c r="V1282" t="s">
        <v>5983</v>
      </c>
      <c r="Y1282" t="s">
        <v>6948</v>
      </c>
      <c r="Z1282" t="s">
        <v>6949</v>
      </c>
      <c r="AA1282" t="s">
        <v>6950</v>
      </c>
      <c r="AB1282" t="s">
        <v>6951</v>
      </c>
      <c r="AC1282" t="s">
        <v>6952</v>
      </c>
      <c r="AD1282" t="s">
        <v>6953</v>
      </c>
    </row>
    <row r="1283" spans="1:30">
      <c r="A1283" t="s">
        <v>4604</v>
      </c>
      <c r="B1283" t="s">
        <v>5023</v>
      </c>
      <c r="C1283" t="s">
        <v>5732</v>
      </c>
      <c r="D1283" t="s">
        <v>6079</v>
      </c>
      <c r="E1283" t="s">
        <v>6080</v>
      </c>
      <c r="J1283" t="s">
        <v>6786</v>
      </c>
      <c r="M1283" t="e">
        <v>#N/A</v>
      </c>
      <c r="N1283" t="e">
        <v>#N/A</v>
      </c>
      <c r="O1283" t="e">
        <v>#N/A</v>
      </c>
      <c r="P1283" t="e">
        <v>#N/A</v>
      </c>
      <c r="R1283" t="e">
        <v>#N/A</v>
      </c>
      <c r="T1283" t="s">
        <v>5983</v>
      </c>
      <c r="U1283" t="s">
        <v>5983</v>
      </c>
      <c r="V1283" t="s">
        <v>5983</v>
      </c>
      <c r="Y1283" t="s">
        <v>6948</v>
      </c>
      <c r="Z1283" t="s">
        <v>6949</v>
      </c>
      <c r="AA1283" t="s">
        <v>6950</v>
      </c>
      <c r="AB1283" t="s">
        <v>6951</v>
      </c>
      <c r="AC1283" t="s">
        <v>6952</v>
      </c>
      <c r="AD1283" t="s">
        <v>6953</v>
      </c>
    </row>
    <row r="1284" spans="1:30">
      <c r="A1284" t="s">
        <v>4604</v>
      </c>
      <c r="B1284" t="s">
        <v>5024</v>
      </c>
      <c r="C1284" t="s">
        <v>5733</v>
      </c>
      <c r="D1284" t="s">
        <v>6079</v>
      </c>
      <c r="E1284" t="s">
        <v>6080</v>
      </c>
      <c r="J1284" t="s">
        <v>6646</v>
      </c>
      <c r="M1284" t="e">
        <v>#N/A</v>
      </c>
      <c r="N1284" t="e">
        <v>#N/A</v>
      </c>
      <c r="O1284" t="e">
        <v>#N/A</v>
      </c>
      <c r="P1284" t="e">
        <v>#N/A</v>
      </c>
      <c r="R1284" t="e">
        <v>#N/A</v>
      </c>
      <c r="T1284" t="s">
        <v>5983</v>
      </c>
      <c r="U1284" t="s">
        <v>5983</v>
      </c>
      <c r="V1284" t="s">
        <v>5983</v>
      </c>
      <c r="Y1284" t="s">
        <v>6948</v>
      </c>
      <c r="Z1284" t="s">
        <v>6949</v>
      </c>
      <c r="AA1284" t="s">
        <v>6950</v>
      </c>
      <c r="AB1284" t="s">
        <v>6951</v>
      </c>
      <c r="AC1284" t="s">
        <v>6952</v>
      </c>
      <c r="AD1284" t="s">
        <v>6953</v>
      </c>
    </row>
    <row r="1285" spans="1:30">
      <c r="A1285" t="s">
        <v>4604</v>
      </c>
      <c r="B1285" t="s">
        <v>5025</v>
      </c>
      <c r="C1285" t="s">
        <v>5734</v>
      </c>
      <c r="D1285" t="s">
        <v>6081</v>
      </c>
      <c r="E1285" t="s">
        <v>6082</v>
      </c>
      <c r="J1285" t="s">
        <v>6647</v>
      </c>
      <c r="M1285" t="e">
        <v>#N/A</v>
      </c>
      <c r="N1285" t="e">
        <v>#N/A</v>
      </c>
      <c r="O1285" t="e">
        <v>#N/A</v>
      </c>
      <c r="P1285" t="e">
        <v>#N/A</v>
      </c>
      <c r="R1285" t="e">
        <v>#N/A</v>
      </c>
      <c r="T1285" t="s">
        <v>5983</v>
      </c>
      <c r="U1285" t="s">
        <v>5983</v>
      </c>
      <c r="V1285" t="s">
        <v>5983</v>
      </c>
      <c r="Y1285" t="s">
        <v>6948</v>
      </c>
      <c r="Z1285" t="s">
        <v>6949</v>
      </c>
      <c r="AA1285" t="s">
        <v>6950</v>
      </c>
      <c r="AB1285" t="s">
        <v>6951</v>
      </c>
      <c r="AC1285" t="s">
        <v>6952</v>
      </c>
      <c r="AD1285" t="s">
        <v>6953</v>
      </c>
    </row>
    <row r="1286" spans="1:30">
      <c r="A1286" t="s">
        <v>4604</v>
      </c>
      <c r="B1286" t="s">
        <v>5026</v>
      </c>
      <c r="C1286" t="s">
        <v>5829</v>
      </c>
      <c r="D1286" t="s">
        <v>6083</v>
      </c>
      <c r="E1286" t="s">
        <v>6084</v>
      </c>
      <c r="J1286" t="s">
        <v>6656</v>
      </c>
      <c r="M1286" t="e">
        <v>#N/A</v>
      </c>
      <c r="N1286" t="e">
        <v>#N/A</v>
      </c>
      <c r="O1286" t="e">
        <v>#N/A</v>
      </c>
      <c r="P1286" t="e">
        <v>#N/A</v>
      </c>
      <c r="R1286" t="e">
        <v>#N/A</v>
      </c>
      <c r="T1286" t="s">
        <v>5983</v>
      </c>
      <c r="U1286" t="s">
        <v>5983</v>
      </c>
      <c r="V1286" t="s">
        <v>5983</v>
      </c>
      <c r="Y1286" t="s">
        <v>6948</v>
      </c>
      <c r="Z1286" t="s">
        <v>6949</v>
      </c>
      <c r="AA1286" t="s">
        <v>6950</v>
      </c>
      <c r="AB1286" t="s">
        <v>6951</v>
      </c>
      <c r="AC1286" t="s">
        <v>6952</v>
      </c>
      <c r="AD1286" t="s">
        <v>6953</v>
      </c>
    </row>
    <row r="1287" spans="1:30">
      <c r="A1287" t="s">
        <v>4604</v>
      </c>
      <c r="B1287" t="s">
        <v>5027</v>
      </c>
      <c r="C1287" t="s">
        <v>5830</v>
      </c>
      <c r="D1287" t="s">
        <v>6085</v>
      </c>
      <c r="E1287" t="s">
        <v>6086</v>
      </c>
      <c r="J1287" t="s">
        <v>6787</v>
      </c>
      <c r="M1287" t="e">
        <v>#N/A</v>
      </c>
      <c r="N1287" t="e">
        <v>#N/A</v>
      </c>
      <c r="O1287" t="e">
        <v>#N/A</v>
      </c>
      <c r="P1287" t="e">
        <v>#N/A</v>
      </c>
      <c r="R1287" t="e">
        <v>#N/A</v>
      </c>
      <c r="T1287" t="s">
        <v>5983</v>
      </c>
      <c r="U1287" t="s">
        <v>5983</v>
      </c>
      <c r="V1287" t="s">
        <v>5983</v>
      </c>
      <c r="Y1287" t="s">
        <v>6948</v>
      </c>
      <c r="Z1287" t="s">
        <v>6949</v>
      </c>
      <c r="AA1287" t="s">
        <v>6950</v>
      </c>
      <c r="AB1287" t="s">
        <v>6951</v>
      </c>
      <c r="AC1287" t="s">
        <v>6952</v>
      </c>
      <c r="AD1287" t="s">
        <v>6953</v>
      </c>
    </row>
    <row r="1288" spans="1:30">
      <c r="A1288" t="s">
        <v>4604</v>
      </c>
      <c r="B1288" t="s">
        <v>5028</v>
      </c>
      <c r="C1288" t="s">
        <v>5793</v>
      </c>
      <c r="D1288" t="s">
        <v>6087</v>
      </c>
      <c r="E1288" t="s">
        <v>6088</v>
      </c>
      <c r="J1288" t="s">
        <v>6703</v>
      </c>
      <c r="M1288" t="e">
        <v>#N/A</v>
      </c>
      <c r="N1288" t="e">
        <v>#N/A</v>
      </c>
      <c r="O1288" t="e">
        <v>#N/A</v>
      </c>
      <c r="P1288" t="e">
        <v>#N/A</v>
      </c>
      <c r="R1288" t="e">
        <v>#N/A</v>
      </c>
      <c r="T1288" t="s">
        <v>5983</v>
      </c>
      <c r="U1288" t="s">
        <v>5983</v>
      </c>
      <c r="V1288" t="s">
        <v>5983</v>
      </c>
      <c r="Y1288" t="s">
        <v>6948</v>
      </c>
      <c r="Z1288" t="s">
        <v>6949</v>
      </c>
      <c r="AA1288" t="s">
        <v>6950</v>
      </c>
      <c r="AB1288" t="s">
        <v>6951</v>
      </c>
      <c r="AC1288" t="s">
        <v>6952</v>
      </c>
      <c r="AD1288" t="s">
        <v>6953</v>
      </c>
    </row>
    <row r="1289" spans="1:30">
      <c r="A1289" t="s">
        <v>4604</v>
      </c>
      <c r="B1289" t="s">
        <v>5029</v>
      </c>
      <c r="C1289" t="s">
        <v>1116</v>
      </c>
      <c r="D1289" t="s">
        <v>6089</v>
      </c>
      <c r="E1289" t="s">
        <v>6090</v>
      </c>
      <c r="J1289" t="s">
        <v>6658</v>
      </c>
      <c r="M1289" t="e">
        <v>#N/A</v>
      </c>
      <c r="N1289" t="e">
        <v>#N/A</v>
      </c>
      <c r="O1289" t="e">
        <v>#N/A</v>
      </c>
      <c r="P1289" t="e">
        <v>#N/A</v>
      </c>
      <c r="R1289" t="e">
        <v>#N/A</v>
      </c>
      <c r="T1289" t="s">
        <v>5983</v>
      </c>
      <c r="U1289" t="s">
        <v>5983</v>
      </c>
      <c r="V1289" t="s">
        <v>5983</v>
      </c>
      <c r="Y1289" t="s">
        <v>6948</v>
      </c>
      <c r="Z1289" t="s">
        <v>6949</v>
      </c>
      <c r="AA1289" t="s">
        <v>6950</v>
      </c>
      <c r="AB1289" t="s">
        <v>6951</v>
      </c>
      <c r="AC1289" t="s">
        <v>6952</v>
      </c>
      <c r="AD1289" t="s">
        <v>6953</v>
      </c>
    </row>
    <row r="1290" spans="1:30">
      <c r="A1290" t="s">
        <v>4604</v>
      </c>
      <c r="B1290" t="s">
        <v>5030</v>
      </c>
      <c r="C1290" t="s">
        <v>5831</v>
      </c>
      <c r="D1290" t="s">
        <v>6091</v>
      </c>
      <c r="E1290" t="s">
        <v>6092</v>
      </c>
      <c r="J1290" t="s">
        <v>6788</v>
      </c>
      <c r="M1290" t="e">
        <v>#N/A</v>
      </c>
      <c r="N1290" t="e">
        <v>#N/A</v>
      </c>
      <c r="O1290" t="e">
        <v>#N/A</v>
      </c>
      <c r="P1290" t="e">
        <v>#N/A</v>
      </c>
      <c r="R1290" t="e">
        <v>#N/A</v>
      </c>
      <c r="T1290" t="s">
        <v>5983</v>
      </c>
      <c r="U1290" t="s">
        <v>5983</v>
      </c>
      <c r="V1290" t="s">
        <v>5983</v>
      </c>
      <c r="Y1290" t="s">
        <v>6948</v>
      </c>
      <c r="Z1290" t="s">
        <v>6949</v>
      </c>
      <c r="AA1290" t="s">
        <v>6950</v>
      </c>
      <c r="AB1290" t="s">
        <v>6951</v>
      </c>
      <c r="AC1290" t="s">
        <v>6952</v>
      </c>
      <c r="AD1290" t="s">
        <v>6953</v>
      </c>
    </row>
    <row r="1291" spans="1:30">
      <c r="A1291" t="s">
        <v>4604</v>
      </c>
      <c r="B1291" t="s">
        <v>5031</v>
      </c>
      <c r="C1291" t="s">
        <v>996</v>
      </c>
      <c r="D1291">
        <v>0</v>
      </c>
      <c r="E1291">
        <v>0</v>
      </c>
      <c r="J1291">
        <v>0</v>
      </c>
      <c r="M1291" t="e">
        <v>#N/A</v>
      </c>
      <c r="N1291" t="e">
        <v>#N/A</v>
      </c>
      <c r="O1291" t="e">
        <v>#N/A</v>
      </c>
      <c r="P1291" t="e">
        <v>#N/A</v>
      </c>
      <c r="R1291" t="e">
        <v>#N/A</v>
      </c>
      <c r="T1291">
        <v>0</v>
      </c>
      <c r="U1291">
        <v>0</v>
      </c>
      <c r="V1291" t="s">
        <v>5983</v>
      </c>
      <c r="Y1291" t="s">
        <v>6948</v>
      </c>
      <c r="Z1291" t="s">
        <v>6949</v>
      </c>
      <c r="AA1291" t="s">
        <v>6950</v>
      </c>
      <c r="AB1291" t="s">
        <v>6951</v>
      </c>
      <c r="AC1291" t="s">
        <v>6952</v>
      </c>
      <c r="AD1291" t="s">
        <v>6953</v>
      </c>
    </row>
    <row r="1292" spans="1:30">
      <c r="A1292" t="s">
        <v>4604</v>
      </c>
      <c r="B1292" t="s">
        <v>5032</v>
      </c>
      <c r="C1292" t="s">
        <v>1091</v>
      </c>
      <c r="D1292" t="s">
        <v>6091</v>
      </c>
      <c r="E1292" t="s">
        <v>6092</v>
      </c>
      <c r="J1292" t="s">
        <v>6789</v>
      </c>
      <c r="M1292" t="e">
        <v>#N/A</v>
      </c>
      <c r="N1292" t="e">
        <v>#N/A</v>
      </c>
      <c r="O1292" t="e">
        <v>#N/A</v>
      </c>
      <c r="P1292" t="e">
        <v>#N/A</v>
      </c>
      <c r="R1292" t="e">
        <v>#N/A</v>
      </c>
      <c r="T1292" t="s">
        <v>5983</v>
      </c>
      <c r="U1292" t="s">
        <v>5983</v>
      </c>
      <c r="V1292" t="s">
        <v>5983</v>
      </c>
      <c r="Y1292" t="s">
        <v>6948</v>
      </c>
      <c r="Z1292" t="s">
        <v>6949</v>
      </c>
      <c r="AA1292" t="s">
        <v>6950</v>
      </c>
      <c r="AB1292" t="s">
        <v>6951</v>
      </c>
      <c r="AC1292" t="s">
        <v>6952</v>
      </c>
      <c r="AD1292" t="s">
        <v>6953</v>
      </c>
    </row>
    <row r="1293" spans="1:30">
      <c r="A1293">
        <v>11009487</v>
      </c>
      <c r="B1293" t="s">
        <v>5033</v>
      </c>
      <c r="C1293" t="s">
        <v>1091</v>
      </c>
      <c r="D1293">
        <v>0</v>
      </c>
      <c r="E1293">
        <v>0</v>
      </c>
      <c r="J1293">
        <v>0</v>
      </c>
      <c r="M1293" t="e">
        <v>#N/A</v>
      </c>
      <c r="N1293" t="e">
        <v>#N/A</v>
      </c>
      <c r="O1293" t="e">
        <v>#N/A</v>
      </c>
      <c r="P1293" t="e">
        <v>#N/A</v>
      </c>
      <c r="R1293" t="e">
        <v>#N/A</v>
      </c>
      <c r="T1293">
        <v>0</v>
      </c>
      <c r="U1293">
        <v>0</v>
      </c>
      <c r="V1293" t="s">
        <v>5983</v>
      </c>
      <c r="Y1293" t="s">
        <v>6948</v>
      </c>
      <c r="Z1293" t="s">
        <v>6949</v>
      </c>
      <c r="AA1293" t="s">
        <v>6950</v>
      </c>
      <c r="AB1293" t="s">
        <v>6951</v>
      </c>
      <c r="AC1293" t="s">
        <v>6952</v>
      </c>
      <c r="AD1293" t="s">
        <v>6953</v>
      </c>
    </row>
    <row r="1294" spans="1:30">
      <c r="A1294" t="s">
        <v>4604</v>
      </c>
      <c r="B1294" t="s">
        <v>5034</v>
      </c>
      <c r="C1294" t="s">
        <v>5832</v>
      </c>
      <c r="D1294" t="s">
        <v>6091</v>
      </c>
      <c r="E1294" t="s">
        <v>6092</v>
      </c>
      <c r="J1294" t="s">
        <v>6790</v>
      </c>
      <c r="M1294" t="e">
        <v>#N/A</v>
      </c>
      <c r="N1294" t="e">
        <v>#N/A</v>
      </c>
      <c r="O1294" t="e">
        <v>#N/A</v>
      </c>
      <c r="P1294" t="e">
        <v>#N/A</v>
      </c>
      <c r="R1294" t="e">
        <v>#N/A</v>
      </c>
      <c r="T1294" t="s">
        <v>5983</v>
      </c>
      <c r="U1294" t="s">
        <v>5983</v>
      </c>
      <c r="V1294" t="s">
        <v>5983</v>
      </c>
      <c r="Y1294" t="s">
        <v>6948</v>
      </c>
      <c r="Z1294" t="s">
        <v>6949</v>
      </c>
      <c r="AA1294" t="s">
        <v>6950</v>
      </c>
      <c r="AB1294" t="s">
        <v>6951</v>
      </c>
      <c r="AC1294" t="s">
        <v>6952</v>
      </c>
      <c r="AD1294" t="s">
        <v>6953</v>
      </c>
    </row>
    <row r="1295" spans="1:30">
      <c r="A1295" t="s">
        <v>4604</v>
      </c>
      <c r="B1295" t="s">
        <v>5035</v>
      </c>
      <c r="C1295" t="s">
        <v>997</v>
      </c>
      <c r="D1295">
        <v>0</v>
      </c>
      <c r="E1295">
        <v>0</v>
      </c>
      <c r="J1295">
        <v>0</v>
      </c>
      <c r="M1295" t="e">
        <v>#N/A</v>
      </c>
      <c r="N1295" t="e">
        <v>#N/A</v>
      </c>
      <c r="O1295" t="e">
        <v>#N/A</v>
      </c>
      <c r="P1295" t="e">
        <v>#N/A</v>
      </c>
      <c r="R1295" t="e">
        <v>#N/A</v>
      </c>
      <c r="T1295">
        <v>0</v>
      </c>
      <c r="U1295">
        <v>0</v>
      </c>
      <c r="V1295" t="s">
        <v>5983</v>
      </c>
      <c r="Y1295" t="s">
        <v>6948</v>
      </c>
      <c r="Z1295" t="s">
        <v>6949</v>
      </c>
      <c r="AA1295" t="s">
        <v>6950</v>
      </c>
      <c r="AB1295" t="s">
        <v>6951</v>
      </c>
      <c r="AC1295" t="s">
        <v>6952</v>
      </c>
      <c r="AD1295" t="s">
        <v>6953</v>
      </c>
    </row>
    <row r="1296" spans="1:30">
      <c r="A1296" t="s">
        <v>4604</v>
      </c>
      <c r="B1296" t="s">
        <v>5036</v>
      </c>
      <c r="C1296" t="s">
        <v>980</v>
      </c>
      <c r="D1296" t="s">
        <v>6091</v>
      </c>
      <c r="E1296" t="s">
        <v>6092</v>
      </c>
      <c r="J1296" t="s">
        <v>6791</v>
      </c>
      <c r="M1296" t="e">
        <v>#N/A</v>
      </c>
      <c r="N1296" t="e">
        <v>#N/A</v>
      </c>
      <c r="O1296" t="e">
        <v>#N/A</v>
      </c>
      <c r="P1296" t="e">
        <v>#N/A</v>
      </c>
      <c r="R1296" t="e">
        <v>#N/A</v>
      </c>
      <c r="T1296" t="s">
        <v>5983</v>
      </c>
      <c r="U1296" t="s">
        <v>5983</v>
      </c>
      <c r="V1296" t="s">
        <v>5983</v>
      </c>
      <c r="Y1296" t="s">
        <v>6948</v>
      </c>
      <c r="Z1296" t="s">
        <v>6949</v>
      </c>
      <c r="AA1296" t="s">
        <v>6950</v>
      </c>
      <c r="AB1296" t="s">
        <v>6951</v>
      </c>
      <c r="AC1296" t="s">
        <v>6952</v>
      </c>
      <c r="AD1296" t="s">
        <v>6953</v>
      </c>
    </row>
    <row r="1297" spans="1:30">
      <c r="A1297">
        <v>11009485</v>
      </c>
      <c r="B1297" t="s">
        <v>5037</v>
      </c>
      <c r="C1297" t="s">
        <v>980</v>
      </c>
      <c r="D1297">
        <v>0</v>
      </c>
      <c r="E1297">
        <v>0</v>
      </c>
      <c r="J1297">
        <v>0</v>
      </c>
      <c r="M1297" t="e">
        <v>#N/A</v>
      </c>
      <c r="N1297" t="e">
        <v>#N/A</v>
      </c>
      <c r="O1297" t="e">
        <v>#N/A</v>
      </c>
      <c r="P1297" t="e">
        <v>#N/A</v>
      </c>
      <c r="R1297" t="e">
        <v>#N/A</v>
      </c>
      <c r="T1297">
        <v>0</v>
      </c>
      <c r="U1297">
        <v>0</v>
      </c>
      <c r="V1297" t="s">
        <v>5983</v>
      </c>
      <c r="Y1297" t="s">
        <v>6948</v>
      </c>
      <c r="Z1297" t="s">
        <v>6949</v>
      </c>
      <c r="AA1297" t="s">
        <v>6950</v>
      </c>
      <c r="AB1297" t="s">
        <v>6951</v>
      </c>
      <c r="AC1297" t="s">
        <v>6952</v>
      </c>
      <c r="AD1297" t="s">
        <v>6953</v>
      </c>
    </row>
    <row r="1298" spans="1:30">
      <c r="A1298" t="s">
        <v>4604</v>
      </c>
      <c r="B1298" t="s">
        <v>5038</v>
      </c>
      <c r="C1298" t="s">
        <v>5833</v>
      </c>
      <c r="D1298" t="s">
        <v>6093</v>
      </c>
      <c r="E1298" t="s">
        <v>5949</v>
      </c>
      <c r="J1298" t="s">
        <v>6792</v>
      </c>
      <c r="M1298" t="e">
        <v>#N/A</v>
      </c>
      <c r="N1298" t="e">
        <v>#N/A</v>
      </c>
      <c r="O1298" t="e">
        <v>#N/A</v>
      </c>
      <c r="P1298" t="e">
        <v>#N/A</v>
      </c>
      <c r="R1298" t="e">
        <v>#N/A</v>
      </c>
      <c r="T1298" t="s">
        <v>5983</v>
      </c>
      <c r="U1298" t="s">
        <v>5983</v>
      </c>
      <c r="V1298" t="s">
        <v>5983</v>
      </c>
      <c r="Y1298" t="s">
        <v>6948</v>
      </c>
      <c r="Z1298" t="s">
        <v>6949</v>
      </c>
      <c r="AA1298" t="s">
        <v>6950</v>
      </c>
      <c r="AB1298" t="s">
        <v>6951</v>
      </c>
      <c r="AC1298" t="s">
        <v>6952</v>
      </c>
      <c r="AD1298" t="s">
        <v>6953</v>
      </c>
    </row>
    <row r="1299" spans="1:30">
      <c r="A1299">
        <v>11005732</v>
      </c>
      <c r="B1299" t="s">
        <v>5039</v>
      </c>
      <c r="C1299" t="s">
        <v>5833</v>
      </c>
      <c r="D1299" t="s">
        <v>6093</v>
      </c>
      <c r="E1299" t="s">
        <v>5949</v>
      </c>
      <c r="J1299" t="s">
        <v>6792</v>
      </c>
      <c r="M1299" t="e">
        <v>#N/A</v>
      </c>
      <c r="N1299" t="e">
        <v>#N/A</v>
      </c>
      <c r="O1299" t="e">
        <v>#N/A</v>
      </c>
      <c r="P1299" t="e">
        <v>#N/A</v>
      </c>
      <c r="R1299" t="e">
        <v>#N/A</v>
      </c>
      <c r="T1299" t="s">
        <v>5983</v>
      </c>
      <c r="U1299" t="s">
        <v>5983</v>
      </c>
      <c r="V1299" t="s">
        <v>5983</v>
      </c>
      <c r="Y1299" t="s">
        <v>6948</v>
      </c>
      <c r="Z1299" t="s">
        <v>6949</v>
      </c>
      <c r="AA1299" t="s">
        <v>6950</v>
      </c>
      <c r="AB1299" t="s">
        <v>6951</v>
      </c>
      <c r="AC1299" t="s">
        <v>6952</v>
      </c>
      <c r="AD1299" t="s">
        <v>6953</v>
      </c>
    </row>
    <row r="1300" spans="1:30">
      <c r="A1300" t="s">
        <v>4604</v>
      </c>
      <c r="B1300" t="s">
        <v>5040</v>
      </c>
      <c r="C1300" t="s">
        <v>5791</v>
      </c>
      <c r="D1300" t="s">
        <v>6059</v>
      </c>
      <c r="E1300" t="s">
        <v>6060</v>
      </c>
      <c r="J1300" t="s">
        <v>6755</v>
      </c>
      <c r="M1300" t="e">
        <v>#N/A</v>
      </c>
      <c r="N1300" t="e">
        <v>#N/A</v>
      </c>
      <c r="O1300" t="e">
        <v>#N/A</v>
      </c>
      <c r="P1300" t="e">
        <v>#N/A</v>
      </c>
      <c r="R1300" t="e">
        <v>#N/A</v>
      </c>
      <c r="T1300" t="s">
        <v>5983</v>
      </c>
      <c r="U1300" t="s">
        <v>5983</v>
      </c>
      <c r="V1300" t="s">
        <v>5983</v>
      </c>
      <c r="Y1300" t="s">
        <v>6948</v>
      </c>
      <c r="Z1300" t="s">
        <v>6949</v>
      </c>
      <c r="AA1300" t="s">
        <v>6950</v>
      </c>
      <c r="AB1300" t="s">
        <v>6951</v>
      </c>
      <c r="AC1300" t="s">
        <v>6952</v>
      </c>
      <c r="AD1300" t="s">
        <v>6953</v>
      </c>
    </row>
    <row r="1301" spans="1:30">
      <c r="A1301">
        <v>11005605</v>
      </c>
      <c r="B1301" t="s">
        <v>5041</v>
      </c>
      <c r="C1301" t="s">
        <v>5834</v>
      </c>
      <c r="D1301" t="s">
        <v>6094</v>
      </c>
      <c r="E1301" t="s">
        <v>6095</v>
      </c>
      <c r="J1301" t="s">
        <v>6793</v>
      </c>
      <c r="M1301" t="e">
        <v>#N/A</v>
      </c>
      <c r="N1301" t="e">
        <v>#N/A</v>
      </c>
      <c r="O1301" t="e">
        <v>#N/A</v>
      </c>
      <c r="P1301" t="e">
        <v>#N/A</v>
      </c>
      <c r="R1301" t="e">
        <v>#N/A</v>
      </c>
      <c r="T1301" t="s">
        <v>5983</v>
      </c>
      <c r="U1301" t="s">
        <v>5983</v>
      </c>
      <c r="V1301" t="s">
        <v>5983</v>
      </c>
      <c r="Y1301" t="s">
        <v>6948</v>
      </c>
      <c r="Z1301" t="s">
        <v>6949</v>
      </c>
      <c r="AA1301" t="s">
        <v>6950</v>
      </c>
      <c r="AB1301" t="s">
        <v>6951</v>
      </c>
      <c r="AC1301" t="s">
        <v>6952</v>
      </c>
      <c r="AD1301" t="s">
        <v>6953</v>
      </c>
    </row>
    <row r="1302" spans="1:30">
      <c r="A1302">
        <v>11005600</v>
      </c>
      <c r="B1302" t="s">
        <v>5042</v>
      </c>
      <c r="C1302" t="s">
        <v>5835</v>
      </c>
      <c r="D1302" t="s">
        <v>6096</v>
      </c>
      <c r="E1302" t="s">
        <v>6097</v>
      </c>
      <c r="J1302" t="s">
        <v>6794</v>
      </c>
      <c r="M1302" t="e">
        <v>#N/A</v>
      </c>
      <c r="N1302" t="e">
        <v>#N/A</v>
      </c>
      <c r="O1302" t="e">
        <v>#N/A</v>
      </c>
      <c r="P1302" t="e">
        <v>#N/A</v>
      </c>
      <c r="R1302" t="e">
        <v>#N/A</v>
      </c>
      <c r="T1302" t="s">
        <v>5983</v>
      </c>
      <c r="U1302" t="s">
        <v>5983</v>
      </c>
      <c r="V1302" t="s">
        <v>5983</v>
      </c>
      <c r="Y1302" t="s">
        <v>6948</v>
      </c>
      <c r="Z1302" t="s">
        <v>6949</v>
      </c>
      <c r="AA1302" t="s">
        <v>6950</v>
      </c>
      <c r="AB1302" t="s">
        <v>6951</v>
      </c>
      <c r="AC1302" t="s">
        <v>6952</v>
      </c>
      <c r="AD1302" t="s">
        <v>6953</v>
      </c>
    </row>
    <row r="1303" spans="1:30">
      <c r="A1303">
        <v>11005595</v>
      </c>
      <c r="B1303" t="s">
        <v>5043</v>
      </c>
      <c r="C1303" t="s">
        <v>5836</v>
      </c>
      <c r="D1303" t="s">
        <v>6098</v>
      </c>
      <c r="E1303" t="s">
        <v>6099</v>
      </c>
      <c r="J1303" t="s">
        <v>6795</v>
      </c>
      <c r="M1303" t="e">
        <v>#N/A</v>
      </c>
      <c r="N1303" t="e">
        <v>#N/A</v>
      </c>
      <c r="O1303" t="e">
        <v>#N/A</v>
      </c>
      <c r="P1303" t="e">
        <v>#N/A</v>
      </c>
      <c r="R1303" t="e">
        <v>#N/A</v>
      </c>
      <c r="T1303" t="s">
        <v>5983</v>
      </c>
      <c r="U1303" t="s">
        <v>5983</v>
      </c>
      <c r="V1303" t="s">
        <v>5983</v>
      </c>
      <c r="Y1303" t="s">
        <v>6948</v>
      </c>
      <c r="Z1303" t="s">
        <v>6949</v>
      </c>
      <c r="AA1303" t="s">
        <v>6950</v>
      </c>
      <c r="AB1303" t="s">
        <v>6951</v>
      </c>
      <c r="AC1303" t="s">
        <v>6952</v>
      </c>
      <c r="AD1303" t="s">
        <v>6953</v>
      </c>
    </row>
    <row r="1304" spans="1:30">
      <c r="A1304">
        <v>11005591</v>
      </c>
      <c r="B1304" t="s">
        <v>5044</v>
      </c>
      <c r="C1304" t="s">
        <v>5837</v>
      </c>
      <c r="D1304" t="s">
        <v>6100</v>
      </c>
      <c r="E1304" t="s">
        <v>6101</v>
      </c>
      <c r="J1304" t="s">
        <v>6796</v>
      </c>
      <c r="M1304" t="e">
        <v>#N/A</v>
      </c>
      <c r="N1304" t="e">
        <v>#N/A</v>
      </c>
      <c r="O1304" t="e">
        <v>#N/A</v>
      </c>
      <c r="P1304" t="e">
        <v>#N/A</v>
      </c>
      <c r="R1304" t="e">
        <v>#N/A</v>
      </c>
      <c r="T1304" t="s">
        <v>5983</v>
      </c>
      <c r="U1304" t="s">
        <v>5983</v>
      </c>
      <c r="V1304" t="s">
        <v>5983</v>
      </c>
      <c r="Y1304" t="s">
        <v>6948</v>
      </c>
      <c r="Z1304" t="s">
        <v>6949</v>
      </c>
      <c r="AA1304" t="s">
        <v>6950</v>
      </c>
      <c r="AB1304" t="s">
        <v>6951</v>
      </c>
      <c r="AC1304" t="s">
        <v>6952</v>
      </c>
      <c r="AD1304" t="s">
        <v>6953</v>
      </c>
    </row>
    <row r="1305" spans="1:30">
      <c r="A1305">
        <v>11005588</v>
      </c>
      <c r="B1305" t="s">
        <v>5045</v>
      </c>
      <c r="C1305" t="s">
        <v>5838</v>
      </c>
      <c r="D1305" t="s">
        <v>6094</v>
      </c>
      <c r="E1305" t="s">
        <v>6095</v>
      </c>
      <c r="J1305" t="s">
        <v>6797</v>
      </c>
      <c r="M1305" t="e">
        <v>#N/A</v>
      </c>
      <c r="N1305" t="e">
        <v>#N/A</v>
      </c>
      <c r="O1305" t="e">
        <v>#N/A</v>
      </c>
      <c r="P1305" t="e">
        <v>#N/A</v>
      </c>
      <c r="R1305" t="e">
        <v>#N/A</v>
      </c>
      <c r="T1305" t="s">
        <v>5983</v>
      </c>
      <c r="U1305" t="s">
        <v>5983</v>
      </c>
      <c r="V1305" t="s">
        <v>5983</v>
      </c>
      <c r="Y1305" t="s">
        <v>6948</v>
      </c>
      <c r="Z1305" t="s">
        <v>6949</v>
      </c>
      <c r="AA1305" t="s">
        <v>6950</v>
      </c>
      <c r="AB1305" t="s">
        <v>6951</v>
      </c>
      <c r="AC1305" t="s">
        <v>6952</v>
      </c>
      <c r="AD1305" t="s">
        <v>6953</v>
      </c>
    </row>
    <row r="1306" spans="1:30">
      <c r="A1306" t="s">
        <v>4604</v>
      </c>
      <c r="B1306" t="s">
        <v>5046</v>
      </c>
      <c r="C1306" t="s">
        <v>1005</v>
      </c>
      <c r="D1306">
        <v>0</v>
      </c>
      <c r="E1306">
        <v>0</v>
      </c>
      <c r="J1306">
        <v>0</v>
      </c>
      <c r="M1306" t="e">
        <v>#N/A</v>
      </c>
      <c r="N1306" t="e">
        <v>#N/A</v>
      </c>
      <c r="O1306" t="e">
        <v>#N/A</v>
      </c>
      <c r="P1306" t="e">
        <v>#N/A</v>
      </c>
      <c r="R1306" t="e">
        <v>#N/A</v>
      </c>
      <c r="T1306">
        <v>0</v>
      </c>
      <c r="U1306">
        <v>0</v>
      </c>
      <c r="V1306" t="s">
        <v>5983</v>
      </c>
      <c r="Y1306" t="s">
        <v>6948</v>
      </c>
      <c r="Z1306" t="s">
        <v>6949</v>
      </c>
      <c r="AA1306" t="s">
        <v>6950</v>
      </c>
      <c r="AB1306" t="s">
        <v>6951</v>
      </c>
      <c r="AC1306" t="s">
        <v>6952</v>
      </c>
      <c r="AD1306" t="s">
        <v>6953</v>
      </c>
    </row>
    <row r="1307" spans="1:30">
      <c r="A1307" t="s">
        <v>4604</v>
      </c>
      <c r="B1307" t="s">
        <v>5047</v>
      </c>
      <c r="C1307" t="s">
        <v>1006</v>
      </c>
      <c r="D1307">
        <v>0</v>
      </c>
      <c r="E1307">
        <v>0</v>
      </c>
      <c r="J1307">
        <v>0</v>
      </c>
      <c r="M1307" t="e">
        <v>#N/A</v>
      </c>
      <c r="N1307" t="e">
        <v>#N/A</v>
      </c>
      <c r="O1307" t="e">
        <v>#N/A</v>
      </c>
      <c r="P1307" t="e">
        <v>#N/A</v>
      </c>
      <c r="R1307" t="e">
        <v>#N/A</v>
      </c>
      <c r="T1307">
        <v>0</v>
      </c>
      <c r="U1307">
        <v>0</v>
      </c>
      <c r="V1307" t="s">
        <v>5983</v>
      </c>
      <c r="Y1307" t="s">
        <v>6948</v>
      </c>
      <c r="Z1307" t="s">
        <v>6949</v>
      </c>
      <c r="AA1307" t="s">
        <v>6950</v>
      </c>
      <c r="AB1307" t="s">
        <v>6951</v>
      </c>
      <c r="AC1307" t="s">
        <v>6952</v>
      </c>
      <c r="AD1307" t="s">
        <v>6953</v>
      </c>
    </row>
    <row r="1308" spans="1:30">
      <c r="A1308" t="s">
        <v>4604</v>
      </c>
      <c r="B1308" t="s">
        <v>5048</v>
      </c>
      <c r="C1308" t="s">
        <v>1007</v>
      </c>
      <c r="D1308">
        <v>0</v>
      </c>
      <c r="E1308">
        <v>0</v>
      </c>
      <c r="J1308">
        <v>0</v>
      </c>
      <c r="M1308" t="e">
        <v>#N/A</v>
      </c>
      <c r="N1308" t="e">
        <v>#N/A</v>
      </c>
      <c r="O1308" t="e">
        <v>#N/A</v>
      </c>
      <c r="P1308" t="e">
        <v>#N/A</v>
      </c>
      <c r="R1308" t="e">
        <v>#N/A</v>
      </c>
      <c r="T1308">
        <v>0</v>
      </c>
      <c r="U1308">
        <v>0</v>
      </c>
      <c r="V1308" t="s">
        <v>5983</v>
      </c>
      <c r="Y1308" t="s">
        <v>6948</v>
      </c>
      <c r="Z1308" t="s">
        <v>6949</v>
      </c>
      <c r="AA1308" t="s">
        <v>6950</v>
      </c>
      <c r="AB1308" t="s">
        <v>6951</v>
      </c>
      <c r="AC1308" t="s">
        <v>6952</v>
      </c>
      <c r="AD1308" t="s">
        <v>6953</v>
      </c>
    </row>
    <row r="1309" spans="1:30">
      <c r="A1309" t="s">
        <v>4604</v>
      </c>
      <c r="B1309" t="s">
        <v>5049</v>
      </c>
      <c r="C1309" t="s">
        <v>1008</v>
      </c>
      <c r="D1309">
        <v>0</v>
      </c>
      <c r="E1309">
        <v>0</v>
      </c>
      <c r="J1309">
        <v>0</v>
      </c>
      <c r="M1309" t="e">
        <v>#N/A</v>
      </c>
      <c r="N1309" t="e">
        <v>#N/A</v>
      </c>
      <c r="O1309" t="e">
        <v>#N/A</v>
      </c>
      <c r="P1309" t="e">
        <v>#N/A</v>
      </c>
      <c r="R1309" t="e">
        <v>#N/A</v>
      </c>
      <c r="T1309">
        <v>0</v>
      </c>
      <c r="U1309">
        <v>0</v>
      </c>
      <c r="V1309" t="s">
        <v>5983</v>
      </c>
      <c r="Y1309" t="s">
        <v>6948</v>
      </c>
      <c r="Z1309" t="s">
        <v>6949</v>
      </c>
      <c r="AA1309" t="s">
        <v>6950</v>
      </c>
      <c r="AB1309" t="s">
        <v>6951</v>
      </c>
      <c r="AC1309" t="s">
        <v>6952</v>
      </c>
      <c r="AD1309" t="s">
        <v>6953</v>
      </c>
    </row>
    <row r="1310" spans="1:30">
      <c r="A1310" t="s">
        <v>4604</v>
      </c>
      <c r="B1310" t="s">
        <v>5050</v>
      </c>
      <c r="C1310" t="s">
        <v>1083</v>
      </c>
      <c r="D1310">
        <v>0</v>
      </c>
      <c r="E1310">
        <v>0</v>
      </c>
      <c r="J1310">
        <v>0</v>
      </c>
      <c r="M1310" t="e">
        <v>#N/A</v>
      </c>
      <c r="N1310" t="e">
        <v>#N/A</v>
      </c>
      <c r="O1310" t="e">
        <v>#N/A</v>
      </c>
      <c r="P1310" t="e">
        <v>#N/A</v>
      </c>
      <c r="R1310" t="e">
        <v>#N/A</v>
      </c>
      <c r="T1310">
        <v>0</v>
      </c>
      <c r="U1310">
        <v>0</v>
      </c>
      <c r="V1310" t="s">
        <v>5983</v>
      </c>
      <c r="Y1310" t="s">
        <v>6948</v>
      </c>
      <c r="Z1310" t="s">
        <v>6949</v>
      </c>
      <c r="AA1310" t="s">
        <v>6950</v>
      </c>
      <c r="AB1310" t="s">
        <v>6951</v>
      </c>
      <c r="AC1310" t="s">
        <v>6952</v>
      </c>
      <c r="AD1310" t="s">
        <v>6953</v>
      </c>
    </row>
    <row r="1311" spans="1:30">
      <c r="A1311" t="s">
        <v>4604</v>
      </c>
      <c r="B1311" t="s">
        <v>5051</v>
      </c>
      <c r="C1311" t="s">
        <v>1081</v>
      </c>
      <c r="D1311">
        <v>0</v>
      </c>
      <c r="E1311">
        <v>0</v>
      </c>
      <c r="J1311">
        <v>0</v>
      </c>
      <c r="M1311" t="e">
        <v>#N/A</v>
      </c>
      <c r="N1311" t="e">
        <v>#N/A</v>
      </c>
      <c r="O1311" t="e">
        <v>#N/A</v>
      </c>
      <c r="P1311" t="e">
        <v>#N/A</v>
      </c>
      <c r="R1311" t="e">
        <v>#N/A</v>
      </c>
      <c r="T1311">
        <v>0</v>
      </c>
      <c r="U1311">
        <v>0</v>
      </c>
      <c r="V1311" t="s">
        <v>5983</v>
      </c>
      <c r="Y1311" t="s">
        <v>6948</v>
      </c>
      <c r="Z1311" t="s">
        <v>6949</v>
      </c>
      <c r="AA1311" t="s">
        <v>6950</v>
      </c>
      <c r="AB1311" t="s">
        <v>6951</v>
      </c>
      <c r="AC1311" t="s">
        <v>6952</v>
      </c>
      <c r="AD1311" t="s">
        <v>6953</v>
      </c>
    </row>
    <row r="1312" spans="1:30">
      <c r="A1312" t="s">
        <v>4604</v>
      </c>
      <c r="B1312" t="s">
        <v>5052</v>
      </c>
      <c r="C1312" t="s">
        <v>1009</v>
      </c>
      <c r="D1312">
        <v>0</v>
      </c>
      <c r="E1312">
        <v>0</v>
      </c>
      <c r="J1312">
        <v>0</v>
      </c>
      <c r="M1312" t="e">
        <v>#N/A</v>
      </c>
      <c r="N1312" t="e">
        <v>#N/A</v>
      </c>
      <c r="O1312" t="e">
        <v>#N/A</v>
      </c>
      <c r="P1312" t="e">
        <v>#N/A</v>
      </c>
      <c r="R1312" t="e">
        <v>#N/A</v>
      </c>
      <c r="T1312">
        <v>0</v>
      </c>
      <c r="U1312">
        <v>0</v>
      </c>
      <c r="V1312" t="s">
        <v>5983</v>
      </c>
      <c r="Y1312" t="s">
        <v>6948</v>
      </c>
      <c r="Z1312" t="s">
        <v>6949</v>
      </c>
      <c r="AA1312" t="s">
        <v>6950</v>
      </c>
      <c r="AB1312" t="s">
        <v>6951</v>
      </c>
      <c r="AC1312" t="s">
        <v>6952</v>
      </c>
      <c r="AD1312" t="s">
        <v>6953</v>
      </c>
    </row>
    <row r="1313" spans="1:30">
      <c r="A1313" t="s">
        <v>4604</v>
      </c>
      <c r="B1313" t="s">
        <v>5053</v>
      </c>
      <c r="C1313" t="s">
        <v>1196</v>
      </c>
      <c r="D1313">
        <v>0</v>
      </c>
      <c r="E1313">
        <v>0</v>
      </c>
      <c r="J1313">
        <v>0</v>
      </c>
      <c r="M1313" t="e">
        <v>#N/A</v>
      </c>
      <c r="N1313" t="e">
        <v>#N/A</v>
      </c>
      <c r="O1313" t="e">
        <v>#N/A</v>
      </c>
      <c r="P1313" t="e">
        <v>#N/A</v>
      </c>
      <c r="R1313" t="e">
        <v>#N/A</v>
      </c>
      <c r="T1313">
        <v>0</v>
      </c>
      <c r="U1313">
        <v>0</v>
      </c>
      <c r="V1313" t="s">
        <v>5983</v>
      </c>
      <c r="Y1313" t="s">
        <v>6948</v>
      </c>
      <c r="Z1313" t="s">
        <v>6949</v>
      </c>
      <c r="AA1313" t="s">
        <v>6950</v>
      </c>
      <c r="AB1313" t="s">
        <v>6951</v>
      </c>
      <c r="AC1313" t="s">
        <v>6952</v>
      </c>
      <c r="AD1313" t="s">
        <v>6953</v>
      </c>
    </row>
    <row r="1314" spans="1:30">
      <c r="A1314" t="s">
        <v>4604</v>
      </c>
      <c r="B1314" t="s">
        <v>5054</v>
      </c>
      <c r="C1314" t="s">
        <v>1010</v>
      </c>
      <c r="D1314">
        <v>0</v>
      </c>
      <c r="E1314">
        <v>0</v>
      </c>
      <c r="J1314">
        <v>0</v>
      </c>
      <c r="M1314" t="e">
        <v>#N/A</v>
      </c>
      <c r="N1314" t="e">
        <v>#N/A</v>
      </c>
      <c r="O1314" t="e">
        <v>#N/A</v>
      </c>
      <c r="P1314" t="e">
        <v>#N/A</v>
      </c>
      <c r="R1314" t="e">
        <v>#N/A</v>
      </c>
      <c r="T1314">
        <v>0</v>
      </c>
      <c r="U1314">
        <v>0</v>
      </c>
      <c r="V1314" t="s">
        <v>5983</v>
      </c>
      <c r="Y1314" t="s">
        <v>6948</v>
      </c>
      <c r="Z1314" t="s">
        <v>6949</v>
      </c>
      <c r="AA1314" t="s">
        <v>6950</v>
      </c>
      <c r="AB1314" t="s">
        <v>6951</v>
      </c>
      <c r="AC1314" t="s">
        <v>6952</v>
      </c>
      <c r="AD1314" t="s">
        <v>6953</v>
      </c>
    </row>
    <row r="1315" spans="1:30">
      <c r="A1315" t="s">
        <v>4604</v>
      </c>
      <c r="B1315" t="s">
        <v>5055</v>
      </c>
      <c r="C1315" t="s">
        <v>1224</v>
      </c>
      <c r="D1315">
        <v>0</v>
      </c>
      <c r="E1315">
        <v>0</v>
      </c>
      <c r="J1315">
        <v>0</v>
      </c>
      <c r="M1315" t="e">
        <v>#N/A</v>
      </c>
      <c r="N1315" t="e">
        <v>#N/A</v>
      </c>
      <c r="O1315" t="e">
        <v>#N/A</v>
      </c>
      <c r="P1315" t="e">
        <v>#N/A</v>
      </c>
      <c r="R1315" t="e">
        <v>#N/A</v>
      </c>
      <c r="T1315">
        <v>0</v>
      </c>
      <c r="U1315">
        <v>0</v>
      </c>
      <c r="V1315" t="s">
        <v>5983</v>
      </c>
      <c r="Y1315" t="s">
        <v>6948</v>
      </c>
      <c r="Z1315" t="s">
        <v>6949</v>
      </c>
      <c r="AA1315" t="s">
        <v>6950</v>
      </c>
      <c r="AB1315" t="s">
        <v>6951</v>
      </c>
      <c r="AC1315" t="s">
        <v>6952</v>
      </c>
      <c r="AD1315" t="s">
        <v>6953</v>
      </c>
    </row>
    <row r="1316" spans="1:30">
      <c r="A1316" t="s">
        <v>4604</v>
      </c>
      <c r="B1316" t="s">
        <v>5056</v>
      </c>
      <c r="C1316" t="s">
        <v>1135</v>
      </c>
      <c r="D1316" t="s">
        <v>6102</v>
      </c>
      <c r="E1316" t="s">
        <v>6103</v>
      </c>
      <c r="J1316" t="s">
        <v>6798</v>
      </c>
      <c r="M1316" t="e">
        <v>#N/A</v>
      </c>
      <c r="N1316" t="e">
        <v>#N/A</v>
      </c>
      <c r="O1316" t="e">
        <v>#N/A</v>
      </c>
      <c r="P1316" t="e">
        <v>#N/A</v>
      </c>
      <c r="R1316" t="e">
        <v>#N/A</v>
      </c>
      <c r="T1316" t="s">
        <v>5983</v>
      </c>
      <c r="U1316" t="s">
        <v>5983</v>
      </c>
      <c r="V1316" t="s">
        <v>5983</v>
      </c>
      <c r="Y1316" t="s">
        <v>6948</v>
      </c>
      <c r="Z1316" t="s">
        <v>6949</v>
      </c>
      <c r="AA1316" t="s">
        <v>6950</v>
      </c>
      <c r="AB1316" t="s">
        <v>6951</v>
      </c>
      <c r="AC1316" t="s">
        <v>6952</v>
      </c>
      <c r="AD1316" t="s">
        <v>6953</v>
      </c>
    </row>
    <row r="1317" spans="1:30">
      <c r="A1317" t="s">
        <v>4604</v>
      </c>
      <c r="B1317" t="s">
        <v>5057</v>
      </c>
      <c r="C1317" t="s">
        <v>1136</v>
      </c>
      <c r="D1317" t="s">
        <v>6102</v>
      </c>
      <c r="E1317" t="s">
        <v>6103</v>
      </c>
      <c r="J1317" t="s">
        <v>6799</v>
      </c>
      <c r="M1317" t="e">
        <v>#N/A</v>
      </c>
      <c r="N1317" t="e">
        <v>#N/A</v>
      </c>
      <c r="O1317" t="e">
        <v>#N/A</v>
      </c>
      <c r="P1317" t="e">
        <v>#N/A</v>
      </c>
      <c r="R1317" t="e">
        <v>#N/A</v>
      </c>
      <c r="T1317" t="s">
        <v>5983</v>
      </c>
      <c r="U1317" t="s">
        <v>5983</v>
      </c>
      <c r="V1317" t="s">
        <v>5983</v>
      </c>
      <c r="Y1317" t="s">
        <v>6948</v>
      </c>
      <c r="Z1317" t="s">
        <v>6949</v>
      </c>
      <c r="AA1317" t="s">
        <v>6950</v>
      </c>
      <c r="AB1317" t="s">
        <v>6951</v>
      </c>
      <c r="AC1317" t="s">
        <v>6952</v>
      </c>
      <c r="AD1317" t="s">
        <v>6953</v>
      </c>
    </row>
    <row r="1318" spans="1:30">
      <c r="A1318" t="s">
        <v>4604</v>
      </c>
      <c r="B1318" t="s">
        <v>5058</v>
      </c>
      <c r="C1318" t="s">
        <v>5839</v>
      </c>
      <c r="D1318" t="s">
        <v>6104</v>
      </c>
      <c r="E1318" t="s">
        <v>6105</v>
      </c>
      <c r="J1318" t="s">
        <v>6800</v>
      </c>
      <c r="M1318" t="e">
        <v>#N/A</v>
      </c>
      <c r="N1318" t="e">
        <v>#N/A</v>
      </c>
      <c r="O1318" t="e">
        <v>#N/A</v>
      </c>
      <c r="P1318" t="e">
        <v>#N/A</v>
      </c>
      <c r="R1318" t="e">
        <v>#N/A</v>
      </c>
      <c r="T1318" t="s">
        <v>5983</v>
      </c>
      <c r="U1318" t="s">
        <v>5983</v>
      </c>
      <c r="V1318" t="s">
        <v>5983</v>
      </c>
      <c r="Y1318" t="s">
        <v>6948</v>
      </c>
      <c r="Z1318" t="s">
        <v>6949</v>
      </c>
      <c r="AA1318" t="s">
        <v>6950</v>
      </c>
      <c r="AB1318" t="s">
        <v>6951</v>
      </c>
      <c r="AC1318" t="s">
        <v>6952</v>
      </c>
      <c r="AD1318" t="s">
        <v>6953</v>
      </c>
    </row>
    <row r="1319" spans="1:30">
      <c r="A1319" t="s">
        <v>4604</v>
      </c>
      <c r="B1319" t="s">
        <v>5059</v>
      </c>
      <c r="C1319" t="s">
        <v>5839</v>
      </c>
      <c r="D1319">
        <v>0</v>
      </c>
      <c r="E1319">
        <v>0</v>
      </c>
      <c r="J1319">
        <v>0</v>
      </c>
      <c r="M1319" t="e">
        <v>#N/A</v>
      </c>
      <c r="N1319" t="e">
        <v>#N/A</v>
      </c>
      <c r="O1319" t="e">
        <v>#N/A</v>
      </c>
      <c r="P1319" t="e">
        <v>#N/A</v>
      </c>
      <c r="R1319" t="e">
        <v>#N/A</v>
      </c>
      <c r="T1319">
        <v>0</v>
      </c>
      <c r="U1319">
        <v>0</v>
      </c>
      <c r="V1319" t="s">
        <v>5983</v>
      </c>
      <c r="Y1319" t="s">
        <v>6948</v>
      </c>
      <c r="Z1319" t="s">
        <v>6949</v>
      </c>
      <c r="AA1319" t="s">
        <v>6950</v>
      </c>
      <c r="AB1319" t="s">
        <v>6951</v>
      </c>
      <c r="AC1319" t="s">
        <v>6952</v>
      </c>
      <c r="AD1319" t="s">
        <v>6953</v>
      </c>
    </row>
    <row r="1320" spans="1:30">
      <c r="A1320" t="s">
        <v>4604</v>
      </c>
      <c r="B1320" t="s">
        <v>5060</v>
      </c>
      <c r="C1320" t="s">
        <v>5840</v>
      </c>
      <c r="D1320" t="s">
        <v>6104</v>
      </c>
      <c r="E1320" t="s">
        <v>6105</v>
      </c>
      <c r="J1320" t="s">
        <v>6801</v>
      </c>
      <c r="M1320" t="e">
        <v>#N/A</v>
      </c>
      <c r="N1320" t="e">
        <v>#N/A</v>
      </c>
      <c r="O1320" t="e">
        <v>#N/A</v>
      </c>
      <c r="P1320" t="e">
        <v>#N/A</v>
      </c>
      <c r="R1320" t="e">
        <v>#N/A</v>
      </c>
      <c r="T1320" t="s">
        <v>5983</v>
      </c>
      <c r="U1320" t="s">
        <v>5983</v>
      </c>
      <c r="V1320" t="s">
        <v>5983</v>
      </c>
      <c r="Y1320" t="s">
        <v>6948</v>
      </c>
      <c r="Z1320" t="s">
        <v>6949</v>
      </c>
      <c r="AA1320" t="s">
        <v>6950</v>
      </c>
      <c r="AB1320" t="s">
        <v>6951</v>
      </c>
      <c r="AC1320" t="s">
        <v>6952</v>
      </c>
      <c r="AD1320" t="s">
        <v>6953</v>
      </c>
    </row>
    <row r="1321" spans="1:30">
      <c r="A1321" t="s">
        <v>4604</v>
      </c>
      <c r="B1321" t="s">
        <v>5061</v>
      </c>
      <c r="C1321" t="s">
        <v>5840</v>
      </c>
      <c r="D1321">
        <v>0</v>
      </c>
      <c r="E1321">
        <v>0</v>
      </c>
      <c r="J1321">
        <v>0</v>
      </c>
      <c r="M1321" t="e">
        <v>#N/A</v>
      </c>
      <c r="N1321" t="e">
        <v>#N/A</v>
      </c>
      <c r="O1321" t="e">
        <v>#N/A</v>
      </c>
      <c r="P1321" t="e">
        <v>#N/A</v>
      </c>
      <c r="R1321" t="e">
        <v>#N/A</v>
      </c>
      <c r="T1321">
        <v>0</v>
      </c>
      <c r="U1321">
        <v>0</v>
      </c>
      <c r="V1321" t="s">
        <v>5983</v>
      </c>
      <c r="Y1321" t="s">
        <v>6948</v>
      </c>
      <c r="Z1321" t="s">
        <v>6949</v>
      </c>
      <c r="AA1321" t="s">
        <v>6950</v>
      </c>
      <c r="AB1321" t="s">
        <v>6951</v>
      </c>
      <c r="AC1321" t="s">
        <v>6952</v>
      </c>
      <c r="AD1321" t="s">
        <v>6953</v>
      </c>
    </row>
    <row r="1322" spans="1:30">
      <c r="A1322" t="s">
        <v>4604</v>
      </c>
      <c r="B1322" t="s">
        <v>5062</v>
      </c>
      <c r="C1322" t="s">
        <v>963</v>
      </c>
      <c r="D1322" t="s">
        <v>6104</v>
      </c>
      <c r="E1322" t="s">
        <v>6105</v>
      </c>
      <c r="J1322" t="s">
        <v>6802</v>
      </c>
      <c r="M1322" t="e">
        <v>#N/A</v>
      </c>
      <c r="N1322" t="e">
        <v>#N/A</v>
      </c>
      <c r="O1322" t="e">
        <v>#N/A</v>
      </c>
      <c r="P1322" t="e">
        <v>#N/A</v>
      </c>
      <c r="R1322" t="e">
        <v>#N/A</v>
      </c>
      <c r="T1322" t="s">
        <v>5983</v>
      </c>
      <c r="U1322" t="s">
        <v>5983</v>
      </c>
      <c r="V1322" t="s">
        <v>5983</v>
      </c>
      <c r="Y1322" t="s">
        <v>6948</v>
      </c>
      <c r="Z1322" t="s">
        <v>6949</v>
      </c>
      <c r="AA1322" t="s">
        <v>6950</v>
      </c>
      <c r="AB1322" t="s">
        <v>6951</v>
      </c>
      <c r="AC1322" t="s">
        <v>6952</v>
      </c>
      <c r="AD1322" t="s">
        <v>6953</v>
      </c>
    </row>
    <row r="1323" spans="1:30">
      <c r="A1323" t="s">
        <v>4604</v>
      </c>
      <c r="B1323" t="s">
        <v>5063</v>
      </c>
      <c r="C1323" t="s">
        <v>963</v>
      </c>
      <c r="D1323">
        <v>0</v>
      </c>
      <c r="E1323">
        <v>0</v>
      </c>
      <c r="J1323">
        <v>0</v>
      </c>
      <c r="M1323" t="e">
        <v>#N/A</v>
      </c>
      <c r="N1323" t="e">
        <v>#N/A</v>
      </c>
      <c r="O1323" t="e">
        <v>#N/A</v>
      </c>
      <c r="P1323" t="e">
        <v>#N/A</v>
      </c>
      <c r="R1323" t="e">
        <v>#N/A</v>
      </c>
      <c r="T1323">
        <v>0</v>
      </c>
      <c r="U1323">
        <v>0</v>
      </c>
      <c r="V1323" t="s">
        <v>5983</v>
      </c>
      <c r="Y1323" t="s">
        <v>6948</v>
      </c>
      <c r="Z1323" t="s">
        <v>6949</v>
      </c>
      <c r="AA1323" t="s">
        <v>6950</v>
      </c>
      <c r="AB1323" t="s">
        <v>6951</v>
      </c>
      <c r="AC1323" t="s">
        <v>6952</v>
      </c>
      <c r="AD1323" t="s">
        <v>6953</v>
      </c>
    </row>
    <row r="1324" spans="1:30">
      <c r="A1324">
        <v>11000228</v>
      </c>
      <c r="B1324" t="s">
        <v>5064</v>
      </c>
      <c r="C1324" t="s">
        <v>964</v>
      </c>
      <c r="D1324" t="s">
        <v>6106</v>
      </c>
      <c r="E1324" t="s">
        <v>6107</v>
      </c>
      <c r="J1324" t="s">
        <v>2443</v>
      </c>
      <c r="M1324" t="e">
        <v>#N/A</v>
      </c>
      <c r="N1324" t="e">
        <v>#N/A</v>
      </c>
      <c r="O1324" t="e">
        <v>#N/A</v>
      </c>
      <c r="P1324" t="e">
        <v>#N/A</v>
      </c>
      <c r="R1324" t="e">
        <v>#N/A</v>
      </c>
      <c r="T1324" t="s">
        <v>5985</v>
      </c>
      <c r="U1324" t="s">
        <v>5985</v>
      </c>
      <c r="V1324" t="s">
        <v>5985</v>
      </c>
      <c r="Y1324" t="s">
        <v>6948</v>
      </c>
      <c r="Z1324" t="s">
        <v>6949</v>
      </c>
      <c r="AA1324" t="s">
        <v>6950</v>
      </c>
      <c r="AB1324" t="s">
        <v>6951</v>
      </c>
      <c r="AC1324" t="s">
        <v>6952</v>
      </c>
      <c r="AD1324" t="s">
        <v>6953</v>
      </c>
    </row>
    <row r="1325" spans="1:30">
      <c r="A1325" t="s">
        <v>4604</v>
      </c>
      <c r="B1325" t="s">
        <v>5065</v>
      </c>
      <c r="C1325" t="s">
        <v>964</v>
      </c>
      <c r="D1325" t="s">
        <v>6104</v>
      </c>
      <c r="E1325" t="s">
        <v>6105</v>
      </c>
      <c r="J1325" t="s">
        <v>6803</v>
      </c>
      <c r="M1325" t="e">
        <v>#N/A</v>
      </c>
      <c r="N1325" t="e">
        <v>#N/A</v>
      </c>
      <c r="O1325" t="e">
        <v>#N/A</v>
      </c>
      <c r="P1325" t="e">
        <v>#N/A</v>
      </c>
      <c r="R1325" t="e">
        <v>#N/A</v>
      </c>
      <c r="T1325" t="s">
        <v>5983</v>
      </c>
      <c r="U1325" t="s">
        <v>5983</v>
      </c>
      <c r="V1325" t="s">
        <v>5983</v>
      </c>
      <c r="Y1325" t="s">
        <v>6948</v>
      </c>
      <c r="Z1325" t="s">
        <v>6949</v>
      </c>
      <c r="AA1325" t="s">
        <v>6950</v>
      </c>
      <c r="AB1325" t="s">
        <v>6951</v>
      </c>
      <c r="AC1325" t="s">
        <v>6952</v>
      </c>
      <c r="AD1325" t="s">
        <v>6953</v>
      </c>
    </row>
    <row r="1326" spans="1:30">
      <c r="A1326" t="s">
        <v>4604</v>
      </c>
      <c r="B1326" t="s">
        <v>5066</v>
      </c>
      <c r="C1326" t="s">
        <v>964</v>
      </c>
      <c r="D1326">
        <v>0</v>
      </c>
      <c r="E1326">
        <v>0</v>
      </c>
      <c r="J1326">
        <v>0</v>
      </c>
      <c r="M1326" t="e">
        <v>#N/A</v>
      </c>
      <c r="N1326" t="e">
        <v>#N/A</v>
      </c>
      <c r="O1326" t="e">
        <v>#N/A</v>
      </c>
      <c r="P1326" t="e">
        <v>#N/A</v>
      </c>
      <c r="R1326" t="e">
        <v>#N/A</v>
      </c>
      <c r="T1326">
        <v>0</v>
      </c>
      <c r="U1326">
        <v>0</v>
      </c>
      <c r="V1326" t="s">
        <v>5983</v>
      </c>
      <c r="Y1326" t="s">
        <v>6948</v>
      </c>
      <c r="Z1326" t="s">
        <v>6949</v>
      </c>
      <c r="AA1326" t="s">
        <v>6950</v>
      </c>
      <c r="AB1326" t="s">
        <v>6951</v>
      </c>
      <c r="AC1326" t="s">
        <v>6952</v>
      </c>
      <c r="AD1326" t="s">
        <v>6953</v>
      </c>
    </row>
    <row r="1327" spans="1:30">
      <c r="A1327">
        <v>11005200</v>
      </c>
      <c r="B1327" t="s">
        <v>5067</v>
      </c>
      <c r="C1327" t="s">
        <v>965</v>
      </c>
      <c r="D1327" t="s">
        <v>6108</v>
      </c>
      <c r="E1327" t="s">
        <v>6109</v>
      </c>
      <c r="J1327" t="s">
        <v>6804</v>
      </c>
      <c r="M1327" t="e">
        <v>#N/A</v>
      </c>
      <c r="N1327" t="e">
        <v>#N/A</v>
      </c>
      <c r="O1327" t="e">
        <v>#N/A</v>
      </c>
      <c r="P1327" t="e">
        <v>#N/A</v>
      </c>
      <c r="R1327" t="e">
        <v>#N/A</v>
      </c>
      <c r="T1327" t="s">
        <v>5985</v>
      </c>
      <c r="U1327" t="s">
        <v>5985</v>
      </c>
      <c r="V1327" t="s">
        <v>5983</v>
      </c>
      <c r="Y1327" t="s">
        <v>6948</v>
      </c>
      <c r="Z1327" t="s">
        <v>6949</v>
      </c>
      <c r="AA1327" t="s">
        <v>6950</v>
      </c>
      <c r="AB1327" t="s">
        <v>6951</v>
      </c>
      <c r="AC1327" t="s">
        <v>6952</v>
      </c>
      <c r="AD1327" t="s">
        <v>6953</v>
      </c>
    </row>
    <row r="1328" spans="1:30">
      <c r="A1328">
        <v>11005182</v>
      </c>
      <c r="B1328" t="s">
        <v>5068</v>
      </c>
      <c r="C1328" t="s">
        <v>5667</v>
      </c>
      <c r="D1328" t="s">
        <v>6055</v>
      </c>
      <c r="E1328" t="s">
        <v>6056</v>
      </c>
      <c r="J1328" t="s">
        <v>6581</v>
      </c>
      <c r="M1328" t="e">
        <v>#N/A</v>
      </c>
      <c r="N1328" t="e">
        <v>#N/A</v>
      </c>
      <c r="O1328" t="e">
        <v>#N/A</v>
      </c>
      <c r="P1328" t="e">
        <v>#N/A</v>
      </c>
      <c r="R1328" t="e">
        <v>#N/A</v>
      </c>
      <c r="T1328" t="s">
        <v>5983</v>
      </c>
      <c r="U1328" t="s">
        <v>5983</v>
      </c>
      <c r="V1328" t="s">
        <v>5983</v>
      </c>
      <c r="Y1328" t="s">
        <v>6948</v>
      </c>
      <c r="Z1328" t="s">
        <v>6949</v>
      </c>
      <c r="AA1328" t="s">
        <v>6950</v>
      </c>
      <c r="AB1328" t="s">
        <v>6951</v>
      </c>
      <c r="AC1328" t="s">
        <v>6952</v>
      </c>
      <c r="AD1328" t="s">
        <v>6953</v>
      </c>
    </row>
    <row r="1329" spans="1:30">
      <c r="A1329">
        <v>11005180</v>
      </c>
      <c r="B1329" t="s">
        <v>5069</v>
      </c>
      <c r="C1329" t="s">
        <v>5668</v>
      </c>
      <c r="D1329" t="s">
        <v>6055</v>
      </c>
      <c r="E1329" t="s">
        <v>6056</v>
      </c>
      <c r="J1329" t="s">
        <v>6582</v>
      </c>
      <c r="M1329" t="e">
        <v>#N/A</v>
      </c>
      <c r="N1329" t="e">
        <v>#N/A</v>
      </c>
      <c r="O1329" t="e">
        <v>#N/A</v>
      </c>
      <c r="P1329" t="e">
        <v>#N/A</v>
      </c>
      <c r="R1329" t="e">
        <v>#N/A</v>
      </c>
      <c r="T1329" t="s">
        <v>5983</v>
      </c>
      <c r="U1329" t="s">
        <v>5983</v>
      </c>
      <c r="V1329" t="s">
        <v>5983</v>
      </c>
      <c r="Y1329" t="s">
        <v>6948</v>
      </c>
      <c r="Z1329" t="s">
        <v>6949</v>
      </c>
      <c r="AA1329" t="s">
        <v>6950</v>
      </c>
      <c r="AB1329" t="s">
        <v>6951</v>
      </c>
      <c r="AC1329" t="s">
        <v>6952</v>
      </c>
      <c r="AD1329" t="s">
        <v>6953</v>
      </c>
    </row>
    <row r="1330" spans="1:30">
      <c r="A1330">
        <v>11005179</v>
      </c>
      <c r="B1330" t="s">
        <v>5070</v>
      </c>
      <c r="C1330" t="s">
        <v>5793</v>
      </c>
      <c r="D1330" t="s">
        <v>6087</v>
      </c>
      <c r="E1330" t="s">
        <v>6088</v>
      </c>
      <c r="J1330" t="s">
        <v>6703</v>
      </c>
      <c r="M1330" t="e">
        <v>#N/A</v>
      </c>
      <c r="N1330" t="e">
        <v>#N/A</v>
      </c>
      <c r="O1330" t="e">
        <v>#N/A</v>
      </c>
      <c r="P1330" t="e">
        <v>#N/A</v>
      </c>
      <c r="R1330" t="e">
        <v>#N/A</v>
      </c>
      <c r="T1330" t="s">
        <v>5983</v>
      </c>
      <c r="U1330" t="s">
        <v>5983</v>
      </c>
      <c r="V1330" t="s">
        <v>5983</v>
      </c>
      <c r="Y1330" t="s">
        <v>6948</v>
      </c>
      <c r="Z1330" t="s">
        <v>6949</v>
      </c>
      <c r="AA1330" t="s">
        <v>6950</v>
      </c>
      <c r="AB1330" t="s">
        <v>6951</v>
      </c>
      <c r="AC1330" t="s">
        <v>6952</v>
      </c>
      <c r="AD1330" t="s">
        <v>6953</v>
      </c>
    </row>
    <row r="1331" spans="1:30">
      <c r="A1331">
        <v>11005178</v>
      </c>
      <c r="B1331" t="s">
        <v>5071</v>
      </c>
      <c r="C1331" t="s">
        <v>5794</v>
      </c>
      <c r="D1331" t="s">
        <v>6087</v>
      </c>
      <c r="E1331" t="s">
        <v>6088</v>
      </c>
      <c r="J1331" t="s">
        <v>6704</v>
      </c>
      <c r="M1331" t="e">
        <v>#N/A</v>
      </c>
      <c r="N1331" t="e">
        <v>#N/A</v>
      </c>
      <c r="O1331" t="e">
        <v>#N/A</v>
      </c>
      <c r="P1331" t="e">
        <v>#N/A</v>
      </c>
      <c r="R1331" t="e">
        <v>#N/A</v>
      </c>
      <c r="T1331" t="s">
        <v>5983</v>
      </c>
      <c r="U1331" t="s">
        <v>5983</v>
      </c>
      <c r="V1331" t="s">
        <v>5983</v>
      </c>
      <c r="Y1331" t="s">
        <v>6948</v>
      </c>
      <c r="Z1331" t="s">
        <v>6949</v>
      </c>
      <c r="AA1331" t="s">
        <v>6950</v>
      </c>
      <c r="AB1331" t="s">
        <v>6951</v>
      </c>
      <c r="AC1331" t="s">
        <v>6952</v>
      </c>
      <c r="AD1331" t="s">
        <v>6953</v>
      </c>
    </row>
    <row r="1332" spans="1:30">
      <c r="A1332">
        <v>11005137</v>
      </c>
      <c r="B1332" t="s">
        <v>5072</v>
      </c>
      <c r="C1332" t="s">
        <v>1197</v>
      </c>
      <c r="D1332" t="s">
        <v>6110</v>
      </c>
      <c r="E1332" t="s">
        <v>6111</v>
      </c>
      <c r="J1332" t="s">
        <v>3726</v>
      </c>
      <c r="M1332" t="e">
        <v>#N/A</v>
      </c>
      <c r="N1332" t="e">
        <v>#N/A</v>
      </c>
      <c r="O1332" t="e">
        <v>#N/A</v>
      </c>
      <c r="P1332" t="e">
        <v>#N/A</v>
      </c>
      <c r="R1332" t="e">
        <v>#N/A</v>
      </c>
      <c r="T1332" t="s">
        <v>5985</v>
      </c>
      <c r="U1332" t="s">
        <v>5985</v>
      </c>
      <c r="V1332" t="s">
        <v>5983</v>
      </c>
      <c r="Y1332" t="s">
        <v>6948</v>
      </c>
      <c r="Z1332" t="s">
        <v>6949</v>
      </c>
      <c r="AA1332" t="s">
        <v>6950</v>
      </c>
      <c r="AB1332" t="s">
        <v>6951</v>
      </c>
      <c r="AC1332" t="s">
        <v>6952</v>
      </c>
      <c r="AD1332" t="s">
        <v>6953</v>
      </c>
    </row>
    <row r="1333" spans="1:30">
      <c r="A1333" t="s">
        <v>4604</v>
      </c>
      <c r="B1333" t="s">
        <v>5073</v>
      </c>
      <c r="C1333" t="s">
        <v>5841</v>
      </c>
      <c r="D1333" t="s">
        <v>6110</v>
      </c>
      <c r="E1333" t="s">
        <v>6111</v>
      </c>
      <c r="J1333" t="s">
        <v>6805</v>
      </c>
      <c r="M1333" t="e">
        <v>#N/A</v>
      </c>
      <c r="N1333" t="e">
        <v>#N/A</v>
      </c>
      <c r="O1333" t="e">
        <v>#N/A</v>
      </c>
      <c r="P1333" t="e">
        <v>#N/A</v>
      </c>
      <c r="R1333" t="e">
        <v>#N/A</v>
      </c>
      <c r="T1333" t="s">
        <v>5985</v>
      </c>
      <c r="U1333" t="s">
        <v>5985</v>
      </c>
      <c r="V1333" t="s">
        <v>5983</v>
      </c>
      <c r="Y1333" t="s">
        <v>6948</v>
      </c>
      <c r="Z1333" t="s">
        <v>6949</v>
      </c>
      <c r="AA1333" t="s">
        <v>6950</v>
      </c>
      <c r="AB1333" t="s">
        <v>6951</v>
      </c>
      <c r="AC1333" t="s">
        <v>6952</v>
      </c>
      <c r="AD1333" t="s">
        <v>6953</v>
      </c>
    </row>
    <row r="1334" spans="1:30">
      <c r="A1334" t="s">
        <v>4604</v>
      </c>
      <c r="B1334" t="s">
        <v>5074</v>
      </c>
      <c r="C1334" t="s">
        <v>5842</v>
      </c>
      <c r="D1334" t="s">
        <v>6110</v>
      </c>
      <c r="E1334" t="s">
        <v>6111</v>
      </c>
      <c r="J1334" t="s">
        <v>6806</v>
      </c>
      <c r="M1334" t="e">
        <v>#N/A</v>
      </c>
      <c r="N1334" t="e">
        <v>#N/A</v>
      </c>
      <c r="O1334" t="e">
        <v>#N/A</v>
      </c>
      <c r="P1334" t="e">
        <v>#N/A</v>
      </c>
      <c r="R1334" t="e">
        <v>#N/A</v>
      </c>
      <c r="T1334" t="s">
        <v>5985</v>
      </c>
      <c r="U1334" t="s">
        <v>5985</v>
      </c>
      <c r="V1334" t="s">
        <v>5983</v>
      </c>
      <c r="Y1334" t="s">
        <v>6948</v>
      </c>
      <c r="Z1334" t="s">
        <v>6949</v>
      </c>
      <c r="AA1334" t="s">
        <v>6950</v>
      </c>
      <c r="AB1334" t="s">
        <v>6951</v>
      </c>
      <c r="AC1334" t="s">
        <v>6952</v>
      </c>
      <c r="AD1334" t="s">
        <v>6953</v>
      </c>
    </row>
    <row r="1335" spans="1:30">
      <c r="A1335" t="s">
        <v>4604</v>
      </c>
      <c r="B1335" t="s">
        <v>5075</v>
      </c>
      <c r="C1335" t="s">
        <v>5843</v>
      </c>
      <c r="D1335" t="s">
        <v>6112</v>
      </c>
      <c r="E1335" t="s">
        <v>6113</v>
      </c>
      <c r="J1335" t="s">
        <v>6807</v>
      </c>
      <c r="M1335" t="e">
        <v>#N/A</v>
      </c>
      <c r="N1335" t="e">
        <v>#N/A</v>
      </c>
      <c r="O1335" t="e">
        <v>#N/A</v>
      </c>
      <c r="P1335" t="e">
        <v>#N/A</v>
      </c>
      <c r="R1335" t="e">
        <v>#N/A</v>
      </c>
      <c r="T1335" t="s">
        <v>5985</v>
      </c>
      <c r="U1335" t="s">
        <v>5985</v>
      </c>
      <c r="V1335" t="s">
        <v>5983</v>
      </c>
      <c r="Y1335" t="s">
        <v>6948</v>
      </c>
      <c r="Z1335" t="s">
        <v>6949</v>
      </c>
      <c r="AA1335" t="s">
        <v>6950</v>
      </c>
      <c r="AB1335" t="s">
        <v>6951</v>
      </c>
      <c r="AC1335" t="s">
        <v>6952</v>
      </c>
      <c r="AD1335" t="s">
        <v>6953</v>
      </c>
    </row>
    <row r="1336" spans="1:30">
      <c r="A1336" t="s">
        <v>4604</v>
      </c>
      <c r="B1336" t="s">
        <v>5076</v>
      </c>
      <c r="C1336" t="s">
        <v>5844</v>
      </c>
      <c r="D1336" t="s">
        <v>6112</v>
      </c>
      <c r="E1336" t="s">
        <v>6113</v>
      </c>
      <c r="J1336" t="s">
        <v>6808</v>
      </c>
      <c r="M1336" t="e">
        <v>#N/A</v>
      </c>
      <c r="N1336" t="e">
        <v>#N/A</v>
      </c>
      <c r="O1336" t="e">
        <v>#N/A</v>
      </c>
      <c r="P1336" t="e">
        <v>#N/A</v>
      </c>
      <c r="R1336" t="e">
        <v>#N/A</v>
      </c>
      <c r="T1336" t="s">
        <v>5985</v>
      </c>
      <c r="U1336" t="s">
        <v>5985</v>
      </c>
      <c r="V1336" t="s">
        <v>5983</v>
      </c>
      <c r="Y1336" t="s">
        <v>6948</v>
      </c>
      <c r="Z1336" t="s">
        <v>6949</v>
      </c>
      <c r="AA1336" t="s">
        <v>6950</v>
      </c>
      <c r="AB1336" t="s">
        <v>6951</v>
      </c>
      <c r="AC1336" t="s">
        <v>6952</v>
      </c>
      <c r="AD1336" t="s">
        <v>6953</v>
      </c>
    </row>
    <row r="1337" spans="1:30">
      <c r="A1337">
        <v>11003659</v>
      </c>
      <c r="B1337" t="s">
        <v>5077</v>
      </c>
      <c r="C1337" t="s">
        <v>965</v>
      </c>
      <c r="D1337" t="s">
        <v>6114</v>
      </c>
      <c r="E1337" t="s">
        <v>6115</v>
      </c>
      <c r="J1337" t="s">
        <v>6809</v>
      </c>
      <c r="M1337" t="e">
        <v>#N/A</v>
      </c>
      <c r="N1337" t="e">
        <v>#N/A</v>
      </c>
      <c r="O1337" t="e">
        <v>#N/A</v>
      </c>
      <c r="P1337" t="e">
        <v>#N/A</v>
      </c>
      <c r="R1337" t="e">
        <v>#N/A</v>
      </c>
      <c r="T1337" t="s">
        <v>5985</v>
      </c>
      <c r="U1337" t="s">
        <v>5985</v>
      </c>
      <c r="V1337" t="s">
        <v>5983</v>
      </c>
      <c r="Y1337" t="s">
        <v>6948</v>
      </c>
      <c r="Z1337" t="s">
        <v>6949</v>
      </c>
      <c r="AA1337" t="s">
        <v>6950</v>
      </c>
      <c r="AB1337" t="s">
        <v>6951</v>
      </c>
      <c r="AC1337" t="s">
        <v>6952</v>
      </c>
      <c r="AD1337" t="s">
        <v>6953</v>
      </c>
    </row>
    <row r="1338" spans="1:30">
      <c r="A1338">
        <v>11003658</v>
      </c>
      <c r="B1338" t="s">
        <v>5078</v>
      </c>
      <c r="C1338" t="s">
        <v>1206</v>
      </c>
      <c r="D1338" t="s">
        <v>6114</v>
      </c>
      <c r="E1338" t="s">
        <v>6115</v>
      </c>
      <c r="J1338" t="s">
        <v>6810</v>
      </c>
      <c r="M1338" t="e">
        <v>#N/A</v>
      </c>
      <c r="N1338" t="e">
        <v>#N/A</v>
      </c>
      <c r="O1338" t="e">
        <v>#N/A</v>
      </c>
      <c r="P1338" t="e">
        <v>#N/A</v>
      </c>
      <c r="R1338" t="e">
        <v>#N/A</v>
      </c>
      <c r="T1338" t="s">
        <v>5985</v>
      </c>
      <c r="U1338" t="s">
        <v>5985</v>
      </c>
      <c r="V1338" t="s">
        <v>5983</v>
      </c>
      <c r="Y1338" t="s">
        <v>6948</v>
      </c>
      <c r="Z1338" t="s">
        <v>6949</v>
      </c>
      <c r="AA1338" t="s">
        <v>6950</v>
      </c>
      <c r="AB1338" t="s">
        <v>6951</v>
      </c>
      <c r="AC1338" t="s">
        <v>6952</v>
      </c>
      <c r="AD1338" t="s">
        <v>6953</v>
      </c>
    </row>
    <row r="1339" spans="1:30">
      <c r="A1339">
        <v>11003657</v>
      </c>
      <c r="B1339" t="s">
        <v>5079</v>
      </c>
      <c r="C1339" t="s">
        <v>977</v>
      </c>
      <c r="D1339" t="s">
        <v>6114</v>
      </c>
      <c r="E1339" t="s">
        <v>6115</v>
      </c>
      <c r="J1339" t="s">
        <v>6811</v>
      </c>
      <c r="M1339" t="e">
        <v>#N/A</v>
      </c>
      <c r="N1339" t="e">
        <v>#N/A</v>
      </c>
      <c r="O1339" t="e">
        <v>#N/A</v>
      </c>
      <c r="P1339" t="e">
        <v>#N/A</v>
      </c>
      <c r="R1339" t="e">
        <v>#N/A</v>
      </c>
      <c r="T1339" t="s">
        <v>5985</v>
      </c>
      <c r="U1339" t="s">
        <v>5985</v>
      </c>
      <c r="V1339" t="s">
        <v>5983</v>
      </c>
      <c r="Y1339" t="s">
        <v>6948</v>
      </c>
      <c r="Z1339" t="s">
        <v>6949</v>
      </c>
      <c r="AA1339" t="s">
        <v>6950</v>
      </c>
      <c r="AB1339" t="s">
        <v>6951</v>
      </c>
      <c r="AC1339" t="s">
        <v>6952</v>
      </c>
      <c r="AD1339" t="s">
        <v>6953</v>
      </c>
    </row>
    <row r="1340" spans="1:30">
      <c r="A1340">
        <v>11003656</v>
      </c>
      <c r="B1340" t="s">
        <v>5080</v>
      </c>
      <c r="C1340" t="s">
        <v>976</v>
      </c>
      <c r="D1340" t="s">
        <v>6114</v>
      </c>
      <c r="E1340" t="s">
        <v>6115</v>
      </c>
      <c r="J1340" t="s">
        <v>6812</v>
      </c>
      <c r="M1340" t="e">
        <v>#N/A</v>
      </c>
      <c r="N1340" t="e">
        <v>#N/A</v>
      </c>
      <c r="O1340" t="e">
        <v>#N/A</v>
      </c>
      <c r="P1340" t="e">
        <v>#N/A</v>
      </c>
      <c r="R1340" t="e">
        <v>#N/A</v>
      </c>
      <c r="T1340" t="s">
        <v>5985</v>
      </c>
      <c r="U1340" t="s">
        <v>5985</v>
      </c>
      <c r="V1340" t="s">
        <v>5983</v>
      </c>
      <c r="Y1340" t="s">
        <v>6948</v>
      </c>
      <c r="Z1340" t="s">
        <v>6949</v>
      </c>
      <c r="AA1340" t="s">
        <v>6950</v>
      </c>
      <c r="AB1340" t="s">
        <v>6951</v>
      </c>
      <c r="AC1340" t="s">
        <v>6952</v>
      </c>
      <c r="AD1340" t="s">
        <v>6953</v>
      </c>
    </row>
    <row r="1341" spans="1:30">
      <c r="A1341">
        <v>11003652</v>
      </c>
      <c r="B1341" t="s">
        <v>5081</v>
      </c>
      <c r="C1341" t="s">
        <v>1038</v>
      </c>
      <c r="D1341" t="s">
        <v>6116</v>
      </c>
      <c r="E1341" t="s">
        <v>6117</v>
      </c>
      <c r="J1341" t="s">
        <v>6813</v>
      </c>
      <c r="M1341" t="e">
        <v>#N/A</v>
      </c>
      <c r="N1341" t="e">
        <v>#N/A</v>
      </c>
      <c r="O1341" t="e">
        <v>#N/A</v>
      </c>
      <c r="P1341" t="e">
        <v>#N/A</v>
      </c>
      <c r="R1341" t="e">
        <v>#N/A</v>
      </c>
      <c r="T1341" t="s">
        <v>5985</v>
      </c>
      <c r="U1341" t="s">
        <v>5985</v>
      </c>
      <c r="V1341" t="s">
        <v>5983</v>
      </c>
      <c r="Y1341" t="s">
        <v>6948</v>
      </c>
      <c r="Z1341" t="s">
        <v>6949</v>
      </c>
      <c r="AA1341" t="s">
        <v>6950</v>
      </c>
      <c r="AB1341" t="s">
        <v>6951</v>
      </c>
      <c r="AC1341" t="s">
        <v>6952</v>
      </c>
      <c r="AD1341" t="s">
        <v>6953</v>
      </c>
    </row>
    <row r="1342" spans="1:30">
      <c r="A1342">
        <v>11003651</v>
      </c>
      <c r="B1342" t="s">
        <v>5082</v>
      </c>
      <c r="C1342" t="s">
        <v>1039</v>
      </c>
      <c r="D1342" t="s">
        <v>6116</v>
      </c>
      <c r="E1342" t="s">
        <v>6117</v>
      </c>
      <c r="J1342" t="s">
        <v>6814</v>
      </c>
      <c r="M1342" t="e">
        <v>#N/A</v>
      </c>
      <c r="N1342" t="e">
        <v>#N/A</v>
      </c>
      <c r="O1342" t="e">
        <v>#N/A</v>
      </c>
      <c r="P1342" t="e">
        <v>#N/A</v>
      </c>
      <c r="R1342" t="e">
        <v>#N/A</v>
      </c>
      <c r="T1342" t="s">
        <v>5983</v>
      </c>
      <c r="U1342" t="s">
        <v>5983</v>
      </c>
      <c r="V1342" t="s">
        <v>5983</v>
      </c>
      <c r="Y1342" t="s">
        <v>6948</v>
      </c>
      <c r="Z1342" t="s">
        <v>6949</v>
      </c>
      <c r="AA1342" t="s">
        <v>6950</v>
      </c>
      <c r="AB1342" t="s">
        <v>6951</v>
      </c>
      <c r="AC1342" t="s">
        <v>6952</v>
      </c>
      <c r="AD1342" t="s">
        <v>6953</v>
      </c>
    </row>
    <row r="1343" spans="1:30">
      <c r="A1343">
        <v>11003650</v>
      </c>
      <c r="B1343" t="s">
        <v>5083</v>
      </c>
      <c r="C1343" t="s">
        <v>1040</v>
      </c>
      <c r="D1343" t="s">
        <v>6116</v>
      </c>
      <c r="E1343" t="s">
        <v>6117</v>
      </c>
      <c r="J1343" t="s">
        <v>6815</v>
      </c>
      <c r="M1343" t="e">
        <v>#N/A</v>
      </c>
      <c r="N1343" t="e">
        <v>#N/A</v>
      </c>
      <c r="O1343" t="e">
        <v>#N/A</v>
      </c>
      <c r="P1343" t="e">
        <v>#N/A</v>
      </c>
      <c r="R1343" t="e">
        <v>#N/A</v>
      </c>
      <c r="T1343" t="s">
        <v>5985</v>
      </c>
      <c r="U1343" t="s">
        <v>5985</v>
      </c>
      <c r="V1343" t="s">
        <v>5983</v>
      </c>
      <c r="Y1343" t="s">
        <v>6948</v>
      </c>
      <c r="Z1343" t="s">
        <v>6949</v>
      </c>
      <c r="AA1343" t="s">
        <v>6950</v>
      </c>
      <c r="AB1343" t="s">
        <v>6951</v>
      </c>
      <c r="AC1343" t="s">
        <v>6952</v>
      </c>
      <c r="AD1343" t="s">
        <v>6953</v>
      </c>
    </row>
    <row r="1344" spans="1:30">
      <c r="A1344">
        <v>11003649</v>
      </c>
      <c r="B1344" t="s">
        <v>5084</v>
      </c>
      <c r="C1344" t="s">
        <v>1041</v>
      </c>
      <c r="D1344" t="s">
        <v>6116</v>
      </c>
      <c r="E1344" t="s">
        <v>6117</v>
      </c>
      <c r="J1344" t="s">
        <v>6816</v>
      </c>
      <c r="M1344" t="e">
        <v>#N/A</v>
      </c>
      <c r="N1344" t="e">
        <v>#N/A</v>
      </c>
      <c r="O1344" t="e">
        <v>#N/A</v>
      </c>
      <c r="P1344" t="e">
        <v>#N/A</v>
      </c>
      <c r="R1344" t="e">
        <v>#N/A</v>
      </c>
      <c r="T1344" t="s">
        <v>5983</v>
      </c>
      <c r="U1344" t="s">
        <v>5983</v>
      </c>
      <c r="V1344" t="s">
        <v>5983</v>
      </c>
      <c r="Y1344" t="s">
        <v>6948</v>
      </c>
      <c r="Z1344" t="s">
        <v>6949</v>
      </c>
      <c r="AA1344" t="s">
        <v>6950</v>
      </c>
      <c r="AB1344" t="s">
        <v>6951</v>
      </c>
      <c r="AC1344" t="s">
        <v>6952</v>
      </c>
      <c r="AD1344" t="s">
        <v>6953</v>
      </c>
    </row>
    <row r="1345" spans="1:30">
      <c r="A1345">
        <v>11003648</v>
      </c>
      <c r="B1345" t="s">
        <v>5085</v>
      </c>
      <c r="C1345" t="s">
        <v>1141</v>
      </c>
      <c r="D1345" t="s">
        <v>6116</v>
      </c>
      <c r="E1345" t="s">
        <v>6117</v>
      </c>
      <c r="J1345" t="s">
        <v>6817</v>
      </c>
      <c r="M1345" t="e">
        <v>#N/A</v>
      </c>
      <c r="N1345" t="e">
        <v>#N/A</v>
      </c>
      <c r="O1345" t="e">
        <v>#N/A</v>
      </c>
      <c r="P1345" t="e">
        <v>#N/A</v>
      </c>
      <c r="R1345" t="e">
        <v>#N/A</v>
      </c>
      <c r="T1345" t="s">
        <v>5985</v>
      </c>
      <c r="U1345" t="s">
        <v>5985</v>
      </c>
      <c r="V1345" t="s">
        <v>5983</v>
      </c>
      <c r="Y1345" t="s">
        <v>6948</v>
      </c>
      <c r="Z1345" t="s">
        <v>6949</v>
      </c>
      <c r="AA1345" t="s">
        <v>6950</v>
      </c>
      <c r="AB1345" t="s">
        <v>6951</v>
      </c>
      <c r="AC1345" t="s">
        <v>6952</v>
      </c>
      <c r="AD1345" t="s">
        <v>6953</v>
      </c>
    </row>
    <row r="1346" spans="1:30">
      <c r="A1346">
        <v>11003647</v>
      </c>
      <c r="B1346" t="s">
        <v>5086</v>
      </c>
      <c r="C1346" t="s">
        <v>1042</v>
      </c>
      <c r="D1346" t="s">
        <v>6116</v>
      </c>
      <c r="E1346" t="s">
        <v>6117</v>
      </c>
      <c r="J1346" t="s">
        <v>6818</v>
      </c>
      <c r="M1346" t="e">
        <v>#N/A</v>
      </c>
      <c r="N1346" t="e">
        <v>#N/A</v>
      </c>
      <c r="O1346" t="e">
        <v>#N/A</v>
      </c>
      <c r="P1346" t="e">
        <v>#N/A</v>
      </c>
      <c r="R1346" t="e">
        <v>#N/A</v>
      </c>
      <c r="T1346" t="s">
        <v>5985</v>
      </c>
      <c r="U1346" t="s">
        <v>5985</v>
      </c>
      <c r="V1346" t="s">
        <v>5983</v>
      </c>
      <c r="Y1346" t="s">
        <v>6948</v>
      </c>
      <c r="Z1346" t="s">
        <v>6949</v>
      </c>
      <c r="AA1346" t="s">
        <v>6950</v>
      </c>
      <c r="AB1346" t="s">
        <v>6951</v>
      </c>
      <c r="AC1346" t="s">
        <v>6952</v>
      </c>
      <c r="AD1346" t="s">
        <v>6953</v>
      </c>
    </row>
    <row r="1347" spans="1:30">
      <c r="A1347">
        <v>11003646</v>
      </c>
      <c r="B1347" t="s">
        <v>5087</v>
      </c>
      <c r="C1347" t="s">
        <v>1043</v>
      </c>
      <c r="D1347" t="s">
        <v>6118</v>
      </c>
      <c r="E1347" t="s">
        <v>6119</v>
      </c>
      <c r="J1347" t="s">
        <v>6819</v>
      </c>
      <c r="M1347" t="e">
        <v>#N/A</v>
      </c>
      <c r="N1347" t="e">
        <v>#N/A</v>
      </c>
      <c r="O1347" t="e">
        <v>#N/A</v>
      </c>
      <c r="P1347" t="e">
        <v>#N/A</v>
      </c>
      <c r="R1347" t="e">
        <v>#N/A</v>
      </c>
      <c r="T1347" t="s">
        <v>5983</v>
      </c>
      <c r="U1347" t="s">
        <v>5983</v>
      </c>
      <c r="V1347" t="s">
        <v>5983</v>
      </c>
      <c r="Y1347" t="s">
        <v>6948</v>
      </c>
      <c r="Z1347" t="s">
        <v>6949</v>
      </c>
      <c r="AA1347" t="s">
        <v>6950</v>
      </c>
      <c r="AB1347" t="s">
        <v>6951</v>
      </c>
      <c r="AC1347" t="s">
        <v>6952</v>
      </c>
      <c r="AD1347" t="s">
        <v>6953</v>
      </c>
    </row>
    <row r="1348" spans="1:30">
      <c r="A1348">
        <v>11003644</v>
      </c>
      <c r="B1348" t="s">
        <v>5088</v>
      </c>
      <c r="C1348" t="s">
        <v>1044</v>
      </c>
      <c r="D1348" t="s">
        <v>6118</v>
      </c>
      <c r="E1348" t="s">
        <v>6119</v>
      </c>
      <c r="J1348" t="s">
        <v>6820</v>
      </c>
      <c r="M1348" t="e">
        <v>#N/A</v>
      </c>
      <c r="N1348" t="e">
        <v>#N/A</v>
      </c>
      <c r="O1348" t="e">
        <v>#N/A</v>
      </c>
      <c r="P1348" t="e">
        <v>#N/A</v>
      </c>
      <c r="R1348" t="e">
        <v>#N/A</v>
      </c>
      <c r="T1348" t="s">
        <v>5985</v>
      </c>
      <c r="U1348" t="s">
        <v>5985</v>
      </c>
      <c r="V1348" t="s">
        <v>5985</v>
      </c>
      <c r="Y1348" t="s">
        <v>6948</v>
      </c>
      <c r="Z1348" t="s">
        <v>6949</v>
      </c>
      <c r="AA1348" t="s">
        <v>6950</v>
      </c>
      <c r="AB1348" t="s">
        <v>6951</v>
      </c>
      <c r="AC1348" t="s">
        <v>6952</v>
      </c>
      <c r="AD1348" t="s">
        <v>6953</v>
      </c>
    </row>
    <row r="1349" spans="1:30">
      <c r="A1349">
        <v>11003642</v>
      </c>
      <c r="B1349" t="s">
        <v>5089</v>
      </c>
      <c r="C1349" t="s">
        <v>1045</v>
      </c>
      <c r="D1349" t="s">
        <v>6118</v>
      </c>
      <c r="E1349" t="s">
        <v>6119</v>
      </c>
      <c r="J1349" t="s">
        <v>6821</v>
      </c>
      <c r="M1349" t="e">
        <v>#N/A</v>
      </c>
      <c r="N1349" t="e">
        <v>#N/A</v>
      </c>
      <c r="O1349" t="e">
        <v>#N/A</v>
      </c>
      <c r="P1349" t="e">
        <v>#N/A</v>
      </c>
      <c r="R1349" t="e">
        <v>#N/A</v>
      </c>
      <c r="T1349" t="s">
        <v>5985</v>
      </c>
      <c r="U1349" t="s">
        <v>5985</v>
      </c>
      <c r="V1349" t="s">
        <v>5983</v>
      </c>
      <c r="Y1349" t="s">
        <v>6948</v>
      </c>
      <c r="Z1349" t="s">
        <v>6949</v>
      </c>
      <c r="AA1349" t="s">
        <v>6950</v>
      </c>
      <c r="AB1349" t="s">
        <v>6951</v>
      </c>
      <c r="AC1349" t="s">
        <v>6952</v>
      </c>
      <c r="AD1349" t="s">
        <v>6953</v>
      </c>
    </row>
    <row r="1350" spans="1:30">
      <c r="A1350" t="s">
        <v>4604</v>
      </c>
      <c r="B1350" t="s">
        <v>5090</v>
      </c>
      <c r="C1350" t="s">
        <v>1046</v>
      </c>
      <c r="D1350">
        <v>0</v>
      </c>
      <c r="E1350">
        <v>0</v>
      </c>
      <c r="J1350">
        <v>0</v>
      </c>
      <c r="M1350" t="e">
        <v>#N/A</v>
      </c>
      <c r="N1350" t="e">
        <v>#N/A</v>
      </c>
      <c r="O1350" t="e">
        <v>#N/A</v>
      </c>
      <c r="P1350" t="e">
        <v>#N/A</v>
      </c>
      <c r="R1350" t="e">
        <v>#N/A</v>
      </c>
      <c r="T1350">
        <v>0</v>
      </c>
      <c r="U1350">
        <v>0</v>
      </c>
      <c r="V1350" t="s">
        <v>5983</v>
      </c>
      <c r="Y1350" t="s">
        <v>6948</v>
      </c>
      <c r="Z1350" t="s">
        <v>6949</v>
      </c>
      <c r="AA1350" t="s">
        <v>6950</v>
      </c>
      <c r="AB1350" t="s">
        <v>6951</v>
      </c>
      <c r="AC1350" t="s">
        <v>6952</v>
      </c>
      <c r="AD1350" t="s">
        <v>6953</v>
      </c>
    </row>
    <row r="1351" spans="1:30">
      <c r="A1351">
        <v>11003640</v>
      </c>
      <c r="B1351" t="s">
        <v>5091</v>
      </c>
      <c r="C1351" t="s">
        <v>1142</v>
      </c>
      <c r="D1351" t="s">
        <v>6118</v>
      </c>
      <c r="E1351" t="s">
        <v>6119</v>
      </c>
      <c r="J1351" t="s">
        <v>6822</v>
      </c>
      <c r="M1351" t="e">
        <v>#N/A</v>
      </c>
      <c r="N1351" t="e">
        <v>#N/A</v>
      </c>
      <c r="O1351" t="e">
        <v>#N/A</v>
      </c>
      <c r="P1351" t="e">
        <v>#N/A</v>
      </c>
      <c r="R1351" t="e">
        <v>#N/A</v>
      </c>
      <c r="T1351" t="s">
        <v>5985</v>
      </c>
      <c r="U1351" t="s">
        <v>5985</v>
      </c>
      <c r="V1351" t="s">
        <v>5983</v>
      </c>
      <c r="Y1351" t="s">
        <v>6948</v>
      </c>
      <c r="Z1351" t="s">
        <v>6949</v>
      </c>
      <c r="AA1351" t="s">
        <v>6950</v>
      </c>
      <c r="AB1351" t="s">
        <v>6951</v>
      </c>
      <c r="AC1351" t="s">
        <v>6952</v>
      </c>
      <c r="AD1351" t="s">
        <v>6953</v>
      </c>
    </row>
    <row r="1352" spans="1:30">
      <c r="A1352">
        <v>11003638</v>
      </c>
      <c r="B1352" t="s">
        <v>5092</v>
      </c>
      <c r="C1352" t="s">
        <v>1047</v>
      </c>
      <c r="D1352" t="s">
        <v>6118</v>
      </c>
      <c r="E1352" t="s">
        <v>6119</v>
      </c>
      <c r="J1352" t="s">
        <v>6823</v>
      </c>
      <c r="M1352" t="e">
        <v>#N/A</v>
      </c>
      <c r="N1352" t="e">
        <v>#N/A</v>
      </c>
      <c r="O1352" t="e">
        <v>#N/A</v>
      </c>
      <c r="P1352" t="e">
        <v>#N/A</v>
      </c>
      <c r="R1352" t="e">
        <v>#N/A</v>
      </c>
      <c r="T1352" t="s">
        <v>5985</v>
      </c>
      <c r="U1352" t="s">
        <v>5985</v>
      </c>
      <c r="V1352" t="s">
        <v>5985</v>
      </c>
      <c r="Y1352" t="s">
        <v>6948</v>
      </c>
      <c r="Z1352" t="s">
        <v>6949</v>
      </c>
      <c r="AA1352" t="s">
        <v>6950</v>
      </c>
      <c r="AB1352" t="s">
        <v>6951</v>
      </c>
      <c r="AC1352" t="s">
        <v>6952</v>
      </c>
      <c r="AD1352" t="s">
        <v>6953</v>
      </c>
    </row>
    <row r="1353" spans="1:30">
      <c r="A1353">
        <v>11003636</v>
      </c>
      <c r="B1353" t="s">
        <v>5093</v>
      </c>
      <c r="C1353" t="s">
        <v>1051</v>
      </c>
      <c r="D1353" t="s">
        <v>6120</v>
      </c>
      <c r="E1353" t="s">
        <v>6121</v>
      </c>
      <c r="J1353" t="s">
        <v>6824</v>
      </c>
      <c r="M1353" t="e">
        <v>#N/A</v>
      </c>
      <c r="N1353" t="e">
        <v>#N/A</v>
      </c>
      <c r="O1353" t="e">
        <v>#N/A</v>
      </c>
      <c r="P1353" t="e">
        <v>#N/A</v>
      </c>
      <c r="R1353" t="e">
        <v>#N/A</v>
      </c>
      <c r="T1353" t="s">
        <v>5983</v>
      </c>
      <c r="U1353" t="s">
        <v>5983</v>
      </c>
      <c r="V1353" t="s">
        <v>5983</v>
      </c>
      <c r="Y1353" t="s">
        <v>6948</v>
      </c>
      <c r="Z1353" t="s">
        <v>6949</v>
      </c>
      <c r="AA1353" t="s">
        <v>6950</v>
      </c>
      <c r="AB1353" t="s">
        <v>6951</v>
      </c>
      <c r="AC1353" t="s">
        <v>6952</v>
      </c>
      <c r="AD1353" t="s">
        <v>6953</v>
      </c>
    </row>
    <row r="1354" spans="1:30">
      <c r="A1354">
        <v>11003635</v>
      </c>
      <c r="B1354" t="s">
        <v>5094</v>
      </c>
      <c r="C1354" t="s">
        <v>1052</v>
      </c>
      <c r="D1354" t="s">
        <v>6120</v>
      </c>
      <c r="E1354" t="s">
        <v>6121</v>
      </c>
      <c r="J1354" t="s">
        <v>6825</v>
      </c>
      <c r="M1354" t="e">
        <v>#N/A</v>
      </c>
      <c r="N1354" t="e">
        <v>#N/A</v>
      </c>
      <c r="O1354" t="e">
        <v>#N/A</v>
      </c>
      <c r="P1354" t="e">
        <v>#N/A</v>
      </c>
      <c r="R1354" t="e">
        <v>#N/A</v>
      </c>
      <c r="T1354" t="s">
        <v>5983</v>
      </c>
      <c r="U1354" t="s">
        <v>5983</v>
      </c>
      <c r="V1354" t="s">
        <v>5983</v>
      </c>
      <c r="Y1354" t="s">
        <v>6948</v>
      </c>
      <c r="Z1354" t="s">
        <v>6949</v>
      </c>
      <c r="AA1354" t="s">
        <v>6950</v>
      </c>
      <c r="AB1354" t="s">
        <v>6951</v>
      </c>
      <c r="AC1354" t="s">
        <v>6952</v>
      </c>
      <c r="AD1354" t="s">
        <v>6953</v>
      </c>
    </row>
    <row r="1355" spans="1:30">
      <c r="A1355">
        <v>11003633</v>
      </c>
      <c r="B1355" t="s">
        <v>5095</v>
      </c>
      <c r="C1355" t="s">
        <v>1053</v>
      </c>
      <c r="D1355" t="s">
        <v>6120</v>
      </c>
      <c r="E1355" t="s">
        <v>6121</v>
      </c>
      <c r="J1355" t="s">
        <v>6826</v>
      </c>
      <c r="M1355" t="e">
        <v>#N/A</v>
      </c>
      <c r="N1355" t="e">
        <v>#N/A</v>
      </c>
      <c r="O1355" t="e">
        <v>#N/A</v>
      </c>
      <c r="P1355" t="e">
        <v>#N/A</v>
      </c>
      <c r="R1355" t="e">
        <v>#N/A</v>
      </c>
      <c r="T1355" t="s">
        <v>5985</v>
      </c>
      <c r="U1355" t="s">
        <v>5985</v>
      </c>
      <c r="V1355" t="s">
        <v>5983</v>
      </c>
      <c r="Y1355" t="s">
        <v>6948</v>
      </c>
      <c r="Z1355" t="s">
        <v>6949</v>
      </c>
      <c r="AA1355" t="s">
        <v>6950</v>
      </c>
      <c r="AB1355" t="s">
        <v>6951</v>
      </c>
      <c r="AC1355" t="s">
        <v>6952</v>
      </c>
      <c r="AD1355" t="s">
        <v>6953</v>
      </c>
    </row>
    <row r="1356" spans="1:30">
      <c r="A1356">
        <v>11003632</v>
      </c>
      <c r="B1356" t="s">
        <v>5096</v>
      </c>
      <c r="C1356" t="s">
        <v>971</v>
      </c>
      <c r="D1356" t="s">
        <v>6120</v>
      </c>
      <c r="E1356" t="s">
        <v>6121</v>
      </c>
      <c r="J1356" t="s">
        <v>6827</v>
      </c>
      <c r="M1356" t="e">
        <v>#N/A</v>
      </c>
      <c r="N1356" t="e">
        <v>#N/A</v>
      </c>
      <c r="O1356" t="e">
        <v>#N/A</v>
      </c>
      <c r="P1356" t="e">
        <v>#N/A</v>
      </c>
      <c r="R1356" t="e">
        <v>#N/A</v>
      </c>
      <c r="T1356" t="s">
        <v>5983</v>
      </c>
      <c r="U1356" t="s">
        <v>5983</v>
      </c>
      <c r="V1356" t="s">
        <v>5983</v>
      </c>
      <c r="Y1356" t="s">
        <v>6948</v>
      </c>
      <c r="Z1356" t="s">
        <v>6949</v>
      </c>
      <c r="AA1356" t="s">
        <v>6950</v>
      </c>
      <c r="AB1356" t="s">
        <v>6951</v>
      </c>
      <c r="AC1356" t="s">
        <v>6952</v>
      </c>
      <c r="AD1356" t="s">
        <v>6953</v>
      </c>
    </row>
    <row r="1357" spans="1:30">
      <c r="A1357">
        <v>11003631</v>
      </c>
      <c r="B1357" t="s">
        <v>5097</v>
      </c>
      <c r="C1357" t="s">
        <v>969</v>
      </c>
      <c r="D1357" t="s">
        <v>6120</v>
      </c>
      <c r="E1357" t="s">
        <v>6121</v>
      </c>
      <c r="J1357" t="s">
        <v>6828</v>
      </c>
      <c r="M1357" t="e">
        <v>#N/A</v>
      </c>
      <c r="N1357" t="e">
        <v>#N/A</v>
      </c>
      <c r="O1357" t="e">
        <v>#N/A</v>
      </c>
      <c r="P1357" t="e">
        <v>#N/A</v>
      </c>
      <c r="R1357" t="e">
        <v>#N/A</v>
      </c>
      <c r="T1357" t="s">
        <v>5985</v>
      </c>
      <c r="U1357" t="s">
        <v>5985</v>
      </c>
      <c r="V1357" t="s">
        <v>5983</v>
      </c>
      <c r="Y1357" t="s">
        <v>6948</v>
      </c>
      <c r="Z1357" t="s">
        <v>6949</v>
      </c>
      <c r="AA1357" t="s">
        <v>6950</v>
      </c>
      <c r="AB1357" t="s">
        <v>6951</v>
      </c>
      <c r="AC1357" t="s">
        <v>6952</v>
      </c>
      <c r="AD1357" t="s">
        <v>6953</v>
      </c>
    </row>
    <row r="1358" spans="1:30">
      <c r="A1358">
        <v>11003630</v>
      </c>
      <c r="B1358" t="s">
        <v>5098</v>
      </c>
      <c r="C1358" t="s">
        <v>967</v>
      </c>
      <c r="D1358" t="s">
        <v>6120</v>
      </c>
      <c r="E1358" t="s">
        <v>6121</v>
      </c>
      <c r="J1358" t="s">
        <v>6829</v>
      </c>
      <c r="M1358" t="e">
        <v>#N/A</v>
      </c>
      <c r="N1358" t="e">
        <v>#N/A</v>
      </c>
      <c r="O1358" t="e">
        <v>#N/A</v>
      </c>
      <c r="P1358" t="e">
        <v>#N/A</v>
      </c>
      <c r="R1358" t="e">
        <v>#N/A</v>
      </c>
      <c r="T1358" t="s">
        <v>5983</v>
      </c>
      <c r="U1358" t="s">
        <v>5983</v>
      </c>
      <c r="V1358" t="s">
        <v>5983</v>
      </c>
      <c r="Y1358" t="s">
        <v>6948</v>
      </c>
      <c r="Z1358" t="s">
        <v>6949</v>
      </c>
      <c r="AA1358" t="s">
        <v>6950</v>
      </c>
      <c r="AB1358" t="s">
        <v>6951</v>
      </c>
      <c r="AC1358" t="s">
        <v>6952</v>
      </c>
      <c r="AD1358" t="s">
        <v>6953</v>
      </c>
    </row>
    <row r="1359" spans="1:30">
      <c r="A1359">
        <v>11003629</v>
      </c>
      <c r="B1359" t="s">
        <v>5099</v>
      </c>
      <c r="C1359" t="s">
        <v>970</v>
      </c>
      <c r="D1359" t="s">
        <v>6122</v>
      </c>
      <c r="E1359" t="s">
        <v>6123</v>
      </c>
      <c r="J1359" t="s">
        <v>6830</v>
      </c>
      <c r="M1359" t="e">
        <v>#N/A</v>
      </c>
      <c r="N1359" t="e">
        <v>#N/A</v>
      </c>
      <c r="O1359" t="e">
        <v>#N/A</v>
      </c>
      <c r="P1359" t="e">
        <v>#N/A</v>
      </c>
      <c r="R1359" t="e">
        <v>#N/A</v>
      </c>
      <c r="T1359" t="s">
        <v>5983</v>
      </c>
      <c r="U1359" t="s">
        <v>5983</v>
      </c>
      <c r="V1359" t="s">
        <v>5983</v>
      </c>
      <c r="Y1359" t="s">
        <v>6948</v>
      </c>
      <c r="Z1359" t="s">
        <v>6949</v>
      </c>
      <c r="AA1359" t="s">
        <v>6950</v>
      </c>
      <c r="AB1359" t="s">
        <v>6951</v>
      </c>
      <c r="AC1359" t="s">
        <v>6952</v>
      </c>
      <c r="AD1359" t="s">
        <v>6953</v>
      </c>
    </row>
    <row r="1360" spans="1:30">
      <c r="A1360">
        <v>11003628</v>
      </c>
      <c r="B1360" t="s">
        <v>5100</v>
      </c>
      <c r="C1360" t="s">
        <v>972</v>
      </c>
      <c r="D1360" t="s">
        <v>6122</v>
      </c>
      <c r="E1360" t="s">
        <v>6123</v>
      </c>
      <c r="J1360" t="s">
        <v>6831</v>
      </c>
      <c r="M1360" t="e">
        <v>#N/A</v>
      </c>
      <c r="N1360" t="e">
        <v>#N/A</v>
      </c>
      <c r="O1360" t="e">
        <v>#N/A</v>
      </c>
      <c r="P1360" t="e">
        <v>#N/A</v>
      </c>
      <c r="R1360" t="e">
        <v>#N/A</v>
      </c>
      <c r="T1360" t="s">
        <v>5983</v>
      </c>
      <c r="U1360" t="s">
        <v>5983</v>
      </c>
      <c r="V1360" t="s">
        <v>5983</v>
      </c>
      <c r="Y1360" t="s">
        <v>6948</v>
      </c>
      <c r="Z1360" t="s">
        <v>6949</v>
      </c>
      <c r="AA1360" t="s">
        <v>6950</v>
      </c>
      <c r="AB1360" t="s">
        <v>6951</v>
      </c>
      <c r="AC1360" t="s">
        <v>6952</v>
      </c>
      <c r="AD1360" t="s">
        <v>6953</v>
      </c>
    </row>
    <row r="1361" spans="1:30">
      <c r="A1361">
        <v>11003626</v>
      </c>
      <c r="B1361" t="s">
        <v>5101</v>
      </c>
      <c r="C1361" t="s">
        <v>973</v>
      </c>
      <c r="D1361" t="s">
        <v>6122</v>
      </c>
      <c r="E1361" t="s">
        <v>6123</v>
      </c>
      <c r="J1361" t="s">
        <v>6832</v>
      </c>
      <c r="M1361" t="e">
        <v>#N/A</v>
      </c>
      <c r="N1361" t="e">
        <v>#N/A</v>
      </c>
      <c r="O1361" t="e">
        <v>#N/A</v>
      </c>
      <c r="P1361" t="e">
        <v>#N/A</v>
      </c>
      <c r="R1361" t="e">
        <v>#N/A</v>
      </c>
      <c r="T1361" t="s">
        <v>5983</v>
      </c>
      <c r="U1361" t="s">
        <v>5983</v>
      </c>
      <c r="V1361" t="s">
        <v>5983</v>
      </c>
      <c r="Y1361" t="s">
        <v>6948</v>
      </c>
      <c r="Z1361" t="s">
        <v>6949</v>
      </c>
      <c r="AA1361" t="s">
        <v>6950</v>
      </c>
      <c r="AB1361" t="s">
        <v>6951</v>
      </c>
      <c r="AC1361" t="s">
        <v>6952</v>
      </c>
      <c r="AD1361" t="s">
        <v>6953</v>
      </c>
    </row>
    <row r="1362" spans="1:30">
      <c r="A1362">
        <v>11003625</v>
      </c>
      <c r="B1362" t="s">
        <v>5102</v>
      </c>
      <c r="C1362" t="s">
        <v>974</v>
      </c>
      <c r="D1362" t="s">
        <v>6122</v>
      </c>
      <c r="E1362" t="s">
        <v>6123</v>
      </c>
      <c r="J1362" t="s">
        <v>6833</v>
      </c>
      <c r="M1362" t="e">
        <v>#N/A</v>
      </c>
      <c r="N1362" t="e">
        <v>#N/A</v>
      </c>
      <c r="O1362" t="e">
        <v>#N/A</v>
      </c>
      <c r="P1362" t="e">
        <v>#N/A</v>
      </c>
      <c r="R1362" t="e">
        <v>#N/A</v>
      </c>
      <c r="T1362" t="s">
        <v>5983</v>
      </c>
      <c r="U1362" t="s">
        <v>5985</v>
      </c>
      <c r="V1362" t="s">
        <v>5983</v>
      </c>
      <c r="Y1362" t="s">
        <v>6948</v>
      </c>
      <c r="Z1362" t="s">
        <v>6949</v>
      </c>
      <c r="AA1362" t="s">
        <v>6950</v>
      </c>
      <c r="AB1362" t="s">
        <v>6951</v>
      </c>
      <c r="AC1362" t="s">
        <v>6952</v>
      </c>
      <c r="AD1362" t="s">
        <v>6953</v>
      </c>
    </row>
    <row r="1363" spans="1:30">
      <c r="A1363">
        <v>11003624</v>
      </c>
      <c r="B1363" t="s">
        <v>5103</v>
      </c>
      <c r="C1363" t="s">
        <v>1064</v>
      </c>
      <c r="D1363" t="s">
        <v>6122</v>
      </c>
      <c r="E1363" t="s">
        <v>6123</v>
      </c>
      <c r="J1363" t="s">
        <v>6834</v>
      </c>
      <c r="M1363" t="e">
        <v>#N/A</v>
      </c>
      <c r="N1363" t="e">
        <v>#N/A</v>
      </c>
      <c r="O1363" t="e">
        <v>#N/A</v>
      </c>
      <c r="P1363" t="e">
        <v>#N/A</v>
      </c>
      <c r="R1363" t="e">
        <v>#N/A</v>
      </c>
      <c r="T1363" t="s">
        <v>5985</v>
      </c>
      <c r="U1363" t="s">
        <v>5985</v>
      </c>
      <c r="V1363" t="s">
        <v>5983</v>
      </c>
      <c r="Y1363" t="s">
        <v>6948</v>
      </c>
      <c r="Z1363" t="s">
        <v>6949</v>
      </c>
      <c r="AA1363" t="s">
        <v>6950</v>
      </c>
      <c r="AB1363" t="s">
        <v>6951</v>
      </c>
      <c r="AC1363" t="s">
        <v>6952</v>
      </c>
      <c r="AD1363" t="s">
        <v>6953</v>
      </c>
    </row>
    <row r="1364" spans="1:30">
      <c r="A1364">
        <v>11003622</v>
      </c>
      <c r="B1364" t="s">
        <v>5104</v>
      </c>
      <c r="C1364" t="s">
        <v>968</v>
      </c>
      <c r="D1364" t="s">
        <v>6122</v>
      </c>
      <c r="E1364" t="s">
        <v>6123</v>
      </c>
      <c r="J1364" t="s">
        <v>6835</v>
      </c>
      <c r="M1364" t="e">
        <v>#N/A</v>
      </c>
      <c r="N1364" t="e">
        <v>#N/A</v>
      </c>
      <c r="O1364" t="e">
        <v>#N/A</v>
      </c>
      <c r="P1364" t="e">
        <v>#N/A</v>
      </c>
      <c r="R1364" t="e">
        <v>#N/A</v>
      </c>
      <c r="T1364" t="s">
        <v>5985</v>
      </c>
      <c r="U1364" t="s">
        <v>5985</v>
      </c>
      <c r="V1364" t="s">
        <v>5983</v>
      </c>
      <c r="Y1364" t="s">
        <v>6948</v>
      </c>
      <c r="Z1364" t="s">
        <v>6949</v>
      </c>
      <c r="AA1364" t="s">
        <v>6950</v>
      </c>
      <c r="AB1364" t="s">
        <v>6951</v>
      </c>
      <c r="AC1364" t="s">
        <v>6952</v>
      </c>
      <c r="AD1364" t="s">
        <v>6953</v>
      </c>
    </row>
    <row r="1365" spans="1:30">
      <c r="A1365">
        <v>11003620</v>
      </c>
      <c r="B1365" t="s">
        <v>5105</v>
      </c>
      <c r="C1365" t="s">
        <v>1048</v>
      </c>
      <c r="D1365" t="s">
        <v>6124</v>
      </c>
      <c r="E1365" t="s">
        <v>6125</v>
      </c>
      <c r="J1365" t="s">
        <v>6836</v>
      </c>
      <c r="M1365" t="e">
        <v>#N/A</v>
      </c>
      <c r="N1365" t="e">
        <v>#N/A</v>
      </c>
      <c r="O1365" t="e">
        <v>#N/A</v>
      </c>
      <c r="P1365" t="e">
        <v>#N/A</v>
      </c>
      <c r="R1365" t="e">
        <v>#N/A</v>
      </c>
      <c r="T1365" t="s">
        <v>5983</v>
      </c>
      <c r="U1365" t="s">
        <v>5985</v>
      </c>
      <c r="V1365" t="s">
        <v>5983</v>
      </c>
      <c r="Y1365" t="s">
        <v>6948</v>
      </c>
      <c r="Z1365" t="s">
        <v>6949</v>
      </c>
      <c r="AA1365" t="s">
        <v>6950</v>
      </c>
      <c r="AB1365" t="s">
        <v>6951</v>
      </c>
      <c r="AC1365" t="s">
        <v>6952</v>
      </c>
      <c r="AD1365" t="s">
        <v>6953</v>
      </c>
    </row>
    <row r="1366" spans="1:30">
      <c r="A1366">
        <v>11003619</v>
      </c>
      <c r="B1366" t="s">
        <v>5106</v>
      </c>
      <c r="C1366" t="s">
        <v>1049</v>
      </c>
      <c r="D1366" t="s">
        <v>6126</v>
      </c>
      <c r="E1366" t="s">
        <v>6125</v>
      </c>
      <c r="J1366" t="s">
        <v>6837</v>
      </c>
      <c r="M1366" t="e">
        <v>#N/A</v>
      </c>
      <c r="N1366" t="e">
        <v>#N/A</v>
      </c>
      <c r="O1366" t="e">
        <v>#N/A</v>
      </c>
      <c r="P1366" t="e">
        <v>#N/A</v>
      </c>
      <c r="R1366" t="e">
        <v>#N/A</v>
      </c>
      <c r="T1366" t="s">
        <v>5985</v>
      </c>
      <c r="U1366" t="s">
        <v>5985</v>
      </c>
      <c r="V1366" t="s">
        <v>5983</v>
      </c>
      <c r="Y1366" t="s">
        <v>6948</v>
      </c>
      <c r="Z1366" t="s">
        <v>6949</v>
      </c>
      <c r="AA1366" t="s">
        <v>6950</v>
      </c>
      <c r="AB1366" t="s">
        <v>6951</v>
      </c>
      <c r="AC1366" t="s">
        <v>6952</v>
      </c>
      <c r="AD1366" t="s">
        <v>6953</v>
      </c>
    </row>
    <row r="1367" spans="1:30">
      <c r="A1367">
        <v>11003618</v>
      </c>
      <c r="B1367" t="s">
        <v>5107</v>
      </c>
      <c r="C1367" t="s">
        <v>1222</v>
      </c>
      <c r="D1367" t="s">
        <v>6124</v>
      </c>
      <c r="E1367" t="s">
        <v>6125</v>
      </c>
      <c r="J1367" t="s">
        <v>6838</v>
      </c>
      <c r="M1367" t="e">
        <v>#N/A</v>
      </c>
      <c r="N1367" t="e">
        <v>#N/A</v>
      </c>
      <c r="O1367" t="e">
        <v>#N/A</v>
      </c>
      <c r="P1367" t="e">
        <v>#N/A</v>
      </c>
      <c r="R1367" t="e">
        <v>#N/A</v>
      </c>
      <c r="T1367" t="s">
        <v>5985</v>
      </c>
      <c r="U1367" t="s">
        <v>5985</v>
      </c>
      <c r="V1367" t="s">
        <v>5983</v>
      </c>
      <c r="Y1367" t="s">
        <v>6948</v>
      </c>
      <c r="Z1367" t="s">
        <v>6949</v>
      </c>
      <c r="AA1367" t="s">
        <v>6950</v>
      </c>
      <c r="AB1367" t="s">
        <v>6951</v>
      </c>
      <c r="AC1367" t="s">
        <v>6952</v>
      </c>
      <c r="AD1367" t="s">
        <v>6953</v>
      </c>
    </row>
    <row r="1368" spans="1:30">
      <c r="A1368">
        <v>11003617</v>
      </c>
      <c r="B1368" t="s">
        <v>5108</v>
      </c>
      <c r="C1368" t="s">
        <v>1219</v>
      </c>
      <c r="D1368" t="s">
        <v>6124</v>
      </c>
      <c r="E1368" t="s">
        <v>6125</v>
      </c>
      <c r="J1368" t="s">
        <v>6839</v>
      </c>
      <c r="M1368" t="e">
        <v>#N/A</v>
      </c>
      <c r="N1368" t="e">
        <v>#N/A</v>
      </c>
      <c r="O1368" t="e">
        <v>#N/A</v>
      </c>
      <c r="P1368" t="e">
        <v>#N/A</v>
      </c>
      <c r="R1368" t="e">
        <v>#N/A</v>
      </c>
      <c r="T1368" t="s">
        <v>5983</v>
      </c>
      <c r="U1368" t="s">
        <v>5985</v>
      </c>
      <c r="V1368" t="s">
        <v>5983</v>
      </c>
      <c r="Y1368" t="s">
        <v>6948</v>
      </c>
      <c r="Z1368" t="s">
        <v>6949</v>
      </c>
      <c r="AA1368" t="s">
        <v>6950</v>
      </c>
      <c r="AB1368" t="s">
        <v>6951</v>
      </c>
      <c r="AC1368" t="s">
        <v>6952</v>
      </c>
      <c r="AD1368" t="s">
        <v>6953</v>
      </c>
    </row>
    <row r="1369" spans="1:30">
      <c r="A1369">
        <v>11003616</v>
      </c>
      <c r="B1369" t="s">
        <v>5109</v>
      </c>
      <c r="C1369" t="s">
        <v>1221</v>
      </c>
      <c r="D1369" t="s">
        <v>6124</v>
      </c>
      <c r="E1369" t="s">
        <v>6125</v>
      </c>
      <c r="J1369" t="s">
        <v>6840</v>
      </c>
      <c r="M1369" t="e">
        <v>#N/A</v>
      </c>
      <c r="N1369" t="e">
        <v>#N/A</v>
      </c>
      <c r="O1369" t="e">
        <v>#N/A</v>
      </c>
      <c r="P1369" t="e">
        <v>#N/A</v>
      </c>
      <c r="R1369" t="e">
        <v>#N/A</v>
      </c>
      <c r="T1369" t="s">
        <v>5985</v>
      </c>
      <c r="U1369" t="s">
        <v>5985</v>
      </c>
      <c r="V1369" t="s">
        <v>5983</v>
      </c>
      <c r="Y1369" t="s">
        <v>6948</v>
      </c>
      <c r="Z1369" t="s">
        <v>6949</v>
      </c>
      <c r="AA1369" t="s">
        <v>6950</v>
      </c>
      <c r="AB1369" t="s">
        <v>6951</v>
      </c>
      <c r="AC1369" t="s">
        <v>6952</v>
      </c>
      <c r="AD1369" t="s">
        <v>6953</v>
      </c>
    </row>
    <row r="1370" spans="1:30">
      <c r="A1370">
        <v>11003615</v>
      </c>
      <c r="B1370" t="s">
        <v>5110</v>
      </c>
      <c r="C1370" t="s">
        <v>1220</v>
      </c>
      <c r="D1370" t="s">
        <v>6124</v>
      </c>
      <c r="E1370" t="s">
        <v>6125</v>
      </c>
      <c r="J1370" t="s">
        <v>6841</v>
      </c>
      <c r="M1370" t="e">
        <v>#N/A</v>
      </c>
      <c r="N1370" t="e">
        <v>#N/A</v>
      </c>
      <c r="O1370" t="e">
        <v>#N/A</v>
      </c>
      <c r="P1370" t="e">
        <v>#N/A</v>
      </c>
      <c r="R1370" t="e">
        <v>#N/A</v>
      </c>
      <c r="T1370" t="s">
        <v>5985</v>
      </c>
      <c r="U1370" t="s">
        <v>5985</v>
      </c>
      <c r="V1370" t="s">
        <v>5983</v>
      </c>
      <c r="Y1370" t="s">
        <v>6948</v>
      </c>
      <c r="Z1370" t="s">
        <v>6949</v>
      </c>
      <c r="AA1370" t="s">
        <v>6950</v>
      </c>
      <c r="AB1370" t="s">
        <v>6951</v>
      </c>
      <c r="AC1370" t="s">
        <v>6952</v>
      </c>
      <c r="AD1370" t="s">
        <v>6953</v>
      </c>
    </row>
    <row r="1371" spans="1:30">
      <c r="A1371">
        <v>11003614</v>
      </c>
      <c r="B1371" t="s">
        <v>5111</v>
      </c>
      <c r="C1371" t="s">
        <v>1225</v>
      </c>
      <c r="D1371" t="s">
        <v>6127</v>
      </c>
      <c r="E1371" t="s">
        <v>6128</v>
      </c>
      <c r="J1371" t="s">
        <v>6842</v>
      </c>
      <c r="M1371" t="e">
        <v>#N/A</v>
      </c>
      <c r="N1371" t="e">
        <v>#N/A</v>
      </c>
      <c r="O1371" t="e">
        <v>#N/A</v>
      </c>
      <c r="P1371" t="e">
        <v>#N/A</v>
      </c>
      <c r="R1371" t="e">
        <v>#N/A</v>
      </c>
      <c r="T1371" t="s">
        <v>5985</v>
      </c>
      <c r="U1371" t="s">
        <v>5985</v>
      </c>
      <c r="V1371" t="s">
        <v>5983</v>
      </c>
      <c r="Y1371" t="s">
        <v>6948</v>
      </c>
      <c r="Z1371" t="s">
        <v>6949</v>
      </c>
      <c r="AA1371" t="s">
        <v>6950</v>
      </c>
      <c r="AB1371" t="s">
        <v>6951</v>
      </c>
      <c r="AC1371" t="s">
        <v>6952</v>
      </c>
      <c r="AD1371" t="s">
        <v>6953</v>
      </c>
    </row>
    <row r="1372" spans="1:30">
      <c r="A1372">
        <v>11003613</v>
      </c>
      <c r="B1372" t="s">
        <v>5112</v>
      </c>
      <c r="C1372" t="s">
        <v>1226</v>
      </c>
      <c r="D1372" t="s">
        <v>6127</v>
      </c>
      <c r="E1372" t="s">
        <v>6128</v>
      </c>
      <c r="J1372" t="s">
        <v>6843</v>
      </c>
      <c r="M1372" t="e">
        <v>#N/A</v>
      </c>
      <c r="N1372" t="e">
        <v>#N/A</v>
      </c>
      <c r="O1372" t="e">
        <v>#N/A</v>
      </c>
      <c r="P1372" t="e">
        <v>#N/A</v>
      </c>
      <c r="R1372" t="e">
        <v>#N/A</v>
      </c>
      <c r="T1372" t="s">
        <v>5985</v>
      </c>
      <c r="U1372" t="s">
        <v>5985</v>
      </c>
      <c r="V1372" t="s">
        <v>5983</v>
      </c>
      <c r="Y1372" t="s">
        <v>6948</v>
      </c>
      <c r="Z1372" t="s">
        <v>6949</v>
      </c>
      <c r="AA1372" t="s">
        <v>6950</v>
      </c>
      <c r="AB1372" t="s">
        <v>6951</v>
      </c>
      <c r="AC1372" t="s">
        <v>6952</v>
      </c>
      <c r="AD1372" t="s">
        <v>6953</v>
      </c>
    </row>
    <row r="1373" spans="1:30">
      <c r="A1373" t="s">
        <v>4604</v>
      </c>
      <c r="B1373" t="s">
        <v>5113</v>
      </c>
      <c r="C1373" t="s">
        <v>1139</v>
      </c>
      <c r="D1373" t="s">
        <v>6129</v>
      </c>
      <c r="E1373" t="s">
        <v>6130</v>
      </c>
      <c r="J1373" t="s">
        <v>6844</v>
      </c>
      <c r="M1373" t="e">
        <v>#N/A</v>
      </c>
      <c r="N1373" t="e">
        <v>#N/A</v>
      </c>
      <c r="O1373" t="e">
        <v>#N/A</v>
      </c>
      <c r="P1373" t="e">
        <v>#N/A</v>
      </c>
      <c r="R1373" t="e">
        <v>#N/A</v>
      </c>
      <c r="T1373" t="s">
        <v>6934</v>
      </c>
      <c r="U1373" t="s">
        <v>6934</v>
      </c>
      <c r="V1373" t="s">
        <v>5983</v>
      </c>
      <c r="Y1373" t="s">
        <v>6948</v>
      </c>
      <c r="Z1373" t="s">
        <v>6949</v>
      </c>
      <c r="AA1373" t="s">
        <v>6950</v>
      </c>
      <c r="AB1373" t="s">
        <v>6951</v>
      </c>
      <c r="AC1373" t="s">
        <v>6952</v>
      </c>
      <c r="AD1373" t="s">
        <v>6953</v>
      </c>
    </row>
    <row r="1374" spans="1:30">
      <c r="A1374" t="s">
        <v>4604</v>
      </c>
      <c r="B1374" t="s">
        <v>5114</v>
      </c>
      <c r="C1374" t="s">
        <v>1080</v>
      </c>
      <c r="D1374" t="s">
        <v>6129</v>
      </c>
      <c r="E1374" t="s">
        <v>6130</v>
      </c>
      <c r="J1374" t="s">
        <v>6845</v>
      </c>
      <c r="M1374" t="e">
        <v>#N/A</v>
      </c>
      <c r="N1374" t="e">
        <v>#N/A</v>
      </c>
      <c r="O1374" t="e">
        <v>#N/A</v>
      </c>
      <c r="P1374" t="e">
        <v>#N/A</v>
      </c>
      <c r="R1374" t="e">
        <v>#N/A</v>
      </c>
      <c r="T1374" t="s">
        <v>6934</v>
      </c>
      <c r="U1374" t="s">
        <v>6934</v>
      </c>
      <c r="V1374" t="s">
        <v>5983</v>
      </c>
      <c r="Y1374" t="s">
        <v>6948</v>
      </c>
      <c r="Z1374" t="s">
        <v>6949</v>
      </c>
      <c r="AA1374" t="s">
        <v>6950</v>
      </c>
      <c r="AB1374" t="s">
        <v>6951</v>
      </c>
      <c r="AC1374" t="s">
        <v>6952</v>
      </c>
      <c r="AD1374" t="s">
        <v>6953</v>
      </c>
    </row>
    <row r="1375" spans="1:30">
      <c r="A1375" t="s">
        <v>4604</v>
      </c>
      <c r="B1375" t="s">
        <v>5115</v>
      </c>
      <c r="C1375" t="s">
        <v>1140</v>
      </c>
      <c r="D1375" t="s">
        <v>6131</v>
      </c>
      <c r="E1375" t="s">
        <v>6132</v>
      </c>
      <c r="J1375" t="s">
        <v>6846</v>
      </c>
      <c r="M1375" t="e">
        <v>#N/A</v>
      </c>
      <c r="N1375" t="e">
        <v>#N/A</v>
      </c>
      <c r="O1375" t="e">
        <v>#N/A</v>
      </c>
      <c r="P1375" t="e">
        <v>#N/A</v>
      </c>
      <c r="R1375" t="e">
        <v>#N/A</v>
      </c>
      <c r="T1375" t="s">
        <v>6934</v>
      </c>
      <c r="U1375" t="s">
        <v>6934</v>
      </c>
      <c r="V1375" t="s">
        <v>5983</v>
      </c>
      <c r="Y1375" t="s">
        <v>6948</v>
      </c>
      <c r="Z1375" t="s">
        <v>6949</v>
      </c>
      <c r="AA1375" t="s">
        <v>6950</v>
      </c>
      <c r="AB1375" t="s">
        <v>6951</v>
      </c>
      <c r="AC1375" t="s">
        <v>6952</v>
      </c>
      <c r="AD1375" t="s">
        <v>6953</v>
      </c>
    </row>
    <row r="1376" spans="1:30">
      <c r="A1376" t="s">
        <v>4604</v>
      </c>
      <c r="B1376" t="s">
        <v>5116</v>
      </c>
      <c r="C1376" t="s">
        <v>1011</v>
      </c>
      <c r="D1376" t="s">
        <v>6131</v>
      </c>
      <c r="E1376" t="s">
        <v>6132</v>
      </c>
      <c r="J1376" t="s">
        <v>6847</v>
      </c>
      <c r="M1376" t="e">
        <v>#N/A</v>
      </c>
      <c r="N1376" t="e">
        <v>#N/A</v>
      </c>
      <c r="O1376" t="e">
        <v>#N/A</v>
      </c>
      <c r="P1376" t="e">
        <v>#N/A</v>
      </c>
      <c r="R1376" t="e">
        <v>#N/A</v>
      </c>
      <c r="T1376" t="s">
        <v>6934</v>
      </c>
      <c r="U1376" t="s">
        <v>6934</v>
      </c>
      <c r="V1376" t="s">
        <v>5983</v>
      </c>
      <c r="Y1376" t="s">
        <v>6948</v>
      </c>
      <c r="Z1376" t="s">
        <v>6949</v>
      </c>
      <c r="AA1376" t="s">
        <v>6950</v>
      </c>
      <c r="AB1376" t="s">
        <v>6951</v>
      </c>
      <c r="AC1376" t="s">
        <v>6952</v>
      </c>
      <c r="AD1376" t="s">
        <v>6953</v>
      </c>
    </row>
    <row r="1377" spans="1:30">
      <c r="A1377" t="s">
        <v>4604</v>
      </c>
      <c r="B1377" t="s">
        <v>5117</v>
      </c>
      <c r="C1377" t="s">
        <v>5845</v>
      </c>
      <c r="D1377" t="s">
        <v>6133</v>
      </c>
      <c r="E1377" t="s">
        <v>6134</v>
      </c>
      <c r="J1377" t="s">
        <v>6848</v>
      </c>
      <c r="M1377" t="e">
        <v>#N/A</v>
      </c>
      <c r="N1377" t="e">
        <v>#N/A</v>
      </c>
      <c r="O1377" t="e">
        <v>#N/A</v>
      </c>
      <c r="P1377" t="e">
        <v>#N/A</v>
      </c>
      <c r="R1377" t="e">
        <v>#N/A</v>
      </c>
      <c r="T1377" t="s">
        <v>5983</v>
      </c>
      <c r="U1377" t="s">
        <v>5983</v>
      </c>
      <c r="V1377" t="s">
        <v>5983</v>
      </c>
      <c r="Y1377" t="s">
        <v>6948</v>
      </c>
      <c r="Z1377" t="s">
        <v>6949</v>
      </c>
      <c r="AA1377" t="s">
        <v>6950</v>
      </c>
      <c r="AB1377" t="s">
        <v>6951</v>
      </c>
      <c r="AC1377" t="s">
        <v>6952</v>
      </c>
      <c r="AD1377" t="s">
        <v>6953</v>
      </c>
    </row>
    <row r="1378" spans="1:30">
      <c r="A1378">
        <v>11003209</v>
      </c>
      <c r="B1378" t="s">
        <v>5118</v>
      </c>
      <c r="C1378" t="s">
        <v>5846</v>
      </c>
      <c r="D1378" t="s">
        <v>6135</v>
      </c>
      <c r="E1378" t="s">
        <v>6136</v>
      </c>
      <c r="J1378" t="s">
        <v>2732</v>
      </c>
      <c r="M1378" t="e">
        <v>#N/A</v>
      </c>
      <c r="N1378" t="e">
        <v>#N/A</v>
      </c>
      <c r="O1378" t="e">
        <v>#N/A</v>
      </c>
      <c r="P1378" t="e">
        <v>#N/A</v>
      </c>
      <c r="R1378" t="e">
        <v>#N/A</v>
      </c>
      <c r="T1378" t="s">
        <v>5983</v>
      </c>
      <c r="U1378" t="s">
        <v>5983</v>
      </c>
      <c r="V1378" t="s">
        <v>5983</v>
      </c>
      <c r="Y1378" t="s">
        <v>6948</v>
      </c>
      <c r="Z1378" t="s">
        <v>6949</v>
      </c>
      <c r="AA1378" t="s">
        <v>6950</v>
      </c>
      <c r="AB1378" t="s">
        <v>6951</v>
      </c>
      <c r="AC1378" t="s">
        <v>6952</v>
      </c>
      <c r="AD1378" t="s">
        <v>6953</v>
      </c>
    </row>
    <row r="1379" spans="1:30">
      <c r="A1379" t="s">
        <v>4604</v>
      </c>
      <c r="B1379" t="s">
        <v>5119</v>
      </c>
      <c r="C1379" t="s">
        <v>1105</v>
      </c>
      <c r="D1379" t="s">
        <v>6137</v>
      </c>
      <c r="E1379" t="s">
        <v>6138</v>
      </c>
      <c r="J1379" t="s">
        <v>6849</v>
      </c>
      <c r="M1379" t="e">
        <v>#N/A</v>
      </c>
      <c r="N1379" t="e">
        <v>#N/A</v>
      </c>
      <c r="O1379" t="e">
        <v>#N/A</v>
      </c>
      <c r="P1379" t="e">
        <v>#N/A</v>
      </c>
      <c r="R1379" t="e">
        <v>#N/A</v>
      </c>
      <c r="T1379" t="s">
        <v>5983</v>
      </c>
      <c r="U1379" t="s">
        <v>5983</v>
      </c>
      <c r="V1379" t="s">
        <v>5983</v>
      </c>
      <c r="Y1379" t="s">
        <v>6948</v>
      </c>
      <c r="Z1379" t="s">
        <v>6949</v>
      </c>
      <c r="AA1379" t="s">
        <v>6950</v>
      </c>
      <c r="AB1379" t="s">
        <v>6951</v>
      </c>
      <c r="AC1379" t="s">
        <v>6952</v>
      </c>
      <c r="AD1379" t="s">
        <v>6953</v>
      </c>
    </row>
    <row r="1380" spans="1:30">
      <c r="A1380">
        <v>11000421</v>
      </c>
      <c r="B1380" t="s">
        <v>5120</v>
      </c>
      <c r="C1380" t="s">
        <v>1106</v>
      </c>
      <c r="D1380" t="s">
        <v>6137</v>
      </c>
      <c r="E1380" t="s">
        <v>6138</v>
      </c>
      <c r="J1380" t="s">
        <v>6850</v>
      </c>
      <c r="M1380" t="e">
        <v>#N/A</v>
      </c>
      <c r="N1380" t="e">
        <v>#N/A</v>
      </c>
      <c r="O1380" t="e">
        <v>#N/A</v>
      </c>
      <c r="P1380" t="e">
        <v>#N/A</v>
      </c>
      <c r="R1380" t="e">
        <v>#N/A</v>
      </c>
      <c r="T1380" t="s">
        <v>5983</v>
      </c>
      <c r="U1380" t="s">
        <v>5983</v>
      </c>
      <c r="V1380" t="s">
        <v>5983</v>
      </c>
      <c r="Y1380" t="s">
        <v>6948</v>
      </c>
      <c r="Z1380" t="s">
        <v>6949</v>
      </c>
      <c r="AA1380" t="s">
        <v>6950</v>
      </c>
      <c r="AB1380" t="s">
        <v>6951</v>
      </c>
      <c r="AC1380" t="s">
        <v>6952</v>
      </c>
      <c r="AD1380" t="s">
        <v>6953</v>
      </c>
    </row>
    <row r="1381" spans="1:30">
      <c r="A1381">
        <v>11000418</v>
      </c>
      <c r="B1381" t="s">
        <v>5121</v>
      </c>
      <c r="C1381" t="s">
        <v>1107</v>
      </c>
      <c r="D1381" t="s">
        <v>6137</v>
      </c>
      <c r="E1381" t="s">
        <v>6138</v>
      </c>
      <c r="J1381" t="s">
        <v>6851</v>
      </c>
      <c r="M1381" t="e">
        <v>#N/A</v>
      </c>
      <c r="N1381" t="e">
        <v>#N/A</v>
      </c>
      <c r="O1381" t="e">
        <v>#N/A</v>
      </c>
      <c r="P1381" t="e">
        <v>#N/A</v>
      </c>
      <c r="R1381" t="e">
        <v>#N/A</v>
      </c>
      <c r="T1381" t="s">
        <v>5983</v>
      </c>
      <c r="U1381" t="s">
        <v>5983</v>
      </c>
      <c r="V1381" t="s">
        <v>5983</v>
      </c>
      <c r="Y1381" t="s">
        <v>6948</v>
      </c>
      <c r="Z1381" t="s">
        <v>6949</v>
      </c>
      <c r="AA1381" t="s">
        <v>6950</v>
      </c>
      <c r="AB1381" t="s">
        <v>6951</v>
      </c>
      <c r="AC1381" t="s">
        <v>6952</v>
      </c>
      <c r="AD1381" t="s">
        <v>6953</v>
      </c>
    </row>
    <row r="1382" spans="1:30">
      <c r="A1382" t="s">
        <v>4604</v>
      </c>
      <c r="B1382" t="s">
        <v>5122</v>
      </c>
      <c r="C1382" t="s">
        <v>1135</v>
      </c>
      <c r="D1382" t="s">
        <v>6139</v>
      </c>
      <c r="E1382" t="s">
        <v>6140</v>
      </c>
      <c r="J1382" t="s">
        <v>2438</v>
      </c>
      <c r="M1382" t="e">
        <v>#N/A</v>
      </c>
      <c r="N1382" t="e">
        <v>#N/A</v>
      </c>
      <c r="O1382" t="e">
        <v>#N/A</v>
      </c>
      <c r="P1382" t="e">
        <v>#N/A</v>
      </c>
      <c r="R1382" t="e">
        <v>#N/A</v>
      </c>
      <c r="T1382" t="s">
        <v>5983</v>
      </c>
      <c r="U1382" t="s">
        <v>5983</v>
      </c>
      <c r="V1382" t="s">
        <v>5983</v>
      </c>
      <c r="Y1382" t="s">
        <v>6948</v>
      </c>
      <c r="Z1382" t="s">
        <v>6949</v>
      </c>
      <c r="AA1382" t="s">
        <v>6950</v>
      </c>
      <c r="AB1382" t="s">
        <v>6951</v>
      </c>
      <c r="AC1382" t="s">
        <v>6952</v>
      </c>
      <c r="AD1382" t="s">
        <v>6953</v>
      </c>
    </row>
    <row r="1383" spans="1:30">
      <c r="A1383" t="s">
        <v>4604</v>
      </c>
      <c r="B1383" t="s">
        <v>5123</v>
      </c>
      <c r="C1383" t="s">
        <v>1135</v>
      </c>
      <c r="D1383" t="s">
        <v>6139</v>
      </c>
      <c r="E1383" t="s">
        <v>6140</v>
      </c>
      <c r="J1383" t="s">
        <v>2438</v>
      </c>
      <c r="M1383" t="e">
        <v>#N/A</v>
      </c>
      <c r="N1383" t="e">
        <v>#N/A</v>
      </c>
      <c r="O1383" t="e">
        <v>#N/A</v>
      </c>
      <c r="P1383" t="e">
        <v>#N/A</v>
      </c>
      <c r="R1383" t="e">
        <v>#N/A</v>
      </c>
      <c r="T1383" t="s">
        <v>5983</v>
      </c>
      <c r="U1383" t="s">
        <v>5983</v>
      </c>
      <c r="V1383" t="s">
        <v>5983</v>
      </c>
      <c r="Y1383" t="s">
        <v>6948</v>
      </c>
      <c r="Z1383" t="s">
        <v>6949</v>
      </c>
      <c r="AA1383" t="s">
        <v>6950</v>
      </c>
      <c r="AB1383" t="s">
        <v>6951</v>
      </c>
      <c r="AC1383" t="s">
        <v>6952</v>
      </c>
      <c r="AD1383" t="s">
        <v>6953</v>
      </c>
    </row>
    <row r="1384" spans="1:30">
      <c r="A1384">
        <v>11000240</v>
      </c>
      <c r="B1384" t="s">
        <v>5124</v>
      </c>
      <c r="C1384" t="s">
        <v>1136</v>
      </c>
      <c r="D1384" t="s">
        <v>6139</v>
      </c>
      <c r="E1384" t="s">
        <v>6140</v>
      </c>
      <c r="J1384" t="s">
        <v>2440</v>
      </c>
      <c r="M1384" t="e">
        <v>#N/A</v>
      </c>
      <c r="N1384" t="e">
        <v>#N/A</v>
      </c>
      <c r="O1384" t="e">
        <v>#N/A</v>
      </c>
      <c r="P1384" t="e">
        <v>#N/A</v>
      </c>
      <c r="R1384" t="e">
        <v>#N/A</v>
      </c>
      <c r="T1384" t="s">
        <v>5983</v>
      </c>
      <c r="U1384" t="s">
        <v>5983</v>
      </c>
      <c r="V1384" t="s">
        <v>5983</v>
      </c>
      <c r="Y1384" t="s">
        <v>6948</v>
      </c>
      <c r="Z1384" t="s">
        <v>6949</v>
      </c>
      <c r="AA1384" t="s">
        <v>6950</v>
      </c>
      <c r="AB1384" t="s">
        <v>6951</v>
      </c>
      <c r="AC1384" t="s">
        <v>6952</v>
      </c>
      <c r="AD1384" t="s">
        <v>6953</v>
      </c>
    </row>
    <row r="1385" spans="1:30">
      <c r="A1385">
        <v>11000239</v>
      </c>
      <c r="B1385" t="s">
        <v>5125</v>
      </c>
      <c r="C1385" t="s">
        <v>1136</v>
      </c>
      <c r="D1385" t="s">
        <v>6139</v>
      </c>
      <c r="E1385" t="s">
        <v>6140</v>
      </c>
      <c r="J1385" t="s">
        <v>2440</v>
      </c>
      <c r="M1385" t="e">
        <v>#N/A</v>
      </c>
      <c r="N1385" t="e">
        <v>#N/A</v>
      </c>
      <c r="O1385" t="e">
        <v>#N/A</v>
      </c>
      <c r="P1385" t="e">
        <v>#N/A</v>
      </c>
      <c r="R1385" t="e">
        <v>#N/A</v>
      </c>
      <c r="T1385" t="s">
        <v>5983</v>
      </c>
      <c r="U1385" t="s">
        <v>5983</v>
      </c>
      <c r="V1385" t="s">
        <v>5983</v>
      </c>
      <c r="Y1385" t="s">
        <v>6948</v>
      </c>
      <c r="Z1385" t="s">
        <v>6949</v>
      </c>
      <c r="AA1385" t="s">
        <v>6950</v>
      </c>
      <c r="AB1385" t="s">
        <v>6951</v>
      </c>
      <c r="AC1385" t="s">
        <v>6952</v>
      </c>
      <c r="AD1385" t="s">
        <v>6953</v>
      </c>
    </row>
    <row r="1386" spans="1:30">
      <c r="A1386">
        <v>11000237</v>
      </c>
      <c r="B1386" t="s">
        <v>5126</v>
      </c>
      <c r="C1386" t="s">
        <v>961</v>
      </c>
      <c r="D1386" t="s">
        <v>6139</v>
      </c>
      <c r="E1386" t="s">
        <v>6140</v>
      </c>
      <c r="J1386" t="s">
        <v>2441</v>
      </c>
      <c r="M1386" t="e">
        <v>#N/A</v>
      </c>
      <c r="N1386" t="e">
        <v>#N/A</v>
      </c>
      <c r="O1386" t="e">
        <v>#N/A</v>
      </c>
      <c r="P1386" t="e">
        <v>#N/A</v>
      </c>
      <c r="R1386" t="e">
        <v>#N/A</v>
      </c>
      <c r="T1386" t="s">
        <v>5983</v>
      </c>
      <c r="U1386" t="s">
        <v>5983</v>
      </c>
      <c r="V1386" t="s">
        <v>5983</v>
      </c>
      <c r="Y1386" t="s">
        <v>6948</v>
      </c>
      <c r="Z1386" t="s">
        <v>6949</v>
      </c>
      <c r="AA1386" t="s">
        <v>6950</v>
      </c>
      <c r="AB1386" t="s">
        <v>6951</v>
      </c>
      <c r="AC1386" t="s">
        <v>6952</v>
      </c>
      <c r="AD1386" t="s">
        <v>6953</v>
      </c>
    </row>
    <row r="1387" spans="1:30">
      <c r="A1387">
        <v>11000236</v>
      </c>
      <c r="B1387" t="s">
        <v>5127</v>
      </c>
      <c r="C1387" t="s">
        <v>961</v>
      </c>
      <c r="D1387" t="s">
        <v>6139</v>
      </c>
      <c r="E1387" t="s">
        <v>6140</v>
      </c>
      <c r="J1387" t="s">
        <v>2441</v>
      </c>
      <c r="M1387" t="e">
        <v>#N/A</v>
      </c>
      <c r="N1387" t="e">
        <v>#N/A</v>
      </c>
      <c r="O1387" t="e">
        <v>#N/A</v>
      </c>
      <c r="P1387" t="e">
        <v>#N/A</v>
      </c>
      <c r="R1387" t="e">
        <v>#N/A</v>
      </c>
      <c r="T1387" t="s">
        <v>5983</v>
      </c>
      <c r="U1387" t="s">
        <v>5983</v>
      </c>
      <c r="V1387" t="s">
        <v>5983</v>
      </c>
      <c r="Y1387" t="s">
        <v>6948</v>
      </c>
      <c r="Z1387" t="s">
        <v>6949</v>
      </c>
      <c r="AA1387" t="s">
        <v>6950</v>
      </c>
      <c r="AB1387" t="s">
        <v>6951</v>
      </c>
      <c r="AC1387" t="s">
        <v>6952</v>
      </c>
      <c r="AD1387" t="s">
        <v>6953</v>
      </c>
    </row>
    <row r="1388" spans="1:30">
      <c r="A1388" t="s">
        <v>4604</v>
      </c>
      <c r="B1388" t="s">
        <v>5128</v>
      </c>
      <c r="C1388" t="s">
        <v>962</v>
      </c>
      <c r="D1388" t="s">
        <v>6139</v>
      </c>
      <c r="E1388" t="s">
        <v>6140</v>
      </c>
      <c r="J1388" t="s">
        <v>6852</v>
      </c>
      <c r="M1388" t="e">
        <v>#N/A</v>
      </c>
      <c r="N1388" t="e">
        <v>#N/A</v>
      </c>
      <c r="O1388" t="e">
        <v>#N/A</v>
      </c>
      <c r="P1388" t="e">
        <v>#N/A</v>
      </c>
      <c r="R1388" t="e">
        <v>#N/A</v>
      </c>
      <c r="T1388" t="s">
        <v>5983</v>
      </c>
      <c r="U1388" t="s">
        <v>5983</v>
      </c>
      <c r="V1388" t="s">
        <v>5983</v>
      </c>
      <c r="Y1388" t="s">
        <v>6948</v>
      </c>
      <c r="Z1388" t="s">
        <v>6949</v>
      </c>
      <c r="AA1388" t="s">
        <v>6950</v>
      </c>
      <c r="AB1388" t="s">
        <v>6951</v>
      </c>
      <c r="AC1388" t="s">
        <v>6952</v>
      </c>
      <c r="AD1388" t="s">
        <v>6953</v>
      </c>
    </row>
    <row r="1389" spans="1:30">
      <c r="A1389">
        <v>11000234</v>
      </c>
      <c r="B1389" t="s">
        <v>5129</v>
      </c>
      <c r="C1389" t="s">
        <v>962</v>
      </c>
      <c r="D1389" t="s">
        <v>6139</v>
      </c>
      <c r="E1389" t="s">
        <v>6140</v>
      </c>
      <c r="J1389" t="s">
        <v>6852</v>
      </c>
      <c r="M1389" t="e">
        <v>#N/A</v>
      </c>
      <c r="N1389" t="e">
        <v>#N/A</v>
      </c>
      <c r="O1389" t="e">
        <v>#N/A</v>
      </c>
      <c r="P1389" t="e">
        <v>#N/A</v>
      </c>
      <c r="R1389" t="e">
        <v>#N/A</v>
      </c>
      <c r="T1389" t="s">
        <v>5983</v>
      </c>
      <c r="U1389" t="s">
        <v>5983</v>
      </c>
      <c r="V1389" t="s">
        <v>5983</v>
      </c>
      <c r="Y1389" t="s">
        <v>6948</v>
      </c>
      <c r="Z1389" t="s">
        <v>6949</v>
      </c>
      <c r="AA1389" t="s">
        <v>6950</v>
      </c>
      <c r="AB1389" t="s">
        <v>6951</v>
      </c>
      <c r="AC1389" t="s">
        <v>6952</v>
      </c>
      <c r="AD1389" t="s">
        <v>6953</v>
      </c>
    </row>
    <row r="1390" spans="1:30">
      <c r="A1390" t="s">
        <v>4604</v>
      </c>
      <c r="B1390" t="s">
        <v>5130</v>
      </c>
      <c r="C1390" t="s">
        <v>5839</v>
      </c>
      <c r="D1390" t="s">
        <v>6106</v>
      </c>
      <c r="E1390" t="s">
        <v>6107</v>
      </c>
      <c r="J1390" t="s">
        <v>6853</v>
      </c>
      <c r="M1390" t="e">
        <v>#N/A</v>
      </c>
      <c r="N1390" t="e">
        <v>#N/A</v>
      </c>
      <c r="O1390" t="e">
        <v>#N/A</v>
      </c>
      <c r="P1390" t="e">
        <v>#N/A</v>
      </c>
      <c r="R1390" t="e">
        <v>#N/A</v>
      </c>
      <c r="T1390" t="s">
        <v>5983</v>
      </c>
      <c r="U1390" t="s">
        <v>5983</v>
      </c>
      <c r="V1390" t="s">
        <v>5983</v>
      </c>
      <c r="Y1390" t="s">
        <v>6948</v>
      </c>
      <c r="Z1390" t="s">
        <v>6949</v>
      </c>
      <c r="AA1390" t="s">
        <v>6950</v>
      </c>
      <c r="AB1390" t="s">
        <v>6951</v>
      </c>
      <c r="AC1390" t="s">
        <v>6952</v>
      </c>
      <c r="AD1390" t="s">
        <v>6953</v>
      </c>
    </row>
    <row r="1391" spans="1:30">
      <c r="A1391" t="s">
        <v>4604</v>
      </c>
      <c r="B1391" t="s">
        <v>5131</v>
      </c>
      <c r="C1391" t="s">
        <v>5839</v>
      </c>
      <c r="D1391" t="s">
        <v>6106</v>
      </c>
      <c r="E1391" t="s">
        <v>6107</v>
      </c>
      <c r="J1391" t="s">
        <v>5985</v>
      </c>
      <c r="M1391" t="e">
        <v>#N/A</v>
      </c>
      <c r="N1391" t="e">
        <v>#N/A</v>
      </c>
      <c r="O1391" t="e">
        <v>#N/A</v>
      </c>
      <c r="P1391" t="e">
        <v>#N/A</v>
      </c>
      <c r="R1391" t="e">
        <v>#N/A</v>
      </c>
      <c r="T1391" t="s">
        <v>5983</v>
      </c>
      <c r="U1391" t="s">
        <v>5983</v>
      </c>
      <c r="V1391" t="s">
        <v>5983</v>
      </c>
      <c r="Y1391" t="s">
        <v>6948</v>
      </c>
      <c r="Z1391" t="s">
        <v>6949</v>
      </c>
      <c r="AA1391" t="s">
        <v>6950</v>
      </c>
      <c r="AB1391" t="s">
        <v>6951</v>
      </c>
      <c r="AC1391" t="s">
        <v>6952</v>
      </c>
      <c r="AD1391" t="s">
        <v>6953</v>
      </c>
    </row>
    <row r="1392" spans="1:30">
      <c r="A1392" t="s">
        <v>4604</v>
      </c>
      <c r="B1392" t="s">
        <v>5132</v>
      </c>
      <c r="C1392" t="s">
        <v>5840</v>
      </c>
      <c r="D1392" t="s">
        <v>6106</v>
      </c>
      <c r="E1392" t="s">
        <v>6107</v>
      </c>
      <c r="J1392" t="s">
        <v>6854</v>
      </c>
      <c r="M1392" t="e">
        <v>#N/A</v>
      </c>
      <c r="N1392" t="e">
        <v>#N/A</v>
      </c>
      <c r="O1392" t="e">
        <v>#N/A</v>
      </c>
      <c r="P1392" t="e">
        <v>#N/A</v>
      </c>
      <c r="R1392" t="e">
        <v>#N/A</v>
      </c>
      <c r="T1392" t="s">
        <v>5983</v>
      </c>
      <c r="U1392" t="s">
        <v>5983</v>
      </c>
      <c r="V1392" t="s">
        <v>5983</v>
      </c>
      <c r="Y1392" t="s">
        <v>6948</v>
      </c>
      <c r="Z1392" t="s">
        <v>6949</v>
      </c>
      <c r="AA1392" t="s">
        <v>6950</v>
      </c>
      <c r="AB1392" t="s">
        <v>6951</v>
      </c>
      <c r="AC1392" t="s">
        <v>6952</v>
      </c>
      <c r="AD1392" t="s">
        <v>6953</v>
      </c>
    </row>
    <row r="1393" spans="1:30">
      <c r="A1393" t="s">
        <v>4604</v>
      </c>
      <c r="B1393" t="s">
        <v>5133</v>
      </c>
      <c r="C1393" t="s">
        <v>5840</v>
      </c>
      <c r="D1393" t="s">
        <v>6106</v>
      </c>
      <c r="E1393" t="s">
        <v>6107</v>
      </c>
      <c r="J1393" t="s">
        <v>6854</v>
      </c>
      <c r="M1393" t="e">
        <v>#N/A</v>
      </c>
      <c r="N1393" t="e">
        <v>#N/A</v>
      </c>
      <c r="O1393" t="e">
        <v>#N/A</v>
      </c>
      <c r="P1393" t="e">
        <v>#N/A</v>
      </c>
      <c r="R1393" t="e">
        <v>#N/A</v>
      </c>
      <c r="T1393" t="s">
        <v>5983</v>
      </c>
      <c r="U1393" t="s">
        <v>5983</v>
      </c>
      <c r="V1393" t="s">
        <v>5983</v>
      </c>
      <c r="Y1393" t="s">
        <v>6948</v>
      </c>
      <c r="Z1393" t="s">
        <v>6949</v>
      </c>
      <c r="AA1393" t="s">
        <v>6950</v>
      </c>
      <c r="AB1393" t="s">
        <v>6951</v>
      </c>
      <c r="AC1393" t="s">
        <v>6952</v>
      </c>
      <c r="AD1393" t="s">
        <v>6953</v>
      </c>
    </row>
    <row r="1394" spans="1:30">
      <c r="A1394" t="s">
        <v>4604</v>
      </c>
      <c r="B1394" t="s">
        <v>5134</v>
      </c>
      <c r="C1394" t="s">
        <v>963</v>
      </c>
      <c r="D1394" t="s">
        <v>6106</v>
      </c>
      <c r="E1394" t="s">
        <v>6107</v>
      </c>
      <c r="J1394" t="s">
        <v>2442</v>
      </c>
      <c r="M1394" t="e">
        <v>#N/A</v>
      </c>
      <c r="N1394" t="e">
        <v>#N/A</v>
      </c>
      <c r="O1394" t="e">
        <v>#N/A</v>
      </c>
      <c r="P1394" t="e">
        <v>#N/A</v>
      </c>
      <c r="R1394" t="e">
        <v>#N/A</v>
      </c>
      <c r="T1394" t="s">
        <v>5983</v>
      </c>
      <c r="U1394" t="s">
        <v>5983</v>
      </c>
      <c r="V1394" t="s">
        <v>5983</v>
      </c>
      <c r="Y1394" t="s">
        <v>6948</v>
      </c>
      <c r="Z1394" t="s">
        <v>6949</v>
      </c>
      <c r="AA1394" t="s">
        <v>6950</v>
      </c>
      <c r="AB1394" t="s">
        <v>6951</v>
      </c>
      <c r="AC1394" t="s">
        <v>6952</v>
      </c>
      <c r="AD1394" t="s">
        <v>6953</v>
      </c>
    </row>
    <row r="1395" spans="1:30">
      <c r="A1395">
        <v>11000231</v>
      </c>
      <c r="B1395" t="s">
        <v>5135</v>
      </c>
      <c r="C1395" t="s">
        <v>963</v>
      </c>
      <c r="D1395" t="s">
        <v>6106</v>
      </c>
      <c r="E1395" t="s">
        <v>6107</v>
      </c>
      <c r="J1395" t="s">
        <v>2442</v>
      </c>
      <c r="M1395" t="e">
        <v>#N/A</v>
      </c>
      <c r="N1395" t="e">
        <v>#N/A</v>
      </c>
      <c r="O1395" t="e">
        <v>#N/A</v>
      </c>
      <c r="P1395" t="e">
        <v>#N/A</v>
      </c>
      <c r="R1395" t="e">
        <v>#N/A</v>
      </c>
      <c r="T1395" t="s">
        <v>5983</v>
      </c>
      <c r="U1395" t="s">
        <v>5983</v>
      </c>
      <c r="V1395" t="s">
        <v>5983</v>
      </c>
      <c r="Y1395" t="s">
        <v>6948</v>
      </c>
      <c r="Z1395" t="s">
        <v>6949</v>
      </c>
      <c r="AA1395" t="s">
        <v>6950</v>
      </c>
      <c r="AB1395" t="s">
        <v>6951</v>
      </c>
      <c r="AC1395" t="s">
        <v>6952</v>
      </c>
      <c r="AD1395" t="s">
        <v>6953</v>
      </c>
    </row>
    <row r="1396" spans="1:30">
      <c r="A1396">
        <v>11000229</v>
      </c>
      <c r="B1396" t="s">
        <v>5136</v>
      </c>
      <c r="C1396" t="s">
        <v>964</v>
      </c>
      <c r="D1396" t="s">
        <v>6106</v>
      </c>
      <c r="E1396" t="s">
        <v>6107</v>
      </c>
      <c r="J1396" t="s">
        <v>2443</v>
      </c>
      <c r="M1396" t="e">
        <v>#N/A</v>
      </c>
      <c r="N1396" t="e">
        <v>#N/A</v>
      </c>
      <c r="O1396" t="e">
        <v>#N/A</v>
      </c>
      <c r="P1396" t="e">
        <v>#N/A</v>
      </c>
      <c r="R1396" t="e">
        <v>#N/A</v>
      </c>
      <c r="T1396" t="s">
        <v>5983</v>
      </c>
      <c r="U1396" t="s">
        <v>5983</v>
      </c>
      <c r="V1396" t="s">
        <v>5983</v>
      </c>
      <c r="Y1396" t="s">
        <v>6948</v>
      </c>
      <c r="Z1396" t="s">
        <v>6949</v>
      </c>
      <c r="AA1396" t="s">
        <v>6950</v>
      </c>
      <c r="AB1396" t="s">
        <v>6951</v>
      </c>
      <c r="AC1396" t="s">
        <v>6952</v>
      </c>
      <c r="AD1396" t="s">
        <v>6953</v>
      </c>
    </row>
    <row r="1397" spans="1:30">
      <c r="A1397" t="s">
        <v>4604</v>
      </c>
      <c r="B1397" t="s">
        <v>5137</v>
      </c>
      <c r="C1397" t="s">
        <v>964</v>
      </c>
      <c r="D1397" t="s">
        <v>6141</v>
      </c>
      <c r="E1397" t="s">
        <v>6107</v>
      </c>
      <c r="J1397" t="s">
        <v>2443</v>
      </c>
      <c r="M1397" t="e">
        <v>#N/A</v>
      </c>
      <c r="N1397" t="e">
        <v>#N/A</v>
      </c>
      <c r="O1397" t="e">
        <v>#N/A</v>
      </c>
      <c r="P1397" t="e">
        <v>#N/A</v>
      </c>
      <c r="R1397" t="e">
        <v>#N/A</v>
      </c>
      <c r="T1397" t="s">
        <v>5983</v>
      </c>
      <c r="U1397" t="s">
        <v>5983</v>
      </c>
      <c r="V1397" t="s">
        <v>5983</v>
      </c>
      <c r="Y1397" t="s">
        <v>6948</v>
      </c>
      <c r="Z1397" t="s">
        <v>6949</v>
      </c>
      <c r="AA1397" t="s">
        <v>6950</v>
      </c>
      <c r="AB1397" t="s">
        <v>6951</v>
      </c>
      <c r="AC1397" t="s">
        <v>6952</v>
      </c>
      <c r="AD1397" t="s">
        <v>6953</v>
      </c>
    </row>
    <row r="1398" spans="1:30">
      <c r="A1398">
        <v>11005130</v>
      </c>
      <c r="B1398" t="s">
        <v>5138</v>
      </c>
      <c r="C1398" t="s">
        <v>1081</v>
      </c>
      <c r="D1398" t="s">
        <v>6142</v>
      </c>
      <c r="E1398" t="s">
        <v>6143</v>
      </c>
      <c r="J1398" t="s">
        <v>2750</v>
      </c>
      <c r="M1398" t="e">
        <v>#N/A</v>
      </c>
      <c r="N1398" t="e">
        <v>#N/A</v>
      </c>
      <c r="O1398" t="e">
        <v>#N/A</v>
      </c>
      <c r="P1398" t="e">
        <v>#N/A</v>
      </c>
      <c r="R1398" t="e">
        <v>#N/A</v>
      </c>
      <c r="T1398" t="s">
        <v>5983</v>
      </c>
      <c r="U1398" t="s">
        <v>5983</v>
      </c>
      <c r="V1398" t="s">
        <v>5983</v>
      </c>
      <c r="Y1398" t="s">
        <v>6948</v>
      </c>
      <c r="Z1398" t="s">
        <v>6949</v>
      </c>
      <c r="AA1398" t="s">
        <v>6950</v>
      </c>
      <c r="AB1398" t="s">
        <v>6951</v>
      </c>
      <c r="AC1398" t="s">
        <v>6952</v>
      </c>
      <c r="AD1398" t="s">
        <v>6953</v>
      </c>
    </row>
    <row r="1399" spans="1:30">
      <c r="A1399">
        <v>11007014</v>
      </c>
      <c r="B1399" t="s">
        <v>5139</v>
      </c>
      <c r="C1399" t="s">
        <v>5734</v>
      </c>
      <c r="D1399" t="s">
        <v>6016</v>
      </c>
      <c r="E1399" t="s">
        <v>6017</v>
      </c>
      <c r="J1399" t="s">
        <v>6647</v>
      </c>
      <c r="M1399" t="e">
        <v>#N/A</v>
      </c>
      <c r="N1399" t="e">
        <v>#N/A</v>
      </c>
      <c r="O1399" t="e">
        <v>#N/A</v>
      </c>
      <c r="P1399" t="e">
        <v>#N/A</v>
      </c>
      <c r="R1399" t="e">
        <v>#N/A</v>
      </c>
      <c r="T1399" t="s">
        <v>5983</v>
      </c>
      <c r="U1399" t="s">
        <v>5983</v>
      </c>
      <c r="V1399" t="s">
        <v>5983</v>
      </c>
      <c r="Y1399" t="s">
        <v>6948</v>
      </c>
      <c r="Z1399" t="s">
        <v>6949</v>
      </c>
      <c r="AA1399" t="s">
        <v>6950</v>
      </c>
      <c r="AB1399" t="s">
        <v>6951</v>
      </c>
      <c r="AC1399" t="s">
        <v>6952</v>
      </c>
      <c r="AD1399" t="s">
        <v>6953</v>
      </c>
    </row>
    <row r="1400" spans="1:30">
      <c r="A1400">
        <v>11007086</v>
      </c>
      <c r="B1400" t="s">
        <v>5140</v>
      </c>
      <c r="C1400" t="s">
        <v>5685</v>
      </c>
      <c r="D1400" t="s">
        <v>5994</v>
      </c>
      <c r="E1400" t="s">
        <v>5995</v>
      </c>
      <c r="J1400" t="s">
        <v>6599</v>
      </c>
      <c r="M1400" t="e">
        <v>#N/A</v>
      </c>
      <c r="N1400" t="e">
        <v>#N/A</v>
      </c>
      <c r="O1400" t="e">
        <v>#N/A</v>
      </c>
      <c r="P1400" t="e">
        <v>#N/A</v>
      </c>
      <c r="R1400" t="e">
        <v>#N/A</v>
      </c>
      <c r="T1400" t="s">
        <v>5983</v>
      </c>
      <c r="U1400" t="s">
        <v>5983</v>
      </c>
      <c r="V1400" t="s">
        <v>5983</v>
      </c>
      <c r="Y1400" t="s">
        <v>6948</v>
      </c>
      <c r="Z1400" t="s">
        <v>6949</v>
      </c>
      <c r="AA1400" t="s">
        <v>6950</v>
      </c>
      <c r="AB1400" t="s">
        <v>6951</v>
      </c>
      <c r="AC1400" t="s">
        <v>6952</v>
      </c>
      <c r="AD1400" t="s">
        <v>6953</v>
      </c>
    </row>
    <row r="1401" spans="1:30">
      <c r="A1401" t="s">
        <v>4604</v>
      </c>
      <c r="B1401" t="s">
        <v>5141</v>
      </c>
      <c r="C1401" t="s">
        <v>5735</v>
      </c>
      <c r="D1401" t="s">
        <v>6016</v>
      </c>
      <c r="E1401" t="s">
        <v>6017</v>
      </c>
      <c r="J1401" t="s">
        <v>6648</v>
      </c>
      <c r="M1401" t="e">
        <v>#N/A</v>
      </c>
      <c r="N1401" t="e">
        <v>#N/A</v>
      </c>
      <c r="O1401" t="e">
        <v>#N/A</v>
      </c>
      <c r="P1401" t="e">
        <v>#N/A</v>
      </c>
      <c r="R1401" t="e">
        <v>#N/A</v>
      </c>
      <c r="T1401" t="s">
        <v>5983</v>
      </c>
      <c r="U1401" t="s">
        <v>5983</v>
      </c>
      <c r="V1401" t="s">
        <v>5983</v>
      </c>
      <c r="Y1401" t="s">
        <v>6948</v>
      </c>
      <c r="Z1401" t="s">
        <v>6949</v>
      </c>
      <c r="AA1401" t="s">
        <v>6950</v>
      </c>
      <c r="AB1401" t="s">
        <v>6951</v>
      </c>
      <c r="AC1401" t="s">
        <v>6952</v>
      </c>
      <c r="AD1401" t="s">
        <v>6953</v>
      </c>
    </row>
    <row r="1402" spans="1:30">
      <c r="A1402" t="s">
        <v>4604</v>
      </c>
      <c r="B1402" t="s">
        <v>5142</v>
      </c>
      <c r="C1402" t="s">
        <v>5686</v>
      </c>
      <c r="D1402" t="s">
        <v>5994</v>
      </c>
      <c r="E1402" t="s">
        <v>5995</v>
      </c>
      <c r="J1402" t="s">
        <v>6600</v>
      </c>
      <c r="M1402" t="e">
        <v>#N/A</v>
      </c>
      <c r="N1402" t="e">
        <v>#N/A</v>
      </c>
      <c r="O1402" t="e">
        <v>#N/A</v>
      </c>
      <c r="P1402" t="e">
        <v>#N/A</v>
      </c>
      <c r="R1402" t="e">
        <v>#N/A</v>
      </c>
      <c r="T1402" t="s">
        <v>5983</v>
      </c>
      <c r="U1402" t="s">
        <v>5983</v>
      </c>
      <c r="V1402" t="s">
        <v>5983</v>
      </c>
      <c r="Y1402" t="s">
        <v>6948</v>
      </c>
      <c r="Z1402" t="s">
        <v>6949</v>
      </c>
      <c r="AA1402" t="s">
        <v>6950</v>
      </c>
      <c r="AB1402" t="s">
        <v>6951</v>
      </c>
      <c r="AC1402" t="s">
        <v>6952</v>
      </c>
      <c r="AD1402" t="s">
        <v>6953</v>
      </c>
    </row>
    <row r="1403" spans="1:30">
      <c r="A1403">
        <v>11006980</v>
      </c>
      <c r="B1403" t="s">
        <v>5143</v>
      </c>
      <c r="C1403" t="s">
        <v>5767</v>
      </c>
      <c r="D1403" t="s">
        <v>6016</v>
      </c>
      <c r="E1403" t="s">
        <v>6017</v>
      </c>
      <c r="J1403" t="s">
        <v>6685</v>
      </c>
      <c r="M1403" t="e">
        <v>#N/A</v>
      </c>
      <c r="N1403" t="e">
        <v>#N/A</v>
      </c>
      <c r="O1403" t="e">
        <v>#N/A</v>
      </c>
      <c r="P1403" t="e">
        <v>#N/A</v>
      </c>
      <c r="R1403" t="e">
        <v>#N/A</v>
      </c>
      <c r="T1403" t="s">
        <v>5983</v>
      </c>
      <c r="U1403" t="s">
        <v>5983</v>
      </c>
      <c r="V1403" t="s">
        <v>5983</v>
      </c>
      <c r="Y1403" t="s">
        <v>6948</v>
      </c>
      <c r="Z1403" t="s">
        <v>6949</v>
      </c>
      <c r="AA1403" t="s">
        <v>6950</v>
      </c>
      <c r="AB1403" t="s">
        <v>6951</v>
      </c>
      <c r="AC1403" t="s">
        <v>6952</v>
      </c>
      <c r="AD1403" t="s">
        <v>6953</v>
      </c>
    </row>
    <row r="1404" spans="1:30">
      <c r="A1404" t="s">
        <v>4604</v>
      </c>
      <c r="B1404" t="s">
        <v>5144</v>
      </c>
      <c r="C1404" t="s">
        <v>5687</v>
      </c>
      <c r="D1404" t="s">
        <v>5994</v>
      </c>
      <c r="E1404" t="s">
        <v>5995</v>
      </c>
      <c r="J1404" t="s">
        <v>6601</v>
      </c>
      <c r="M1404" t="e">
        <v>#N/A</v>
      </c>
      <c r="N1404" t="e">
        <v>#N/A</v>
      </c>
      <c r="O1404" t="e">
        <v>#N/A</v>
      </c>
      <c r="P1404" t="e">
        <v>#N/A</v>
      </c>
      <c r="R1404" t="e">
        <v>#N/A</v>
      </c>
      <c r="T1404" t="s">
        <v>5983</v>
      </c>
      <c r="U1404" t="s">
        <v>5983</v>
      </c>
      <c r="V1404" t="s">
        <v>5983</v>
      </c>
      <c r="Y1404" t="s">
        <v>6948</v>
      </c>
      <c r="Z1404" t="s">
        <v>6949</v>
      </c>
      <c r="AA1404" t="s">
        <v>6950</v>
      </c>
      <c r="AB1404" t="s">
        <v>6951</v>
      </c>
      <c r="AC1404" t="s">
        <v>6952</v>
      </c>
      <c r="AD1404" t="s">
        <v>6953</v>
      </c>
    </row>
    <row r="1405" spans="1:30">
      <c r="A1405" t="s">
        <v>4604</v>
      </c>
      <c r="B1405" t="s">
        <v>5145</v>
      </c>
      <c r="C1405" t="s">
        <v>5768</v>
      </c>
      <c r="D1405" t="s">
        <v>6016</v>
      </c>
      <c r="E1405" t="s">
        <v>6017</v>
      </c>
      <c r="J1405" t="s">
        <v>6686</v>
      </c>
      <c r="M1405" t="e">
        <v>#N/A</v>
      </c>
      <c r="N1405" t="e">
        <v>#N/A</v>
      </c>
      <c r="O1405" t="e">
        <v>#N/A</v>
      </c>
      <c r="P1405" t="e">
        <v>#N/A</v>
      </c>
      <c r="R1405" t="e">
        <v>#N/A</v>
      </c>
      <c r="T1405" t="s">
        <v>5983</v>
      </c>
      <c r="U1405" t="s">
        <v>5983</v>
      </c>
      <c r="V1405" t="s">
        <v>5983</v>
      </c>
      <c r="Y1405" t="s">
        <v>6948</v>
      </c>
      <c r="Z1405" t="s">
        <v>6949</v>
      </c>
      <c r="AA1405" t="s">
        <v>6950</v>
      </c>
      <c r="AB1405" t="s">
        <v>6951</v>
      </c>
      <c r="AC1405" t="s">
        <v>6952</v>
      </c>
      <c r="AD1405" t="s">
        <v>6953</v>
      </c>
    </row>
    <row r="1406" spans="1:30">
      <c r="A1406">
        <v>11006836</v>
      </c>
      <c r="B1406" t="s">
        <v>5146</v>
      </c>
      <c r="C1406" t="s">
        <v>1083</v>
      </c>
      <c r="D1406" t="s">
        <v>6037</v>
      </c>
      <c r="E1406" t="s">
        <v>6038</v>
      </c>
      <c r="J1406" t="s">
        <v>6715</v>
      </c>
      <c r="M1406" t="e">
        <v>#N/A</v>
      </c>
      <c r="N1406" t="e">
        <v>#N/A</v>
      </c>
      <c r="O1406" t="e">
        <v>#N/A</v>
      </c>
      <c r="P1406" t="e">
        <v>#N/A</v>
      </c>
      <c r="R1406" t="e">
        <v>#N/A</v>
      </c>
      <c r="T1406" t="s">
        <v>5983</v>
      </c>
      <c r="U1406" t="s">
        <v>5983</v>
      </c>
      <c r="V1406" t="s">
        <v>5983</v>
      </c>
      <c r="Y1406" t="s">
        <v>6948</v>
      </c>
      <c r="Z1406" t="s">
        <v>6949</v>
      </c>
      <c r="AA1406" t="s">
        <v>6950</v>
      </c>
      <c r="AB1406" t="s">
        <v>6951</v>
      </c>
      <c r="AC1406" t="s">
        <v>6952</v>
      </c>
      <c r="AD1406" t="s">
        <v>6953</v>
      </c>
    </row>
    <row r="1407" spans="1:30">
      <c r="A1407">
        <v>11006834</v>
      </c>
      <c r="B1407" t="s">
        <v>5147</v>
      </c>
      <c r="C1407" t="s">
        <v>1081</v>
      </c>
      <c r="D1407" t="s">
        <v>6037</v>
      </c>
      <c r="E1407" t="s">
        <v>6038</v>
      </c>
      <c r="J1407" t="s">
        <v>6716</v>
      </c>
      <c r="M1407" t="e">
        <v>#N/A</v>
      </c>
      <c r="N1407" t="e">
        <v>#N/A</v>
      </c>
      <c r="O1407" t="e">
        <v>#N/A</v>
      </c>
      <c r="P1407" t="e">
        <v>#N/A</v>
      </c>
      <c r="R1407" t="e">
        <v>#N/A</v>
      </c>
      <c r="T1407" t="s">
        <v>5983</v>
      </c>
      <c r="U1407" t="s">
        <v>5983</v>
      </c>
      <c r="V1407" t="s">
        <v>5983</v>
      </c>
      <c r="Y1407" t="s">
        <v>6948</v>
      </c>
      <c r="Z1407" t="s">
        <v>6949</v>
      </c>
      <c r="AA1407" t="s">
        <v>6950</v>
      </c>
      <c r="AB1407" t="s">
        <v>6951</v>
      </c>
      <c r="AC1407" t="s">
        <v>6952</v>
      </c>
      <c r="AD1407" t="s">
        <v>6953</v>
      </c>
    </row>
    <row r="1408" spans="1:30">
      <c r="A1408" t="s">
        <v>4604</v>
      </c>
      <c r="B1408" t="s">
        <v>5148</v>
      </c>
      <c r="C1408" t="s">
        <v>1177</v>
      </c>
      <c r="D1408" t="s">
        <v>5953</v>
      </c>
      <c r="E1408" t="s">
        <v>5952</v>
      </c>
      <c r="J1408" t="s">
        <v>6524</v>
      </c>
      <c r="M1408" t="e">
        <v>#N/A</v>
      </c>
      <c r="N1408" t="e">
        <v>#N/A</v>
      </c>
      <c r="O1408" t="e">
        <v>#N/A</v>
      </c>
      <c r="P1408" t="e">
        <v>#N/A</v>
      </c>
      <c r="R1408" t="e">
        <v>#N/A</v>
      </c>
      <c r="T1408" t="s">
        <v>6926</v>
      </c>
      <c r="U1408" t="s">
        <v>6938</v>
      </c>
      <c r="V1408" t="s">
        <v>5983</v>
      </c>
      <c r="Y1408" t="s">
        <v>6948</v>
      </c>
      <c r="Z1408" t="s">
        <v>6949</v>
      </c>
      <c r="AA1408" t="s">
        <v>6950</v>
      </c>
      <c r="AB1408" t="s">
        <v>6951</v>
      </c>
      <c r="AC1408" t="s">
        <v>6952</v>
      </c>
      <c r="AD1408" t="s">
        <v>6953</v>
      </c>
    </row>
    <row r="1409" spans="1:30">
      <c r="A1409" t="s">
        <v>4604</v>
      </c>
      <c r="B1409" t="s">
        <v>5149</v>
      </c>
      <c r="C1409" t="s">
        <v>1081</v>
      </c>
      <c r="D1409" t="s">
        <v>5953</v>
      </c>
      <c r="E1409" t="s">
        <v>5952</v>
      </c>
      <c r="J1409" t="s">
        <v>6525</v>
      </c>
      <c r="M1409" t="e">
        <v>#N/A</v>
      </c>
      <c r="N1409" t="e">
        <v>#N/A</v>
      </c>
      <c r="O1409" t="e">
        <v>#N/A</v>
      </c>
      <c r="P1409" t="e">
        <v>#N/A</v>
      </c>
      <c r="R1409" t="e">
        <v>#N/A</v>
      </c>
      <c r="T1409" t="s">
        <v>6927</v>
      </c>
      <c r="U1409" t="s">
        <v>6939</v>
      </c>
      <c r="V1409" t="s">
        <v>5983</v>
      </c>
      <c r="Y1409" t="s">
        <v>6948</v>
      </c>
      <c r="Z1409" t="s">
        <v>6949</v>
      </c>
      <c r="AA1409" t="s">
        <v>6950</v>
      </c>
      <c r="AB1409" t="s">
        <v>6951</v>
      </c>
      <c r="AC1409" t="s">
        <v>6952</v>
      </c>
      <c r="AD1409" t="s">
        <v>6953</v>
      </c>
    </row>
    <row r="1410" spans="1:30">
      <c r="A1410" t="s">
        <v>4604</v>
      </c>
      <c r="B1410" t="s">
        <v>5150</v>
      </c>
      <c r="C1410" t="s">
        <v>5817</v>
      </c>
      <c r="D1410" t="s">
        <v>6049</v>
      </c>
      <c r="E1410" t="s">
        <v>6050</v>
      </c>
      <c r="J1410" t="s">
        <v>6744</v>
      </c>
      <c r="M1410" t="e">
        <v>#N/A</v>
      </c>
      <c r="N1410" t="e">
        <v>#N/A</v>
      </c>
      <c r="O1410" t="e">
        <v>#N/A</v>
      </c>
      <c r="P1410" t="e">
        <v>#N/A</v>
      </c>
      <c r="R1410" t="e">
        <v>#N/A</v>
      </c>
      <c r="T1410" t="s">
        <v>5983</v>
      </c>
      <c r="U1410" t="s">
        <v>5983</v>
      </c>
      <c r="V1410" t="s">
        <v>5983</v>
      </c>
      <c r="Y1410" t="s">
        <v>6948</v>
      </c>
      <c r="Z1410" t="s">
        <v>6949</v>
      </c>
      <c r="AA1410" t="s">
        <v>6950</v>
      </c>
      <c r="AB1410" t="s">
        <v>6951</v>
      </c>
      <c r="AC1410" t="s">
        <v>6952</v>
      </c>
      <c r="AD1410" t="s">
        <v>6953</v>
      </c>
    </row>
    <row r="1411" spans="1:30">
      <c r="A1411" t="s">
        <v>4604</v>
      </c>
      <c r="B1411" t="s">
        <v>5151</v>
      </c>
      <c r="C1411" t="s">
        <v>1308</v>
      </c>
      <c r="D1411" t="s">
        <v>6144</v>
      </c>
      <c r="E1411" t="s">
        <v>6050</v>
      </c>
      <c r="J1411" t="s">
        <v>6745</v>
      </c>
      <c r="M1411" t="e">
        <v>#N/A</v>
      </c>
      <c r="N1411" t="e">
        <v>#N/A</v>
      </c>
      <c r="O1411" t="e">
        <v>#N/A</v>
      </c>
      <c r="P1411" t="e">
        <v>#N/A</v>
      </c>
      <c r="R1411" t="e">
        <v>#N/A</v>
      </c>
      <c r="T1411" t="s">
        <v>5983</v>
      </c>
      <c r="U1411" t="s">
        <v>5983</v>
      </c>
      <c r="V1411" t="s">
        <v>5983</v>
      </c>
      <c r="Y1411" t="s">
        <v>6948</v>
      </c>
      <c r="Z1411" t="s">
        <v>6949</v>
      </c>
      <c r="AA1411" t="s">
        <v>6950</v>
      </c>
      <c r="AB1411" t="s">
        <v>6951</v>
      </c>
      <c r="AC1411" t="s">
        <v>6952</v>
      </c>
      <c r="AD1411" t="s">
        <v>6953</v>
      </c>
    </row>
    <row r="1412" spans="1:30">
      <c r="A1412" t="s">
        <v>4604</v>
      </c>
      <c r="B1412" t="s">
        <v>5152</v>
      </c>
      <c r="C1412" t="s">
        <v>5725</v>
      </c>
      <c r="D1412" t="s">
        <v>6145</v>
      </c>
      <c r="E1412" t="s">
        <v>6011</v>
      </c>
      <c r="J1412" t="s">
        <v>6638</v>
      </c>
      <c r="M1412" t="e">
        <v>#N/A</v>
      </c>
      <c r="N1412" t="e">
        <v>#N/A</v>
      </c>
      <c r="O1412" t="e">
        <v>#N/A</v>
      </c>
      <c r="P1412" t="e">
        <v>#N/A</v>
      </c>
      <c r="R1412" t="e">
        <v>#N/A</v>
      </c>
      <c r="T1412" t="s">
        <v>5983</v>
      </c>
      <c r="U1412" t="s">
        <v>5983</v>
      </c>
      <c r="V1412" t="s">
        <v>5983</v>
      </c>
      <c r="Y1412" t="s">
        <v>6948</v>
      </c>
      <c r="Z1412" t="s">
        <v>6949</v>
      </c>
      <c r="AA1412" t="s">
        <v>6950</v>
      </c>
      <c r="AB1412" t="s">
        <v>6951</v>
      </c>
      <c r="AC1412" t="s">
        <v>6952</v>
      </c>
      <c r="AD1412" t="s">
        <v>6953</v>
      </c>
    </row>
    <row r="1413" spans="1:30">
      <c r="A1413" t="s">
        <v>4604</v>
      </c>
      <c r="B1413" t="s">
        <v>5153</v>
      </c>
      <c r="C1413" t="s">
        <v>5721</v>
      </c>
      <c r="D1413" t="s">
        <v>6008</v>
      </c>
      <c r="E1413" t="s">
        <v>6009</v>
      </c>
      <c r="J1413" t="s">
        <v>6635</v>
      </c>
      <c r="M1413" t="e">
        <v>#N/A</v>
      </c>
      <c r="N1413" t="e">
        <v>#N/A</v>
      </c>
      <c r="O1413" t="e">
        <v>#N/A</v>
      </c>
      <c r="P1413" t="e">
        <v>#N/A</v>
      </c>
      <c r="R1413" t="e">
        <v>#N/A</v>
      </c>
      <c r="T1413" t="s">
        <v>5983</v>
      </c>
      <c r="U1413" t="s">
        <v>5983</v>
      </c>
      <c r="V1413" t="s">
        <v>5983</v>
      </c>
      <c r="Y1413" t="s">
        <v>6948</v>
      </c>
      <c r="Z1413" t="s">
        <v>6949</v>
      </c>
      <c r="AA1413" t="s">
        <v>6950</v>
      </c>
      <c r="AB1413" t="s">
        <v>6951</v>
      </c>
      <c r="AC1413" t="s">
        <v>6952</v>
      </c>
      <c r="AD1413" t="s">
        <v>6953</v>
      </c>
    </row>
    <row r="1414" spans="1:30">
      <c r="A1414" t="s">
        <v>4604</v>
      </c>
      <c r="B1414" t="s">
        <v>5154</v>
      </c>
      <c r="C1414" t="s">
        <v>5697</v>
      </c>
      <c r="D1414" t="s">
        <v>6146</v>
      </c>
      <c r="E1414" t="s">
        <v>6003</v>
      </c>
      <c r="J1414" t="s">
        <v>6614</v>
      </c>
      <c r="M1414" t="e">
        <v>#N/A</v>
      </c>
      <c r="N1414" t="e">
        <v>#N/A</v>
      </c>
      <c r="O1414" t="e">
        <v>#N/A</v>
      </c>
      <c r="P1414" t="e">
        <v>#N/A</v>
      </c>
      <c r="R1414" t="e">
        <v>#N/A</v>
      </c>
      <c r="T1414" t="s">
        <v>5983</v>
      </c>
      <c r="U1414" t="s">
        <v>5983</v>
      </c>
      <c r="V1414" t="s">
        <v>5983</v>
      </c>
      <c r="Y1414" t="s">
        <v>6948</v>
      </c>
      <c r="Z1414" t="s">
        <v>6949</v>
      </c>
      <c r="AA1414" t="s">
        <v>6950</v>
      </c>
      <c r="AB1414" t="s">
        <v>6951</v>
      </c>
      <c r="AC1414" t="s">
        <v>6952</v>
      </c>
      <c r="AD1414" t="s">
        <v>6953</v>
      </c>
    </row>
    <row r="1415" spans="1:30">
      <c r="A1415" t="s">
        <v>4604</v>
      </c>
      <c r="B1415" t="s">
        <v>5155</v>
      </c>
      <c r="C1415" t="s">
        <v>5688</v>
      </c>
      <c r="D1415" t="s">
        <v>5996</v>
      </c>
      <c r="E1415" t="s">
        <v>5997</v>
      </c>
      <c r="J1415" t="s">
        <v>6855</v>
      </c>
      <c r="M1415" t="e">
        <v>#N/A</v>
      </c>
      <c r="N1415" t="e">
        <v>#N/A</v>
      </c>
      <c r="O1415" t="e">
        <v>#N/A</v>
      </c>
      <c r="P1415" t="e">
        <v>#N/A</v>
      </c>
      <c r="R1415" t="e">
        <v>#N/A</v>
      </c>
      <c r="T1415" t="s">
        <v>5983</v>
      </c>
      <c r="U1415" t="s">
        <v>5983</v>
      </c>
      <c r="V1415" t="s">
        <v>5983</v>
      </c>
      <c r="Y1415" t="s">
        <v>6948</v>
      </c>
      <c r="Z1415" t="s">
        <v>6949</v>
      </c>
      <c r="AA1415" t="s">
        <v>6950</v>
      </c>
      <c r="AB1415" t="s">
        <v>6951</v>
      </c>
      <c r="AC1415" t="s">
        <v>6952</v>
      </c>
      <c r="AD1415" t="s">
        <v>6953</v>
      </c>
    </row>
    <row r="1416" spans="1:30">
      <c r="A1416">
        <v>11007072</v>
      </c>
      <c r="B1416" t="s">
        <v>5156</v>
      </c>
      <c r="C1416" t="s">
        <v>5674</v>
      </c>
      <c r="D1416" t="s">
        <v>6147</v>
      </c>
      <c r="E1416" t="s">
        <v>5999</v>
      </c>
      <c r="J1416" t="s">
        <v>6606</v>
      </c>
      <c r="M1416" t="e">
        <v>#N/A</v>
      </c>
      <c r="N1416" t="e">
        <v>#N/A</v>
      </c>
      <c r="O1416" t="e">
        <v>#N/A</v>
      </c>
      <c r="P1416" t="e">
        <v>#N/A</v>
      </c>
      <c r="R1416" t="e">
        <v>#N/A</v>
      </c>
      <c r="T1416" t="s">
        <v>5983</v>
      </c>
      <c r="U1416" t="s">
        <v>5983</v>
      </c>
      <c r="V1416" t="s">
        <v>5983</v>
      </c>
      <c r="Y1416" t="s">
        <v>6948</v>
      </c>
      <c r="Z1416" t="s">
        <v>6949</v>
      </c>
      <c r="AA1416" t="s">
        <v>6950</v>
      </c>
      <c r="AB1416" t="s">
        <v>6951</v>
      </c>
      <c r="AC1416" t="s">
        <v>6952</v>
      </c>
      <c r="AD1416" t="s">
        <v>6953</v>
      </c>
    </row>
    <row r="1417" spans="1:30">
      <c r="A1417">
        <v>11006853</v>
      </c>
      <c r="B1417" t="s">
        <v>5157</v>
      </c>
      <c r="C1417" t="s">
        <v>5793</v>
      </c>
      <c r="D1417" t="s">
        <v>6148</v>
      </c>
      <c r="E1417" t="s">
        <v>6032</v>
      </c>
      <c r="J1417" t="s">
        <v>6703</v>
      </c>
      <c r="M1417" t="e">
        <v>#N/A</v>
      </c>
      <c r="N1417" t="e">
        <v>#N/A</v>
      </c>
      <c r="O1417" t="e">
        <v>#N/A</v>
      </c>
      <c r="P1417" t="e">
        <v>#N/A</v>
      </c>
      <c r="R1417" t="e">
        <v>#N/A</v>
      </c>
      <c r="T1417" t="s">
        <v>5983</v>
      </c>
      <c r="U1417" t="s">
        <v>5983</v>
      </c>
      <c r="V1417" t="s">
        <v>5983</v>
      </c>
      <c r="Y1417" t="s">
        <v>6948</v>
      </c>
      <c r="Z1417" t="s">
        <v>6949</v>
      </c>
      <c r="AA1417" t="s">
        <v>6950</v>
      </c>
      <c r="AB1417" t="s">
        <v>6951</v>
      </c>
      <c r="AC1417" t="s">
        <v>6952</v>
      </c>
      <c r="AD1417" t="s">
        <v>6953</v>
      </c>
    </row>
    <row r="1418" spans="1:30">
      <c r="A1418" t="s">
        <v>4604</v>
      </c>
      <c r="B1418" t="s">
        <v>5158</v>
      </c>
      <c r="C1418" t="s">
        <v>5793</v>
      </c>
      <c r="D1418" t="s">
        <v>6149</v>
      </c>
      <c r="E1418" t="s">
        <v>6088</v>
      </c>
      <c r="J1418" t="s">
        <v>6703</v>
      </c>
      <c r="M1418" t="e">
        <v>#N/A</v>
      </c>
      <c r="N1418" t="e">
        <v>#N/A</v>
      </c>
      <c r="O1418" t="e">
        <v>#N/A</v>
      </c>
      <c r="P1418" t="e">
        <v>#N/A</v>
      </c>
      <c r="R1418" t="e">
        <v>#N/A</v>
      </c>
      <c r="T1418" t="s">
        <v>5983</v>
      </c>
      <c r="U1418" t="s">
        <v>5983</v>
      </c>
      <c r="V1418" t="s">
        <v>5983</v>
      </c>
      <c r="Y1418" t="s">
        <v>6948</v>
      </c>
      <c r="Z1418" t="s">
        <v>6949</v>
      </c>
      <c r="AA1418" t="s">
        <v>6950</v>
      </c>
      <c r="AB1418" t="s">
        <v>6951</v>
      </c>
      <c r="AC1418" t="s">
        <v>6952</v>
      </c>
      <c r="AD1418" t="s">
        <v>6953</v>
      </c>
    </row>
    <row r="1419" spans="1:30">
      <c r="A1419" t="s">
        <v>4604</v>
      </c>
      <c r="B1419" t="s">
        <v>5159</v>
      </c>
      <c r="C1419" t="s">
        <v>5718</v>
      </c>
      <c r="D1419" t="s">
        <v>6006</v>
      </c>
      <c r="E1419" t="s">
        <v>6007</v>
      </c>
      <c r="J1419" t="s">
        <v>6632</v>
      </c>
      <c r="M1419" t="e">
        <v>#N/A</v>
      </c>
      <c r="N1419" t="e">
        <v>#N/A</v>
      </c>
      <c r="O1419" t="e">
        <v>#N/A</v>
      </c>
      <c r="P1419" t="e">
        <v>#N/A</v>
      </c>
      <c r="R1419" t="e">
        <v>#N/A</v>
      </c>
      <c r="T1419" t="s">
        <v>5983</v>
      </c>
      <c r="U1419" t="s">
        <v>5983</v>
      </c>
      <c r="V1419" t="s">
        <v>5983</v>
      </c>
      <c r="Y1419" t="s">
        <v>6948</v>
      </c>
      <c r="Z1419" t="s">
        <v>6949</v>
      </c>
      <c r="AA1419" t="s">
        <v>6950</v>
      </c>
      <c r="AB1419" t="s">
        <v>6951</v>
      </c>
      <c r="AC1419" t="s">
        <v>6952</v>
      </c>
      <c r="AD1419" t="s">
        <v>6953</v>
      </c>
    </row>
    <row r="1420" spans="1:30">
      <c r="A1420" t="s">
        <v>4604</v>
      </c>
      <c r="B1420" t="s">
        <v>5160</v>
      </c>
      <c r="C1420" t="s">
        <v>5726</v>
      </c>
      <c r="D1420" t="s">
        <v>6010</v>
      </c>
      <c r="E1420" t="s">
        <v>6011</v>
      </c>
      <c r="J1420" t="s">
        <v>6639</v>
      </c>
      <c r="M1420" t="e">
        <v>#N/A</v>
      </c>
      <c r="N1420" t="e">
        <v>#N/A</v>
      </c>
      <c r="O1420" t="e">
        <v>#N/A</v>
      </c>
      <c r="P1420" t="e">
        <v>#N/A</v>
      </c>
      <c r="R1420" t="e">
        <v>#N/A</v>
      </c>
      <c r="T1420" t="s">
        <v>5983</v>
      </c>
      <c r="U1420" t="s">
        <v>5983</v>
      </c>
      <c r="V1420" t="s">
        <v>5983</v>
      </c>
      <c r="Y1420" t="s">
        <v>6948</v>
      </c>
      <c r="Z1420" t="s">
        <v>6949</v>
      </c>
      <c r="AA1420" t="s">
        <v>6950</v>
      </c>
      <c r="AB1420" t="s">
        <v>6951</v>
      </c>
      <c r="AC1420" t="s">
        <v>6952</v>
      </c>
      <c r="AD1420" t="s">
        <v>6953</v>
      </c>
    </row>
    <row r="1421" spans="1:30">
      <c r="A1421" t="s">
        <v>4604</v>
      </c>
      <c r="B1421" t="s">
        <v>5161</v>
      </c>
      <c r="C1421" t="s">
        <v>5722</v>
      </c>
      <c r="D1421" t="s">
        <v>6150</v>
      </c>
      <c r="E1421" t="s">
        <v>6009</v>
      </c>
      <c r="J1421" t="s">
        <v>6636</v>
      </c>
      <c r="M1421" t="e">
        <v>#N/A</v>
      </c>
      <c r="N1421" t="e">
        <v>#N/A</v>
      </c>
      <c r="O1421" t="e">
        <v>#N/A</v>
      </c>
      <c r="P1421" t="e">
        <v>#N/A</v>
      </c>
      <c r="R1421" t="e">
        <v>#N/A</v>
      </c>
      <c r="T1421" t="s">
        <v>5983</v>
      </c>
      <c r="U1421" t="s">
        <v>5983</v>
      </c>
      <c r="V1421" t="s">
        <v>5983</v>
      </c>
      <c r="Y1421" t="s">
        <v>6948</v>
      </c>
      <c r="Z1421" t="s">
        <v>6949</v>
      </c>
      <c r="AA1421" t="s">
        <v>6950</v>
      </c>
      <c r="AB1421" t="s">
        <v>6951</v>
      </c>
      <c r="AC1421" t="s">
        <v>6952</v>
      </c>
      <c r="AD1421" t="s">
        <v>6953</v>
      </c>
    </row>
    <row r="1422" spans="1:30">
      <c r="A1422" t="s">
        <v>4604</v>
      </c>
      <c r="B1422" t="s">
        <v>5162</v>
      </c>
      <c r="C1422" t="s">
        <v>5698</v>
      </c>
      <c r="D1422" t="s">
        <v>6002</v>
      </c>
      <c r="E1422" t="s">
        <v>6003</v>
      </c>
      <c r="J1422" t="s">
        <v>6615</v>
      </c>
      <c r="M1422" t="e">
        <v>#N/A</v>
      </c>
      <c r="N1422" t="e">
        <v>#N/A</v>
      </c>
      <c r="O1422" t="e">
        <v>#N/A</v>
      </c>
      <c r="P1422" t="e">
        <v>#N/A</v>
      </c>
      <c r="R1422" t="e">
        <v>#N/A</v>
      </c>
      <c r="T1422" t="s">
        <v>5983</v>
      </c>
      <c r="U1422" t="s">
        <v>5983</v>
      </c>
      <c r="V1422" t="s">
        <v>5983</v>
      </c>
      <c r="Y1422" t="s">
        <v>6948</v>
      </c>
      <c r="Z1422" t="s">
        <v>6949</v>
      </c>
      <c r="AA1422" t="s">
        <v>6950</v>
      </c>
      <c r="AB1422" t="s">
        <v>6951</v>
      </c>
      <c r="AC1422" t="s">
        <v>6952</v>
      </c>
      <c r="AD1422" t="s">
        <v>6953</v>
      </c>
    </row>
    <row r="1423" spans="1:30">
      <c r="A1423" t="s">
        <v>4604</v>
      </c>
      <c r="B1423" t="s">
        <v>5163</v>
      </c>
      <c r="C1423" t="s">
        <v>5689</v>
      </c>
      <c r="D1423" t="s">
        <v>6151</v>
      </c>
      <c r="E1423" t="s">
        <v>5997</v>
      </c>
      <c r="J1423" t="s">
        <v>6603</v>
      </c>
      <c r="M1423" t="e">
        <v>#N/A</v>
      </c>
      <c r="N1423" t="e">
        <v>#N/A</v>
      </c>
      <c r="O1423" t="e">
        <v>#N/A</v>
      </c>
      <c r="P1423" t="e">
        <v>#N/A</v>
      </c>
      <c r="R1423" t="e">
        <v>#N/A</v>
      </c>
      <c r="T1423" t="s">
        <v>5983</v>
      </c>
      <c r="U1423" t="s">
        <v>5983</v>
      </c>
      <c r="V1423" t="s">
        <v>5983</v>
      </c>
      <c r="Y1423" t="s">
        <v>6948</v>
      </c>
      <c r="Z1423" t="s">
        <v>6949</v>
      </c>
      <c r="AA1423" t="s">
        <v>6950</v>
      </c>
      <c r="AB1423" t="s">
        <v>6951</v>
      </c>
      <c r="AC1423" t="s">
        <v>6952</v>
      </c>
      <c r="AD1423" t="s">
        <v>6953</v>
      </c>
    </row>
    <row r="1424" spans="1:30">
      <c r="A1424">
        <v>11007034</v>
      </c>
      <c r="B1424" t="s">
        <v>5164</v>
      </c>
      <c r="C1424" t="s">
        <v>5719</v>
      </c>
      <c r="D1424" t="e">
        <v>#N/A</v>
      </c>
      <c r="E1424" t="e">
        <v>#N/A</v>
      </c>
      <c r="J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R1424" t="e">
        <v>#N/A</v>
      </c>
      <c r="T1424" t="e">
        <v>#N/A</v>
      </c>
      <c r="U1424" t="e">
        <v>#N/A</v>
      </c>
      <c r="V1424" t="e">
        <v>#N/A</v>
      </c>
      <c r="Y1424" t="s">
        <v>6948</v>
      </c>
      <c r="Z1424" t="s">
        <v>6949</v>
      </c>
      <c r="AA1424" t="s">
        <v>6950</v>
      </c>
      <c r="AB1424" t="s">
        <v>6951</v>
      </c>
      <c r="AC1424" t="s">
        <v>6952</v>
      </c>
      <c r="AD1424" t="s">
        <v>6953</v>
      </c>
    </row>
    <row r="1425" spans="1:30">
      <c r="A1425">
        <v>11006987</v>
      </c>
      <c r="B1425" t="s">
        <v>5165</v>
      </c>
      <c r="C1425" t="s">
        <v>5763</v>
      </c>
      <c r="D1425" t="s">
        <v>6002</v>
      </c>
      <c r="E1425" t="s">
        <v>6003</v>
      </c>
      <c r="J1425" t="s">
        <v>6856</v>
      </c>
      <c r="M1425" t="e">
        <v>#N/A</v>
      </c>
      <c r="N1425" t="e">
        <v>#N/A</v>
      </c>
      <c r="O1425" t="e">
        <v>#N/A</v>
      </c>
      <c r="P1425" t="e">
        <v>#N/A</v>
      </c>
      <c r="R1425" t="e">
        <v>#N/A</v>
      </c>
      <c r="T1425" t="s">
        <v>5983</v>
      </c>
      <c r="U1425" t="s">
        <v>5983</v>
      </c>
      <c r="V1425" t="s">
        <v>5983</v>
      </c>
      <c r="Y1425" t="s">
        <v>6948</v>
      </c>
      <c r="Z1425" t="s">
        <v>6949</v>
      </c>
      <c r="AA1425" t="s">
        <v>6950</v>
      </c>
      <c r="AB1425" t="s">
        <v>6951</v>
      </c>
      <c r="AC1425" t="s">
        <v>6952</v>
      </c>
      <c r="AD1425" t="s">
        <v>6953</v>
      </c>
    </row>
    <row r="1426" spans="1:30">
      <c r="A1426" t="s">
        <v>4604</v>
      </c>
      <c r="B1426" t="s">
        <v>5166</v>
      </c>
      <c r="C1426" t="s">
        <v>5764</v>
      </c>
      <c r="D1426" t="s">
        <v>6146</v>
      </c>
      <c r="E1426" t="s">
        <v>6003</v>
      </c>
      <c r="J1426" t="s">
        <v>6857</v>
      </c>
      <c r="M1426" t="e">
        <v>#N/A</v>
      </c>
      <c r="N1426" t="e">
        <v>#N/A</v>
      </c>
      <c r="O1426" t="e">
        <v>#N/A</v>
      </c>
      <c r="P1426" t="e">
        <v>#N/A</v>
      </c>
      <c r="R1426" t="e">
        <v>#N/A</v>
      </c>
      <c r="T1426" t="s">
        <v>5983</v>
      </c>
      <c r="U1426" t="s">
        <v>5983</v>
      </c>
      <c r="V1426" t="s">
        <v>5983</v>
      </c>
      <c r="Y1426" t="s">
        <v>6948</v>
      </c>
      <c r="Z1426" t="s">
        <v>6949</v>
      </c>
      <c r="AA1426" t="s">
        <v>6950</v>
      </c>
      <c r="AB1426" t="s">
        <v>6951</v>
      </c>
      <c r="AC1426" t="s">
        <v>6952</v>
      </c>
      <c r="AD1426" t="s">
        <v>6953</v>
      </c>
    </row>
    <row r="1427" spans="1:30">
      <c r="A1427">
        <v>11005136</v>
      </c>
      <c r="B1427" t="s">
        <v>5167</v>
      </c>
      <c r="C1427" t="s">
        <v>1197</v>
      </c>
      <c r="D1427" t="s">
        <v>6152</v>
      </c>
      <c r="E1427" t="s">
        <v>6111</v>
      </c>
      <c r="J1427" t="s">
        <v>3726</v>
      </c>
      <c r="M1427" t="e">
        <v>#N/A</v>
      </c>
      <c r="N1427" t="e">
        <v>#N/A</v>
      </c>
      <c r="O1427" t="e">
        <v>#N/A</v>
      </c>
      <c r="P1427" t="e">
        <v>#N/A</v>
      </c>
      <c r="R1427" t="e">
        <v>#N/A</v>
      </c>
      <c r="T1427" t="s">
        <v>5985</v>
      </c>
      <c r="U1427" t="s">
        <v>5985</v>
      </c>
      <c r="V1427" t="s">
        <v>5985</v>
      </c>
      <c r="Y1427" t="s">
        <v>6948</v>
      </c>
      <c r="Z1427" t="s">
        <v>6949</v>
      </c>
      <c r="AA1427" t="s">
        <v>6950</v>
      </c>
      <c r="AB1427" t="s">
        <v>6951</v>
      </c>
      <c r="AC1427" t="s">
        <v>6952</v>
      </c>
      <c r="AD1427" t="s">
        <v>6953</v>
      </c>
    </row>
    <row r="1428" spans="1:30">
      <c r="A1428">
        <v>11005117</v>
      </c>
      <c r="B1428" t="s">
        <v>5168</v>
      </c>
      <c r="C1428" t="s">
        <v>5841</v>
      </c>
      <c r="D1428" t="s">
        <v>6110</v>
      </c>
      <c r="E1428" t="s">
        <v>6111</v>
      </c>
      <c r="J1428" t="s">
        <v>6805</v>
      </c>
      <c r="M1428" t="e">
        <v>#N/A</v>
      </c>
      <c r="N1428" t="e">
        <v>#N/A</v>
      </c>
      <c r="O1428" t="e">
        <v>#N/A</v>
      </c>
      <c r="P1428" t="e">
        <v>#N/A</v>
      </c>
      <c r="R1428" t="e">
        <v>#N/A</v>
      </c>
      <c r="T1428" t="s">
        <v>5985</v>
      </c>
      <c r="U1428" t="s">
        <v>5985</v>
      </c>
      <c r="V1428" t="s">
        <v>5985</v>
      </c>
      <c r="Y1428" t="s">
        <v>6948</v>
      </c>
      <c r="Z1428" t="s">
        <v>6949</v>
      </c>
      <c r="AA1428" t="s">
        <v>6950</v>
      </c>
      <c r="AB1428" t="s">
        <v>6951</v>
      </c>
      <c r="AC1428" t="s">
        <v>6952</v>
      </c>
      <c r="AD1428" t="s">
        <v>6953</v>
      </c>
    </row>
    <row r="1429" spans="1:30">
      <c r="A1429">
        <v>11005115</v>
      </c>
      <c r="B1429" t="s">
        <v>5169</v>
      </c>
      <c r="C1429" t="s">
        <v>5843</v>
      </c>
      <c r="D1429" t="s">
        <v>6112</v>
      </c>
      <c r="E1429" t="s">
        <v>6113</v>
      </c>
      <c r="J1429" t="s">
        <v>6807</v>
      </c>
      <c r="M1429" t="e">
        <v>#N/A</v>
      </c>
      <c r="N1429" t="e">
        <v>#N/A</v>
      </c>
      <c r="O1429" t="e">
        <v>#N/A</v>
      </c>
      <c r="P1429" t="e">
        <v>#N/A</v>
      </c>
      <c r="R1429" t="e">
        <v>#N/A</v>
      </c>
      <c r="T1429" t="s">
        <v>5985</v>
      </c>
      <c r="U1429" t="s">
        <v>5985</v>
      </c>
      <c r="V1429" t="s">
        <v>5985</v>
      </c>
      <c r="Y1429" t="s">
        <v>6948</v>
      </c>
      <c r="Z1429" t="s">
        <v>6949</v>
      </c>
      <c r="AA1429" t="s">
        <v>6950</v>
      </c>
      <c r="AB1429" t="s">
        <v>6951</v>
      </c>
      <c r="AC1429" t="s">
        <v>6952</v>
      </c>
      <c r="AD1429" t="s">
        <v>6953</v>
      </c>
    </row>
    <row r="1430" spans="1:30">
      <c r="A1430">
        <v>11005122</v>
      </c>
      <c r="B1430" t="s">
        <v>5170</v>
      </c>
      <c r="C1430" t="s">
        <v>1008</v>
      </c>
      <c r="D1430" t="s">
        <v>6110</v>
      </c>
      <c r="E1430" t="s">
        <v>6111</v>
      </c>
      <c r="J1430" t="s">
        <v>3738</v>
      </c>
      <c r="M1430" t="e">
        <v>#N/A</v>
      </c>
      <c r="N1430" t="e">
        <v>#N/A</v>
      </c>
      <c r="O1430" t="e">
        <v>#N/A</v>
      </c>
      <c r="P1430" t="e">
        <v>#N/A</v>
      </c>
      <c r="R1430" t="e">
        <v>#N/A</v>
      </c>
      <c r="T1430" t="s">
        <v>5985</v>
      </c>
      <c r="U1430" t="s">
        <v>5985</v>
      </c>
      <c r="V1430" t="s">
        <v>5985</v>
      </c>
      <c r="Y1430" t="s">
        <v>6948</v>
      </c>
      <c r="Z1430" t="s">
        <v>6949</v>
      </c>
      <c r="AA1430" t="s">
        <v>6950</v>
      </c>
      <c r="AB1430" t="s">
        <v>6951</v>
      </c>
      <c r="AC1430" t="s">
        <v>6952</v>
      </c>
      <c r="AD1430" t="s">
        <v>6953</v>
      </c>
    </row>
    <row r="1431" spans="1:30">
      <c r="A1431">
        <v>11005116</v>
      </c>
      <c r="B1431" t="s">
        <v>5171</v>
      </c>
      <c r="C1431" t="s">
        <v>5842</v>
      </c>
      <c r="D1431" t="s">
        <v>6110</v>
      </c>
      <c r="E1431" t="s">
        <v>6111</v>
      </c>
      <c r="J1431" t="s">
        <v>6806</v>
      </c>
      <c r="M1431" t="e">
        <v>#N/A</v>
      </c>
      <c r="N1431" t="e">
        <v>#N/A</v>
      </c>
      <c r="O1431" t="e">
        <v>#N/A</v>
      </c>
      <c r="P1431" t="e">
        <v>#N/A</v>
      </c>
      <c r="R1431" t="e">
        <v>#N/A</v>
      </c>
      <c r="T1431" t="s">
        <v>5985</v>
      </c>
      <c r="U1431" t="s">
        <v>5985</v>
      </c>
      <c r="V1431" t="s">
        <v>5985</v>
      </c>
      <c r="Y1431" t="s">
        <v>6948</v>
      </c>
      <c r="Z1431" t="s">
        <v>6949</v>
      </c>
      <c r="AA1431" t="s">
        <v>6950</v>
      </c>
      <c r="AB1431" t="s">
        <v>6951</v>
      </c>
      <c r="AC1431" t="s">
        <v>6952</v>
      </c>
      <c r="AD1431" t="s">
        <v>6953</v>
      </c>
    </row>
    <row r="1432" spans="1:30">
      <c r="A1432">
        <v>11005126</v>
      </c>
      <c r="B1432" t="s">
        <v>5172</v>
      </c>
      <c r="C1432" t="s">
        <v>1196</v>
      </c>
      <c r="D1432" t="s">
        <v>6112</v>
      </c>
      <c r="E1432" t="s">
        <v>6113</v>
      </c>
      <c r="J1432" t="s">
        <v>3734</v>
      </c>
      <c r="M1432" t="e">
        <v>#N/A</v>
      </c>
      <c r="N1432" t="e">
        <v>#N/A</v>
      </c>
      <c r="O1432" t="e">
        <v>#N/A</v>
      </c>
      <c r="P1432" t="e">
        <v>#N/A</v>
      </c>
      <c r="R1432" t="e">
        <v>#N/A</v>
      </c>
      <c r="T1432" t="s">
        <v>5985</v>
      </c>
      <c r="U1432" t="s">
        <v>5985</v>
      </c>
      <c r="V1432" t="s">
        <v>5985</v>
      </c>
      <c r="Y1432" t="s">
        <v>6948</v>
      </c>
      <c r="Z1432" t="s">
        <v>6949</v>
      </c>
      <c r="AA1432" t="s">
        <v>6950</v>
      </c>
      <c r="AB1432" t="s">
        <v>6951</v>
      </c>
      <c r="AC1432" t="s">
        <v>6952</v>
      </c>
      <c r="AD1432" t="s">
        <v>6953</v>
      </c>
    </row>
    <row r="1433" spans="1:30">
      <c r="A1433">
        <v>11005114</v>
      </c>
      <c r="B1433" t="s">
        <v>5173</v>
      </c>
      <c r="C1433" t="s">
        <v>5844</v>
      </c>
      <c r="D1433" t="s">
        <v>6112</v>
      </c>
      <c r="E1433" t="s">
        <v>6113</v>
      </c>
      <c r="J1433" t="s">
        <v>6808</v>
      </c>
      <c r="M1433" t="e">
        <v>#N/A</v>
      </c>
      <c r="N1433" t="e">
        <v>#N/A</v>
      </c>
      <c r="O1433" t="e">
        <v>#N/A</v>
      </c>
      <c r="P1433" t="e">
        <v>#N/A</v>
      </c>
      <c r="R1433" t="e">
        <v>#N/A</v>
      </c>
      <c r="T1433" t="s">
        <v>5985</v>
      </c>
      <c r="U1433" t="s">
        <v>5985</v>
      </c>
      <c r="V1433" t="s">
        <v>5985</v>
      </c>
      <c r="Y1433" t="s">
        <v>6948</v>
      </c>
      <c r="Z1433" t="s">
        <v>6949</v>
      </c>
      <c r="AA1433" t="s">
        <v>6950</v>
      </c>
      <c r="AB1433" t="s">
        <v>6951</v>
      </c>
      <c r="AC1433" t="s">
        <v>6952</v>
      </c>
      <c r="AD1433" t="s">
        <v>6953</v>
      </c>
    </row>
    <row r="1434" spans="1:30">
      <c r="A1434">
        <v>11006850</v>
      </c>
      <c r="B1434" t="s">
        <v>5174</v>
      </c>
      <c r="C1434" t="s">
        <v>5795</v>
      </c>
      <c r="D1434" t="s">
        <v>6033</v>
      </c>
      <c r="E1434" t="s">
        <v>6034</v>
      </c>
      <c r="J1434" t="s">
        <v>6705</v>
      </c>
      <c r="M1434" t="e">
        <v>#N/A</v>
      </c>
      <c r="N1434" t="e">
        <v>#N/A</v>
      </c>
      <c r="O1434" t="e">
        <v>#N/A</v>
      </c>
      <c r="P1434" t="e">
        <v>#N/A</v>
      </c>
      <c r="R1434" t="e">
        <v>#N/A</v>
      </c>
      <c r="T1434" t="s">
        <v>5985</v>
      </c>
      <c r="U1434" t="s">
        <v>5985</v>
      </c>
      <c r="V1434" t="s">
        <v>5985</v>
      </c>
      <c r="Y1434" t="s">
        <v>6948</v>
      </c>
      <c r="Z1434" t="s">
        <v>6949</v>
      </c>
      <c r="AA1434" t="s">
        <v>6950</v>
      </c>
      <c r="AB1434" t="s">
        <v>6951</v>
      </c>
      <c r="AC1434" t="s">
        <v>6952</v>
      </c>
      <c r="AD1434" t="s">
        <v>6953</v>
      </c>
    </row>
    <row r="1435" spans="1:30">
      <c r="A1435" t="s">
        <v>4604</v>
      </c>
      <c r="B1435" t="s">
        <v>5175</v>
      </c>
      <c r="C1435" t="s">
        <v>5692</v>
      </c>
      <c r="D1435" t="s">
        <v>6000</v>
      </c>
      <c r="E1435" t="s">
        <v>6001</v>
      </c>
      <c r="J1435" t="s">
        <v>6608</v>
      </c>
      <c r="M1435" t="e">
        <v>#N/A</v>
      </c>
      <c r="N1435" t="e">
        <v>#N/A</v>
      </c>
      <c r="O1435" t="e">
        <v>#N/A</v>
      </c>
      <c r="P1435" t="e">
        <v>#N/A</v>
      </c>
      <c r="R1435" t="e">
        <v>#N/A</v>
      </c>
      <c r="T1435" t="s">
        <v>5985</v>
      </c>
      <c r="U1435" t="s">
        <v>5985</v>
      </c>
      <c r="V1435" t="s">
        <v>5985</v>
      </c>
      <c r="Y1435" t="s">
        <v>6948</v>
      </c>
      <c r="Z1435" t="s">
        <v>6949</v>
      </c>
      <c r="AA1435" t="s">
        <v>6950</v>
      </c>
      <c r="AB1435" t="s">
        <v>6951</v>
      </c>
      <c r="AC1435" t="s">
        <v>6952</v>
      </c>
      <c r="AD1435" t="s">
        <v>6953</v>
      </c>
    </row>
    <row r="1436" spans="1:30">
      <c r="A1436" t="s">
        <v>4604</v>
      </c>
      <c r="B1436" t="s">
        <v>5176</v>
      </c>
      <c r="C1436" t="s">
        <v>5695</v>
      </c>
      <c r="D1436" t="s">
        <v>6000</v>
      </c>
      <c r="E1436" t="s">
        <v>6001</v>
      </c>
      <c r="J1436" t="s">
        <v>6611</v>
      </c>
      <c r="M1436" t="e">
        <v>#N/A</v>
      </c>
      <c r="N1436" t="e">
        <v>#N/A</v>
      </c>
      <c r="O1436" t="e">
        <v>#N/A</v>
      </c>
      <c r="P1436" t="e">
        <v>#N/A</v>
      </c>
      <c r="R1436" t="e">
        <v>#N/A</v>
      </c>
      <c r="T1436" t="s">
        <v>5985</v>
      </c>
      <c r="U1436" t="s">
        <v>5985</v>
      </c>
      <c r="V1436" t="s">
        <v>5985</v>
      </c>
      <c r="Y1436" t="s">
        <v>6948</v>
      </c>
      <c r="Z1436" t="s">
        <v>6949</v>
      </c>
      <c r="AA1436" t="s">
        <v>6950</v>
      </c>
      <c r="AB1436" t="s">
        <v>6951</v>
      </c>
      <c r="AC1436" t="s">
        <v>6952</v>
      </c>
      <c r="AD1436" t="s">
        <v>6953</v>
      </c>
    </row>
    <row r="1437" spans="1:30">
      <c r="A1437">
        <v>11007145</v>
      </c>
      <c r="B1437" t="s">
        <v>5177</v>
      </c>
      <c r="C1437" t="s">
        <v>5667</v>
      </c>
      <c r="D1437" t="s">
        <v>5979</v>
      </c>
      <c r="E1437" t="s">
        <v>5980</v>
      </c>
      <c r="J1437" t="s">
        <v>6581</v>
      </c>
      <c r="M1437" t="e">
        <v>#N/A</v>
      </c>
      <c r="N1437" t="e">
        <v>#N/A</v>
      </c>
      <c r="O1437" t="e">
        <v>#N/A</v>
      </c>
      <c r="P1437" t="e">
        <v>#N/A</v>
      </c>
      <c r="R1437" t="e">
        <v>#N/A</v>
      </c>
      <c r="T1437" t="s">
        <v>5985</v>
      </c>
      <c r="U1437" t="s">
        <v>5985</v>
      </c>
      <c r="V1437" t="s">
        <v>5985</v>
      </c>
      <c r="Y1437" t="s">
        <v>6948</v>
      </c>
      <c r="Z1437" t="s">
        <v>6949</v>
      </c>
      <c r="AA1437" t="s">
        <v>6950</v>
      </c>
      <c r="AB1437" t="s">
        <v>6951</v>
      </c>
      <c r="AC1437" t="s">
        <v>6952</v>
      </c>
      <c r="AD1437" t="s">
        <v>6953</v>
      </c>
    </row>
    <row r="1438" spans="1:30">
      <c r="A1438">
        <v>11005181</v>
      </c>
      <c r="B1438" t="s">
        <v>5178</v>
      </c>
      <c r="C1438" t="s">
        <v>5667</v>
      </c>
      <c r="D1438" t="s">
        <v>6055</v>
      </c>
      <c r="E1438" t="s">
        <v>6056</v>
      </c>
      <c r="J1438" t="s">
        <v>6581</v>
      </c>
      <c r="M1438" t="e">
        <v>#N/A</v>
      </c>
      <c r="N1438" t="e">
        <v>#N/A</v>
      </c>
      <c r="O1438" t="e">
        <v>#N/A</v>
      </c>
      <c r="P1438" t="e">
        <v>#N/A</v>
      </c>
      <c r="R1438" t="e">
        <v>#N/A</v>
      </c>
      <c r="T1438" t="s">
        <v>5985</v>
      </c>
      <c r="U1438" t="s">
        <v>5985</v>
      </c>
      <c r="V1438" t="s">
        <v>5985</v>
      </c>
      <c r="Y1438" t="s">
        <v>6948</v>
      </c>
      <c r="Z1438" t="s">
        <v>6949</v>
      </c>
      <c r="AA1438" t="s">
        <v>6950</v>
      </c>
      <c r="AB1438" t="s">
        <v>6951</v>
      </c>
      <c r="AC1438" t="s">
        <v>6952</v>
      </c>
      <c r="AD1438" t="s">
        <v>6953</v>
      </c>
    </row>
    <row r="1439" spans="1:30">
      <c r="A1439" t="s">
        <v>4604</v>
      </c>
      <c r="B1439" t="s">
        <v>5179</v>
      </c>
      <c r="C1439" t="s">
        <v>5681</v>
      </c>
      <c r="D1439" t="s">
        <v>5993</v>
      </c>
      <c r="E1439" t="s">
        <v>5992</v>
      </c>
      <c r="J1439" t="s">
        <v>6595</v>
      </c>
      <c r="M1439" t="e">
        <v>#N/A</v>
      </c>
      <c r="N1439" t="e">
        <v>#N/A</v>
      </c>
      <c r="O1439" t="e">
        <v>#N/A</v>
      </c>
      <c r="P1439" t="e">
        <v>#N/A</v>
      </c>
      <c r="R1439" t="e">
        <v>#N/A</v>
      </c>
      <c r="T1439" t="s">
        <v>5985</v>
      </c>
      <c r="U1439" t="s">
        <v>5985</v>
      </c>
      <c r="V1439" t="s">
        <v>5985</v>
      </c>
      <c r="Y1439" t="s">
        <v>6948</v>
      </c>
      <c r="Z1439" t="s">
        <v>6949</v>
      </c>
      <c r="AA1439" t="s">
        <v>6950</v>
      </c>
      <c r="AB1439" t="s">
        <v>6951</v>
      </c>
      <c r="AC1439" t="s">
        <v>6952</v>
      </c>
      <c r="AD1439" t="s">
        <v>6953</v>
      </c>
    </row>
    <row r="1440" spans="1:30">
      <c r="A1440" t="s">
        <v>4604</v>
      </c>
      <c r="B1440" t="s">
        <v>5180</v>
      </c>
      <c r="C1440" t="s">
        <v>5736</v>
      </c>
      <c r="D1440" t="s">
        <v>6018</v>
      </c>
      <c r="E1440" t="s">
        <v>6019</v>
      </c>
      <c r="J1440" t="s">
        <v>6858</v>
      </c>
      <c r="M1440" t="e">
        <v>#N/A</v>
      </c>
      <c r="N1440" t="e">
        <v>#N/A</v>
      </c>
      <c r="O1440" t="e">
        <v>#N/A</v>
      </c>
      <c r="P1440" t="e">
        <v>#N/A</v>
      </c>
      <c r="R1440" t="e">
        <v>#N/A</v>
      </c>
      <c r="T1440" t="s">
        <v>5985</v>
      </c>
      <c r="U1440" t="s">
        <v>5985</v>
      </c>
      <c r="V1440" t="s">
        <v>5985</v>
      </c>
      <c r="Y1440" t="s">
        <v>6948</v>
      </c>
      <c r="Z1440" t="s">
        <v>6949</v>
      </c>
      <c r="AA1440" t="s">
        <v>6950</v>
      </c>
      <c r="AB1440" t="s">
        <v>6951</v>
      </c>
      <c r="AC1440" t="s">
        <v>6952</v>
      </c>
      <c r="AD1440" t="s">
        <v>6953</v>
      </c>
    </row>
    <row r="1441" spans="1:30">
      <c r="A1441" t="s">
        <v>4604</v>
      </c>
      <c r="B1441" t="s">
        <v>5181</v>
      </c>
      <c r="C1441" t="s">
        <v>5701</v>
      </c>
      <c r="D1441" t="s">
        <v>6004</v>
      </c>
      <c r="E1441" t="s">
        <v>6005</v>
      </c>
      <c r="J1441" t="s">
        <v>6618</v>
      </c>
      <c r="M1441" t="e">
        <v>#N/A</v>
      </c>
      <c r="N1441" t="e">
        <v>#N/A</v>
      </c>
      <c r="O1441" t="e">
        <v>#N/A</v>
      </c>
      <c r="P1441" t="e">
        <v>#N/A</v>
      </c>
      <c r="R1441" t="e">
        <v>#N/A</v>
      </c>
      <c r="T1441" t="s">
        <v>5985</v>
      </c>
      <c r="U1441" t="s">
        <v>5985</v>
      </c>
      <c r="V1441" t="s">
        <v>5985</v>
      </c>
      <c r="Y1441" t="s">
        <v>6948</v>
      </c>
      <c r="Z1441" t="s">
        <v>6949</v>
      </c>
      <c r="AA1441" t="s">
        <v>6950</v>
      </c>
      <c r="AB1441" t="s">
        <v>6951</v>
      </c>
      <c r="AC1441" t="s">
        <v>6952</v>
      </c>
      <c r="AD1441" t="s">
        <v>6953</v>
      </c>
    </row>
    <row r="1442" spans="1:30">
      <c r="A1442" t="s">
        <v>4604</v>
      </c>
      <c r="B1442" t="s">
        <v>5182</v>
      </c>
      <c r="C1442" t="s">
        <v>5705</v>
      </c>
      <c r="D1442" t="s">
        <v>6004</v>
      </c>
      <c r="E1442" t="s">
        <v>6005</v>
      </c>
      <c r="J1442" t="s">
        <v>6621</v>
      </c>
      <c r="M1442" t="e">
        <v>#N/A</v>
      </c>
      <c r="N1442" t="e">
        <v>#N/A</v>
      </c>
      <c r="O1442" t="e">
        <v>#N/A</v>
      </c>
      <c r="P1442" t="e">
        <v>#N/A</v>
      </c>
      <c r="R1442" t="e">
        <v>#N/A</v>
      </c>
      <c r="T1442" t="s">
        <v>5985</v>
      </c>
      <c r="U1442" t="s">
        <v>5985</v>
      </c>
      <c r="V1442" t="s">
        <v>5985</v>
      </c>
      <c r="Y1442" t="s">
        <v>6948</v>
      </c>
      <c r="Z1442" t="s">
        <v>6949</v>
      </c>
      <c r="AA1442" t="s">
        <v>6950</v>
      </c>
      <c r="AB1442" t="s">
        <v>6951</v>
      </c>
      <c r="AC1442" t="s">
        <v>6952</v>
      </c>
      <c r="AD1442" t="s">
        <v>6953</v>
      </c>
    </row>
    <row r="1443" spans="1:30">
      <c r="A1443" t="s">
        <v>4604</v>
      </c>
      <c r="B1443" t="s">
        <v>5183</v>
      </c>
      <c r="C1443" t="s">
        <v>5709</v>
      </c>
      <c r="D1443" t="s">
        <v>6153</v>
      </c>
      <c r="E1443" t="s">
        <v>6005</v>
      </c>
      <c r="J1443" t="s">
        <v>6623</v>
      </c>
      <c r="M1443" t="e">
        <v>#N/A</v>
      </c>
      <c r="N1443" t="e">
        <v>#N/A</v>
      </c>
      <c r="O1443" t="e">
        <v>#N/A</v>
      </c>
      <c r="P1443" t="e">
        <v>#N/A</v>
      </c>
      <c r="R1443" t="e">
        <v>#N/A</v>
      </c>
      <c r="T1443" t="s">
        <v>5985</v>
      </c>
      <c r="U1443" t="s">
        <v>5985</v>
      </c>
      <c r="V1443" t="s">
        <v>5985</v>
      </c>
      <c r="Y1443" t="s">
        <v>6948</v>
      </c>
      <c r="Z1443" t="s">
        <v>6949</v>
      </c>
      <c r="AA1443" t="s">
        <v>6950</v>
      </c>
      <c r="AB1443" t="s">
        <v>6951</v>
      </c>
      <c r="AC1443" t="s">
        <v>6952</v>
      </c>
      <c r="AD1443" t="s">
        <v>6953</v>
      </c>
    </row>
    <row r="1444" spans="1:30">
      <c r="A1444" t="s">
        <v>4604</v>
      </c>
      <c r="B1444" t="s">
        <v>5184</v>
      </c>
      <c r="C1444" t="s">
        <v>5712</v>
      </c>
      <c r="D1444" t="s">
        <v>6004</v>
      </c>
      <c r="E1444" t="s">
        <v>6005</v>
      </c>
      <c r="J1444" t="s">
        <v>6626</v>
      </c>
      <c r="M1444" t="e">
        <v>#N/A</v>
      </c>
      <c r="N1444" t="e">
        <v>#N/A</v>
      </c>
      <c r="O1444" t="e">
        <v>#N/A</v>
      </c>
      <c r="P1444" t="e">
        <v>#N/A</v>
      </c>
      <c r="R1444" t="e">
        <v>#N/A</v>
      </c>
      <c r="T1444" t="s">
        <v>5985</v>
      </c>
      <c r="U1444" t="s">
        <v>5985</v>
      </c>
      <c r="V1444" t="s">
        <v>5985</v>
      </c>
      <c r="Y1444" t="s">
        <v>6948</v>
      </c>
      <c r="Z1444" t="s">
        <v>6949</v>
      </c>
      <c r="AA1444" t="s">
        <v>6950</v>
      </c>
      <c r="AB1444" t="s">
        <v>6951</v>
      </c>
      <c r="AC1444" t="s">
        <v>6952</v>
      </c>
      <c r="AD1444" t="s">
        <v>6953</v>
      </c>
    </row>
    <row r="1445" spans="1:30">
      <c r="A1445" t="s">
        <v>4604</v>
      </c>
      <c r="B1445" t="s">
        <v>5185</v>
      </c>
      <c r="C1445" t="s">
        <v>5740</v>
      </c>
      <c r="D1445" t="s">
        <v>6154</v>
      </c>
      <c r="E1445" t="s">
        <v>6019</v>
      </c>
      <c r="J1445" t="s">
        <v>6652</v>
      </c>
      <c r="M1445" t="e">
        <v>#N/A</v>
      </c>
      <c r="N1445" t="e">
        <v>#N/A</v>
      </c>
      <c r="O1445" t="e">
        <v>#N/A</v>
      </c>
      <c r="P1445" t="e">
        <v>#N/A</v>
      </c>
      <c r="R1445" t="e">
        <v>#N/A</v>
      </c>
      <c r="T1445" t="s">
        <v>5985</v>
      </c>
      <c r="U1445" t="s">
        <v>5985</v>
      </c>
      <c r="V1445" t="s">
        <v>5985</v>
      </c>
      <c r="Y1445" t="s">
        <v>6948</v>
      </c>
      <c r="Z1445" t="s">
        <v>6949</v>
      </c>
      <c r="AA1445" t="s">
        <v>6950</v>
      </c>
      <c r="AB1445" t="s">
        <v>6951</v>
      </c>
      <c r="AC1445" t="s">
        <v>6952</v>
      </c>
      <c r="AD1445" t="s">
        <v>6953</v>
      </c>
    </row>
    <row r="1446" spans="1:30">
      <c r="A1446" t="s">
        <v>4604</v>
      </c>
      <c r="B1446" t="s">
        <v>5186</v>
      </c>
      <c r="C1446" t="s">
        <v>5744</v>
      </c>
      <c r="D1446" t="s">
        <v>6018</v>
      </c>
      <c r="E1446" t="s">
        <v>6019</v>
      </c>
      <c r="J1446" t="s">
        <v>6654</v>
      </c>
      <c r="M1446" t="e">
        <v>#N/A</v>
      </c>
      <c r="N1446" t="e">
        <v>#N/A</v>
      </c>
      <c r="O1446" t="e">
        <v>#N/A</v>
      </c>
      <c r="P1446" t="e">
        <v>#N/A</v>
      </c>
      <c r="R1446" t="e">
        <v>#N/A</v>
      </c>
      <c r="T1446" t="s">
        <v>5985</v>
      </c>
      <c r="U1446" t="s">
        <v>5985</v>
      </c>
      <c r="V1446" t="s">
        <v>5985</v>
      </c>
      <c r="Y1446" t="s">
        <v>6948</v>
      </c>
      <c r="Z1446" t="s">
        <v>6949</v>
      </c>
      <c r="AA1446" t="s">
        <v>6950</v>
      </c>
      <c r="AB1446" t="s">
        <v>6951</v>
      </c>
      <c r="AC1446" t="s">
        <v>6952</v>
      </c>
      <c r="AD1446" t="s">
        <v>6953</v>
      </c>
    </row>
    <row r="1447" spans="1:30">
      <c r="A1447" t="s">
        <v>4604</v>
      </c>
      <c r="B1447" t="s">
        <v>5187</v>
      </c>
      <c r="C1447" t="s">
        <v>5748</v>
      </c>
      <c r="D1447" t="s">
        <v>6018</v>
      </c>
      <c r="E1447" t="s">
        <v>6019</v>
      </c>
      <c r="J1447" t="s">
        <v>6656</v>
      </c>
      <c r="M1447" t="e">
        <v>#N/A</v>
      </c>
      <c r="N1447" t="e">
        <v>#N/A</v>
      </c>
      <c r="O1447" t="e">
        <v>#N/A</v>
      </c>
      <c r="P1447" t="e">
        <v>#N/A</v>
      </c>
      <c r="R1447" t="e">
        <v>#N/A</v>
      </c>
      <c r="T1447" t="s">
        <v>5985</v>
      </c>
      <c r="U1447" t="s">
        <v>5985</v>
      </c>
      <c r="V1447" t="s">
        <v>5985</v>
      </c>
      <c r="Y1447" t="s">
        <v>6948</v>
      </c>
      <c r="Z1447" t="s">
        <v>6949</v>
      </c>
      <c r="AA1447" t="s">
        <v>6950</v>
      </c>
      <c r="AB1447" t="s">
        <v>6951</v>
      </c>
      <c r="AC1447" t="s">
        <v>6952</v>
      </c>
      <c r="AD1447" t="s">
        <v>6953</v>
      </c>
    </row>
    <row r="1448" spans="1:30">
      <c r="A1448">
        <v>11007000</v>
      </c>
      <c r="B1448" t="s">
        <v>5188</v>
      </c>
      <c r="C1448" t="s">
        <v>5749</v>
      </c>
      <c r="D1448" t="s">
        <v>6020</v>
      </c>
      <c r="E1448" t="s">
        <v>6021</v>
      </c>
      <c r="J1448" t="s">
        <v>6657</v>
      </c>
      <c r="M1448" t="e">
        <v>#N/A</v>
      </c>
      <c r="N1448" t="e">
        <v>#N/A</v>
      </c>
      <c r="O1448" t="e">
        <v>#N/A</v>
      </c>
      <c r="P1448" t="e">
        <v>#N/A</v>
      </c>
      <c r="R1448" t="e">
        <v>#N/A</v>
      </c>
      <c r="T1448" t="s">
        <v>5985</v>
      </c>
      <c r="U1448" t="s">
        <v>5985</v>
      </c>
      <c r="V1448" t="s">
        <v>5985</v>
      </c>
      <c r="Y1448" t="s">
        <v>6948</v>
      </c>
      <c r="Z1448" t="s">
        <v>6949</v>
      </c>
      <c r="AA1448" t="s">
        <v>6950</v>
      </c>
      <c r="AB1448" t="s">
        <v>6951</v>
      </c>
      <c r="AC1448" t="s">
        <v>6952</v>
      </c>
      <c r="AD1448" t="s">
        <v>6953</v>
      </c>
    </row>
    <row r="1449" spans="1:30">
      <c r="A1449" t="s">
        <v>4604</v>
      </c>
      <c r="B1449" t="s">
        <v>5189</v>
      </c>
      <c r="C1449" t="s">
        <v>5714</v>
      </c>
      <c r="D1449" t="s">
        <v>6004</v>
      </c>
      <c r="E1449" t="s">
        <v>6005</v>
      </c>
      <c r="J1449" t="s">
        <v>6628</v>
      </c>
      <c r="M1449" t="e">
        <v>#N/A</v>
      </c>
      <c r="N1449" t="e">
        <v>#N/A</v>
      </c>
      <c r="O1449" t="e">
        <v>#N/A</v>
      </c>
      <c r="P1449" t="e">
        <v>#N/A</v>
      </c>
      <c r="R1449" t="e">
        <v>#N/A</v>
      </c>
      <c r="T1449" t="s">
        <v>5985</v>
      </c>
      <c r="U1449" t="s">
        <v>5985</v>
      </c>
      <c r="V1449" t="s">
        <v>5985</v>
      </c>
      <c r="Y1449" t="s">
        <v>6948</v>
      </c>
      <c r="Z1449" t="s">
        <v>6949</v>
      </c>
      <c r="AA1449" t="s">
        <v>6950</v>
      </c>
      <c r="AB1449" t="s">
        <v>6951</v>
      </c>
      <c r="AC1449" t="s">
        <v>6952</v>
      </c>
      <c r="AD1449" t="s">
        <v>6953</v>
      </c>
    </row>
    <row r="1450" spans="1:30">
      <c r="A1450" t="s">
        <v>4604</v>
      </c>
      <c r="B1450" t="s">
        <v>5190</v>
      </c>
      <c r="C1450" t="s">
        <v>5730</v>
      </c>
      <c r="D1450" t="s">
        <v>6014</v>
      </c>
      <c r="E1450" t="s">
        <v>6015</v>
      </c>
      <c r="J1450" t="s">
        <v>6643</v>
      </c>
      <c r="M1450" t="e">
        <v>#N/A</v>
      </c>
      <c r="N1450" t="e">
        <v>#N/A</v>
      </c>
      <c r="O1450" t="e">
        <v>#N/A</v>
      </c>
      <c r="P1450" t="e">
        <v>#N/A</v>
      </c>
      <c r="R1450" t="e">
        <v>#N/A</v>
      </c>
      <c r="T1450" t="s">
        <v>5985</v>
      </c>
      <c r="U1450" t="s">
        <v>5985</v>
      </c>
      <c r="V1450" t="s">
        <v>5985</v>
      </c>
      <c r="Y1450" t="s">
        <v>6948</v>
      </c>
      <c r="Z1450" t="s">
        <v>6949</v>
      </c>
      <c r="AA1450" t="s">
        <v>6950</v>
      </c>
      <c r="AB1450" t="s">
        <v>6951</v>
      </c>
      <c r="AC1450" t="s">
        <v>6952</v>
      </c>
      <c r="AD1450" t="s">
        <v>6953</v>
      </c>
    </row>
    <row r="1451" spans="1:30">
      <c r="A1451">
        <v>11006250</v>
      </c>
      <c r="B1451" t="s">
        <v>5191</v>
      </c>
      <c r="C1451" t="s">
        <v>5778</v>
      </c>
      <c r="D1451" t="s">
        <v>6045</v>
      </c>
      <c r="E1451" t="s">
        <v>6046</v>
      </c>
      <c r="J1451" t="s">
        <v>6728</v>
      </c>
      <c r="M1451" t="e">
        <v>#N/A</v>
      </c>
      <c r="N1451" t="e">
        <v>#N/A</v>
      </c>
      <c r="O1451" t="e">
        <v>#N/A</v>
      </c>
      <c r="P1451" t="e">
        <v>#N/A</v>
      </c>
      <c r="R1451" t="e">
        <v>#N/A</v>
      </c>
      <c r="T1451" t="s">
        <v>5985</v>
      </c>
      <c r="U1451" t="s">
        <v>5985</v>
      </c>
      <c r="V1451" t="s">
        <v>5985</v>
      </c>
      <c r="Y1451" t="s">
        <v>6948</v>
      </c>
      <c r="Z1451" t="s">
        <v>6949</v>
      </c>
      <c r="AA1451" t="s">
        <v>6950</v>
      </c>
      <c r="AB1451" t="s">
        <v>6951</v>
      </c>
      <c r="AC1451" t="s">
        <v>6952</v>
      </c>
      <c r="AD1451" t="s">
        <v>6953</v>
      </c>
    </row>
    <row r="1452" spans="1:30">
      <c r="A1452">
        <v>11006255</v>
      </c>
      <c r="B1452" t="s">
        <v>5192</v>
      </c>
      <c r="C1452" t="s">
        <v>5803</v>
      </c>
      <c r="D1452" t="s">
        <v>6043</v>
      </c>
      <c r="E1452" t="s">
        <v>6044</v>
      </c>
      <c r="J1452" t="s">
        <v>6722</v>
      </c>
      <c r="M1452" t="e">
        <v>#N/A</v>
      </c>
      <c r="N1452" t="e">
        <v>#N/A</v>
      </c>
      <c r="O1452" t="e">
        <v>#N/A</v>
      </c>
      <c r="P1452" t="e">
        <v>#N/A</v>
      </c>
      <c r="R1452" t="e">
        <v>#N/A</v>
      </c>
      <c r="T1452" t="s">
        <v>5985</v>
      </c>
      <c r="U1452" t="s">
        <v>5985</v>
      </c>
      <c r="V1452" t="s">
        <v>5985</v>
      </c>
      <c r="Y1452" t="s">
        <v>6948</v>
      </c>
      <c r="Z1452" t="s">
        <v>6949</v>
      </c>
      <c r="AA1452" t="s">
        <v>6950</v>
      </c>
      <c r="AB1452" t="s">
        <v>6951</v>
      </c>
      <c r="AC1452" t="s">
        <v>6952</v>
      </c>
      <c r="AD1452" t="s">
        <v>6953</v>
      </c>
    </row>
    <row r="1453" spans="1:30">
      <c r="A1453">
        <v>11006247</v>
      </c>
      <c r="B1453" t="s">
        <v>5193</v>
      </c>
      <c r="C1453" t="s">
        <v>5809</v>
      </c>
      <c r="D1453" t="s">
        <v>6047</v>
      </c>
      <c r="E1453" t="s">
        <v>6048</v>
      </c>
      <c r="J1453" t="s">
        <v>6732</v>
      </c>
      <c r="M1453" t="e">
        <v>#N/A</v>
      </c>
      <c r="N1453" t="e">
        <v>#N/A</v>
      </c>
      <c r="O1453" t="e">
        <v>#N/A</v>
      </c>
      <c r="P1453" t="e">
        <v>#N/A</v>
      </c>
      <c r="R1453" t="e">
        <v>#N/A</v>
      </c>
      <c r="T1453" t="s">
        <v>5985</v>
      </c>
      <c r="U1453" t="s">
        <v>5985</v>
      </c>
      <c r="V1453" t="s">
        <v>5985</v>
      </c>
      <c r="Y1453" t="s">
        <v>6948</v>
      </c>
      <c r="Z1453" t="s">
        <v>6949</v>
      </c>
      <c r="AA1453" t="s">
        <v>6950</v>
      </c>
      <c r="AB1453" t="s">
        <v>6951</v>
      </c>
      <c r="AC1453" t="s">
        <v>6952</v>
      </c>
      <c r="AD1453" t="s">
        <v>6953</v>
      </c>
    </row>
    <row r="1454" spans="1:30">
      <c r="A1454">
        <v>11006848</v>
      </c>
      <c r="B1454" t="s">
        <v>5194</v>
      </c>
      <c r="C1454" t="s">
        <v>5796</v>
      </c>
      <c r="D1454" t="s">
        <v>6033</v>
      </c>
      <c r="E1454" t="s">
        <v>6034</v>
      </c>
      <c r="J1454" t="s">
        <v>6706</v>
      </c>
      <c r="M1454" t="e">
        <v>#N/A</v>
      </c>
      <c r="N1454" t="e">
        <v>#N/A</v>
      </c>
      <c r="O1454" t="e">
        <v>#N/A</v>
      </c>
      <c r="P1454" t="e">
        <v>#N/A</v>
      </c>
      <c r="R1454" t="e">
        <v>#N/A</v>
      </c>
      <c r="T1454" t="s">
        <v>5985</v>
      </c>
      <c r="U1454" t="s">
        <v>5985</v>
      </c>
      <c r="V1454" t="s">
        <v>5985</v>
      </c>
      <c r="Y1454" t="s">
        <v>6948</v>
      </c>
      <c r="Z1454" t="s">
        <v>6949</v>
      </c>
      <c r="AA1454" t="s">
        <v>6950</v>
      </c>
      <c r="AB1454" t="s">
        <v>6951</v>
      </c>
      <c r="AC1454" t="s">
        <v>6952</v>
      </c>
      <c r="AD1454" t="s">
        <v>6953</v>
      </c>
    </row>
    <row r="1455" spans="1:30">
      <c r="A1455" t="s">
        <v>4604</v>
      </c>
      <c r="B1455" t="s">
        <v>5195</v>
      </c>
      <c r="C1455" t="s">
        <v>5727</v>
      </c>
      <c r="D1455" t="s">
        <v>6010</v>
      </c>
      <c r="E1455" t="s">
        <v>6011</v>
      </c>
      <c r="J1455" t="s">
        <v>6640</v>
      </c>
      <c r="M1455" t="e">
        <v>#N/A</v>
      </c>
      <c r="N1455" t="e">
        <v>#N/A</v>
      </c>
      <c r="O1455" t="e">
        <v>#N/A</v>
      </c>
      <c r="P1455" t="e">
        <v>#N/A</v>
      </c>
      <c r="R1455" t="e">
        <v>#N/A</v>
      </c>
      <c r="T1455" t="s">
        <v>5985</v>
      </c>
      <c r="U1455" t="s">
        <v>5985</v>
      </c>
      <c r="V1455" t="s">
        <v>5985</v>
      </c>
      <c r="Y1455" t="s">
        <v>6948</v>
      </c>
      <c r="Z1455" t="s">
        <v>6949</v>
      </c>
      <c r="AA1455" t="s">
        <v>6950</v>
      </c>
      <c r="AB1455" t="s">
        <v>6951</v>
      </c>
      <c r="AC1455" t="s">
        <v>6952</v>
      </c>
      <c r="AD1455" t="s">
        <v>6953</v>
      </c>
    </row>
    <row r="1456" spans="1:30">
      <c r="A1456" t="s">
        <v>4604</v>
      </c>
      <c r="B1456" t="s">
        <v>5196</v>
      </c>
      <c r="C1456" t="s">
        <v>5723</v>
      </c>
      <c r="D1456" t="s">
        <v>6008</v>
      </c>
      <c r="E1456" t="s">
        <v>6009</v>
      </c>
      <c r="J1456" t="s">
        <v>6637</v>
      </c>
      <c r="M1456" t="e">
        <v>#N/A</v>
      </c>
      <c r="N1456" t="e">
        <v>#N/A</v>
      </c>
      <c r="O1456" t="e">
        <v>#N/A</v>
      </c>
      <c r="P1456" t="e">
        <v>#N/A</v>
      </c>
      <c r="R1456" t="e">
        <v>#N/A</v>
      </c>
      <c r="T1456" t="s">
        <v>5985</v>
      </c>
      <c r="U1456" t="s">
        <v>5985</v>
      </c>
      <c r="V1456" t="s">
        <v>5985</v>
      </c>
      <c r="Y1456" t="s">
        <v>6948</v>
      </c>
      <c r="Z1456" t="s">
        <v>6949</v>
      </c>
      <c r="AA1456" t="s">
        <v>6950</v>
      </c>
      <c r="AB1456" t="s">
        <v>6951</v>
      </c>
      <c r="AC1456" t="s">
        <v>6952</v>
      </c>
      <c r="AD1456" t="s">
        <v>6953</v>
      </c>
    </row>
    <row r="1457" spans="1:30">
      <c r="A1457">
        <v>11007065</v>
      </c>
      <c r="B1457" t="s">
        <v>5197</v>
      </c>
      <c r="C1457" t="s">
        <v>5694</v>
      </c>
      <c r="D1457" t="s">
        <v>6000</v>
      </c>
      <c r="E1457" t="s">
        <v>6001</v>
      </c>
      <c r="J1457" t="s">
        <v>6859</v>
      </c>
      <c r="M1457" t="e">
        <v>#N/A</v>
      </c>
      <c r="N1457" t="e">
        <v>#N/A</v>
      </c>
      <c r="O1457" t="e">
        <v>#N/A</v>
      </c>
      <c r="P1457" t="e">
        <v>#N/A</v>
      </c>
      <c r="R1457" t="e">
        <v>#N/A</v>
      </c>
      <c r="T1457" t="s">
        <v>5985</v>
      </c>
      <c r="U1457" t="s">
        <v>5985</v>
      </c>
      <c r="V1457" t="s">
        <v>5985</v>
      </c>
      <c r="Y1457" t="s">
        <v>6948</v>
      </c>
      <c r="Z1457" t="s">
        <v>6949</v>
      </c>
      <c r="AA1457" t="s">
        <v>6950</v>
      </c>
      <c r="AB1457" t="s">
        <v>6951</v>
      </c>
      <c r="AC1457" t="s">
        <v>6952</v>
      </c>
      <c r="AD1457" t="s">
        <v>6953</v>
      </c>
    </row>
    <row r="1458" spans="1:30">
      <c r="A1458" t="s">
        <v>4604</v>
      </c>
      <c r="B1458" t="s">
        <v>5198</v>
      </c>
      <c r="C1458" t="s">
        <v>5657</v>
      </c>
      <c r="D1458" t="s">
        <v>6000</v>
      </c>
      <c r="E1458" t="s">
        <v>6001</v>
      </c>
      <c r="J1458" t="s">
        <v>6613</v>
      </c>
      <c r="M1458" t="e">
        <v>#N/A</v>
      </c>
      <c r="N1458" t="e">
        <v>#N/A</v>
      </c>
      <c r="O1458" t="e">
        <v>#N/A</v>
      </c>
      <c r="P1458" t="e">
        <v>#N/A</v>
      </c>
      <c r="R1458" t="e">
        <v>#N/A</v>
      </c>
      <c r="T1458" t="s">
        <v>5985</v>
      </c>
      <c r="U1458" t="s">
        <v>5985</v>
      </c>
      <c r="V1458" t="s">
        <v>5985</v>
      </c>
      <c r="Y1458" t="s">
        <v>6948</v>
      </c>
      <c r="Z1458" t="s">
        <v>6949</v>
      </c>
      <c r="AA1458" t="s">
        <v>6950</v>
      </c>
      <c r="AB1458" t="s">
        <v>6951</v>
      </c>
      <c r="AC1458" t="s">
        <v>6952</v>
      </c>
      <c r="AD1458" t="s">
        <v>6953</v>
      </c>
    </row>
    <row r="1459" spans="1:30">
      <c r="A1459" t="s">
        <v>4604</v>
      </c>
      <c r="B1459" t="s">
        <v>5199</v>
      </c>
      <c r="C1459" t="s">
        <v>5699</v>
      </c>
      <c r="D1459" t="s">
        <v>6002</v>
      </c>
      <c r="E1459" t="s">
        <v>6003</v>
      </c>
      <c r="J1459" t="s">
        <v>6616</v>
      </c>
      <c r="M1459" t="e">
        <v>#N/A</v>
      </c>
      <c r="N1459" t="e">
        <v>#N/A</v>
      </c>
      <c r="O1459" t="e">
        <v>#N/A</v>
      </c>
      <c r="P1459" t="e">
        <v>#N/A</v>
      </c>
      <c r="R1459" t="e">
        <v>#N/A</v>
      </c>
      <c r="T1459" t="s">
        <v>5985</v>
      </c>
      <c r="U1459" t="s">
        <v>5985</v>
      </c>
      <c r="V1459" t="s">
        <v>5985</v>
      </c>
      <c r="Y1459" t="s">
        <v>6948</v>
      </c>
      <c r="Z1459" t="s">
        <v>6949</v>
      </c>
      <c r="AA1459" t="s">
        <v>6950</v>
      </c>
      <c r="AB1459" t="s">
        <v>6951</v>
      </c>
      <c r="AC1459" t="s">
        <v>6952</v>
      </c>
      <c r="AD1459" t="s">
        <v>6953</v>
      </c>
    </row>
    <row r="1460" spans="1:30">
      <c r="A1460" t="s">
        <v>4604</v>
      </c>
      <c r="B1460" t="s">
        <v>5200</v>
      </c>
      <c r="C1460" t="s">
        <v>5690</v>
      </c>
      <c r="D1460" t="s">
        <v>5996</v>
      </c>
      <c r="E1460" t="s">
        <v>5997</v>
      </c>
      <c r="J1460" t="s">
        <v>6604</v>
      </c>
      <c r="M1460" t="e">
        <v>#N/A</v>
      </c>
      <c r="N1460" t="e">
        <v>#N/A</v>
      </c>
      <c r="O1460" t="e">
        <v>#N/A</v>
      </c>
      <c r="P1460" t="e">
        <v>#N/A</v>
      </c>
      <c r="R1460" t="e">
        <v>#N/A</v>
      </c>
      <c r="T1460" t="s">
        <v>5985</v>
      </c>
      <c r="U1460" t="s">
        <v>5985</v>
      </c>
      <c r="V1460" t="s">
        <v>5985</v>
      </c>
      <c r="Y1460" t="s">
        <v>6948</v>
      </c>
      <c r="Z1460" t="s">
        <v>6949</v>
      </c>
      <c r="AA1460" t="s">
        <v>6950</v>
      </c>
      <c r="AB1460" t="s">
        <v>6951</v>
      </c>
      <c r="AC1460" t="s">
        <v>6952</v>
      </c>
      <c r="AD1460" t="s">
        <v>6953</v>
      </c>
    </row>
    <row r="1461" spans="1:30">
      <c r="A1461" t="s">
        <v>4604</v>
      </c>
      <c r="B1461" t="s">
        <v>5201</v>
      </c>
      <c r="C1461" t="s">
        <v>5676</v>
      </c>
      <c r="D1461" t="s">
        <v>5998</v>
      </c>
      <c r="E1461" t="s">
        <v>5999</v>
      </c>
      <c r="J1461" t="s">
        <v>6607</v>
      </c>
      <c r="M1461" t="e">
        <v>#N/A</v>
      </c>
      <c r="N1461" t="e">
        <v>#N/A</v>
      </c>
      <c r="O1461" t="e">
        <v>#N/A</v>
      </c>
      <c r="P1461" t="e">
        <v>#N/A</v>
      </c>
      <c r="R1461" t="e">
        <v>#N/A</v>
      </c>
      <c r="T1461" t="s">
        <v>5985</v>
      </c>
      <c r="U1461" t="s">
        <v>5985</v>
      </c>
      <c r="V1461" t="s">
        <v>5985</v>
      </c>
      <c r="Y1461" t="s">
        <v>6948</v>
      </c>
      <c r="Z1461" t="s">
        <v>6949</v>
      </c>
      <c r="AA1461" t="s">
        <v>6950</v>
      </c>
      <c r="AB1461" t="s">
        <v>6951</v>
      </c>
      <c r="AC1461" t="s">
        <v>6952</v>
      </c>
      <c r="AD1461" t="s">
        <v>6953</v>
      </c>
    </row>
    <row r="1462" spans="1:30">
      <c r="A1462" t="s">
        <v>4604</v>
      </c>
      <c r="B1462" t="s">
        <v>5202</v>
      </c>
      <c r="C1462" t="s">
        <v>5668</v>
      </c>
      <c r="D1462" t="s">
        <v>6155</v>
      </c>
      <c r="E1462" t="s">
        <v>5980</v>
      </c>
      <c r="J1462" t="s">
        <v>6582</v>
      </c>
      <c r="M1462" t="e">
        <v>#N/A</v>
      </c>
      <c r="N1462" t="e">
        <v>#N/A</v>
      </c>
      <c r="O1462" t="e">
        <v>#N/A</v>
      </c>
      <c r="P1462" t="e">
        <v>#N/A</v>
      </c>
      <c r="R1462" t="e">
        <v>#N/A</v>
      </c>
      <c r="T1462" t="s">
        <v>5985</v>
      </c>
      <c r="U1462" t="s">
        <v>5985</v>
      </c>
      <c r="V1462" t="s">
        <v>5985</v>
      </c>
      <c r="Y1462" t="s">
        <v>6948</v>
      </c>
      <c r="Z1462" t="s">
        <v>6949</v>
      </c>
      <c r="AA1462" t="s">
        <v>6950</v>
      </c>
      <c r="AB1462" t="s">
        <v>6951</v>
      </c>
      <c r="AC1462" t="s">
        <v>6952</v>
      </c>
      <c r="AD1462" t="s">
        <v>6953</v>
      </c>
    </row>
    <row r="1463" spans="1:30">
      <c r="A1463" t="s">
        <v>4604</v>
      </c>
      <c r="B1463" t="s">
        <v>5203</v>
      </c>
      <c r="C1463" t="s">
        <v>5668</v>
      </c>
      <c r="D1463" t="s">
        <v>6055</v>
      </c>
      <c r="E1463" t="s">
        <v>6056</v>
      </c>
      <c r="J1463" t="s">
        <v>6582</v>
      </c>
      <c r="M1463" t="e">
        <v>#N/A</v>
      </c>
      <c r="N1463" t="e">
        <v>#N/A</v>
      </c>
      <c r="O1463" t="e">
        <v>#N/A</v>
      </c>
      <c r="P1463" t="e">
        <v>#N/A</v>
      </c>
      <c r="R1463" t="e">
        <v>#N/A</v>
      </c>
      <c r="T1463" t="s">
        <v>5985</v>
      </c>
      <c r="U1463" t="s">
        <v>5985</v>
      </c>
      <c r="V1463" t="s">
        <v>5985</v>
      </c>
      <c r="Y1463" t="s">
        <v>6948</v>
      </c>
      <c r="Z1463" t="s">
        <v>6949</v>
      </c>
      <c r="AA1463" t="s">
        <v>6950</v>
      </c>
      <c r="AB1463" t="s">
        <v>6951</v>
      </c>
      <c r="AC1463" t="s">
        <v>6952</v>
      </c>
      <c r="AD1463" t="s">
        <v>6953</v>
      </c>
    </row>
    <row r="1464" spans="1:30">
      <c r="A1464" t="s">
        <v>4604</v>
      </c>
      <c r="B1464" t="s">
        <v>5204</v>
      </c>
      <c r="C1464" t="s">
        <v>5794</v>
      </c>
      <c r="D1464" t="s">
        <v>6031</v>
      </c>
      <c r="E1464" t="s">
        <v>6032</v>
      </c>
      <c r="J1464" t="s">
        <v>6704</v>
      </c>
      <c r="M1464" t="e">
        <v>#N/A</v>
      </c>
      <c r="N1464" t="e">
        <v>#N/A</v>
      </c>
      <c r="O1464" t="e">
        <v>#N/A</v>
      </c>
      <c r="P1464" t="e">
        <v>#N/A</v>
      </c>
      <c r="R1464" t="e">
        <v>#N/A</v>
      </c>
      <c r="T1464" t="s">
        <v>5985</v>
      </c>
      <c r="U1464" t="s">
        <v>5985</v>
      </c>
      <c r="V1464" t="s">
        <v>5985</v>
      </c>
      <c r="Y1464" t="s">
        <v>6948</v>
      </c>
      <c r="Z1464" t="s">
        <v>6949</v>
      </c>
      <c r="AA1464" t="s">
        <v>6950</v>
      </c>
      <c r="AB1464" t="s">
        <v>6951</v>
      </c>
      <c r="AC1464" t="s">
        <v>6952</v>
      </c>
      <c r="AD1464" t="s">
        <v>6953</v>
      </c>
    </row>
    <row r="1465" spans="1:30">
      <c r="A1465" t="s">
        <v>4604</v>
      </c>
      <c r="B1465" t="s">
        <v>5205</v>
      </c>
      <c r="C1465" t="s">
        <v>5794</v>
      </c>
      <c r="D1465" t="s">
        <v>6149</v>
      </c>
      <c r="E1465" t="s">
        <v>6088</v>
      </c>
      <c r="J1465" t="s">
        <v>6704</v>
      </c>
      <c r="M1465" t="e">
        <v>#N/A</v>
      </c>
      <c r="N1465" t="e">
        <v>#N/A</v>
      </c>
      <c r="O1465" t="e">
        <v>#N/A</v>
      </c>
      <c r="P1465" t="e">
        <v>#N/A</v>
      </c>
      <c r="R1465" t="e">
        <v>#N/A</v>
      </c>
      <c r="T1465" t="s">
        <v>5985</v>
      </c>
      <c r="U1465" t="s">
        <v>5985</v>
      </c>
      <c r="V1465" t="s">
        <v>5985</v>
      </c>
      <c r="Y1465" t="s">
        <v>6948</v>
      </c>
      <c r="Z1465" t="s">
        <v>6949</v>
      </c>
      <c r="AA1465" t="s">
        <v>6950</v>
      </c>
      <c r="AB1465" t="s">
        <v>6951</v>
      </c>
      <c r="AC1465" t="s">
        <v>6952</v>
      </c>
      <c r="AD1465" t="s">
        <v>6953</v>
      </c>
    </row>
    <row r="1466" spans="1:30">
      <c r="A1466" t="s">
        <v>4604</v>
      </c>
      <c r="B1466" t="s">
        <v>5206</v>
      </c>
      <c r="C1466" t="s">
        <v>5683</v>
      </c>
      <c r="D1466" t="s">
        <v>5993</v>
      </c>
      <c r="E1466" t="s">
        <v>5992</v>
      </c>
      <c r="J1466" t="s">
        <v>6597</v>
      </c>
      <c r="M1466" t="e">
        <v>#N/A</v>
      </c>
      <c r="N1466" t="e">
        <v>#N/A</v>
      </c>
      <c r="O1466" t="e">
        <v>#N/A</v>
      </c>
      <c r="P1466" t="e">
        <v>#N/A</v>
      </c>
      <c r="R1466" t="e">
        <v>#N/A</v>
      </c>
      <c r="T1466" t="s">
        <v>5985</v>
      </c>
      <c r="U1466" t="s">
        <v>5985</v>
      </c>
      <c r="V1466" t="s">
        <v>5985</v>
      </c>
      <c r="Y1466" t="s">
        <v>6948</v>
      </c>
      <c r="Z1466" t="s">
        <v>6949</v>
      </c>
      <c r="AA1466" t="s">
        <v>6950</v>
      </c>
      <c r="AB1466" t="s">
        <v>6951</v>
      </c>
      <c r="AC1466" t="s">
        <v>6952</v>
      </c>
      <c r="AD1466" t="s">
        <v>6953</v>
      </c>
    </row>
    <row r="1467" spans="1:30">
      <c r="A1467" t="s">
        <v>4604</v>
      </c>
      <c r="B1467" t="s">
        <v>5207</v>
      </c>
      <c r="C1467" t="s">
        <v>5738</v>
      </c>
      <c r="D1467" t="s">
        <v>6018</v>
      </c>
      <c r="E1467" t="s">
        <v>6019</v>
      </c>
      <c r="J1467" t="s">
        <v>6651</v>
      </c>
      <c r="M1467" t="e">
        <v>#N/A</v>
      </c>
      <c r="N1467" t="e">
        <v>#N/A</v>
      </c>
      <c r="O1467" t="e">
        <v>#N/A</v>
      </c>
      <c r="P1467" t="e">
        <v>#N/A</v>
      </c>
      <c r="R1467" t="e">
        <v>#N/A</v>
      </c>
      <c r="T1467" t="s">
        <v>5985</v>
      </c>
      <c r="U1467" t="s">
        <v>5985</v>
      </c>
      <c r="V1467" t="s">
        <v>5985</v>
      </c>
      <c r="Y1467" t="s">
        <v>6948</v>
      </c>
      <c r="Z1467" t="s">
        <v>6949</v>
      </c>
      <c r="AA1467" t="s">
        <v>6950</v>
      </c>
      <c r="AB1467" t="s">
        <v>6951</v>
      </c>
      <c r="AC1467" t="s">
        <v>6952</v>
      </c>
      <c r="AD1467" t="s">
        <v>6953</v>
      </c>
    </row>
    <row r="1468" spans="1:30">
      <c r="A1468" t="s">
        <v>4604</v>
      </c>
      <c r="B1468" t="s">
        <v>5208</v>
      </c>
      <c r="C1468" t="s">
        <v>5703</v>
      </c>
      <c r="D1468" t="s">
        <v>6153</v>
      </c>
      <c r="E1468" t="s">
        <v>6005</v>
      </c>
      <c r="J1468" t="s">
        <v>6620</v>
      </c>
      <c r="M1468" t="e">
        <v>#N/A</v>
      </c>
      <c r="N1468" t="e">
        <v>#N/A</v>
      </c>
      <c r="O1468" t="e">
        <v>#N/A</v>
      </c>
      <c r="P1468" t="e">
        <v>#N/A</v>
      </c>
      <c r="R1468" t="e">
        <v>#N/A</v>
      </c>
      <c r="T1468" t="s">
        <v>5985</v>
      </c>
      <c r="U1468" t="s">
        <v>5985</v>
      </c>
      <c r="V1468" t="s">
        <v>5985</v>
      </c>
      <c r="Y1468" t="s">
        <v>6948</v>
      </c>
      <c r="Z1468" t="s">
        <v>6949</v>
      </c>
      <c r="AA1468" t="s">
        <v>6950</v>
      </c>
      <c r="AB1468" t="s">
        <v>6951</v>
      </c>
      <c r="AC1468" t="s">
        <v>6952</v>
      </c>
      <c r="AD1468" t="s">
        <v>6953</v>
      </c>
    </row>
    <row r="1469" spans="1:30">
      <c r="A1469" t="s">
        <v>4604</v>
      </c>
      <c r="B1469" t="s">
        <v>5209</v>
      </c>
      <c r="C1469" t="s">
        <v>5707</v>
      </c>
      <c r="D1469" t="s">
        <v>6004</v>
      </c>
      <c r="E1469" t="s">
        <v>6005</v>
      </c>
      <c r="J1469" t="s">
        <v>6622</v>
      </c>
      <c r="M1469" t="e">
        <v>#N/A</v>
      </c>
      <c r="N1469" t="e">
        <v>#N/A</v>
      </c>
      <c r="O1469" t="e">
        <v>#N/A</v>
      </c>
      <c r="P1469" t="e">
        <v>#N/A</v>
      </c>
      <c r="R1469" t="e">
        <v>#N/A</v>
      </c>
      <c r="T1469" t="s">
        <v>5985</v>
      </c>
      <c r="U1469" t="s">
        <v>5985</v>
      </c>
      <c r="V1469" t="s">
        <v>5985</v>
      </c>
      <c r="Y1469" t="s">
        <v>6948</v>
      </c>
      <c r="Z1469" t="s">
        <v>6949</v>
      </c>
      <c r="AA1469" t="s">
        <v>6950</v>
      </c>
      <c r="AB1469" t="s">
        <v>6951</v>
      </c>
      <c r="AC1469" t="s">
        <v>6952</v>
      </c>
      <c r="AD1469" t="s">
        <v>6953</v>
      </c>
    </row>
    <row r="1470" spans="1:30">
      <c r="A1470" t="s">
        <v>4604</v>
      </c>
      <c r="B1470" t="s">
        <v>5210</v>
      </c>
      <c r="C1470" t="s">
        <v>5711</v>
      </c>
      <c r="D1470" t="s">
        <v>6153</v>
      </c>
      <c r="E1470" t="s">
        <v>6005</v>
      </c>
      <c r="J1470" t="s">
        <v>6625</v>
      </c>
      <c r="M1470" t="e">
        <v>#N/A</v>
      </c>
      <c r="N1470" t="e">
        <v>#N/A</v>
      </c>
      <c r="O1470" t="e">
        <v>#N/A</v>
      </c>
      <c r="P1470" t="e">
        <v>#N/A</v>
      </c>
      <c r="R1470" t="e">
        <v>#N/A</v>
      </c>
      <c r="T1470" t="s">
        <v>5985</v>
      </c>
      <c r="U1470" t="s">
        <v>5985</v>
      </c>
      <c r="V1470" t="s">
        <v>5985</v>
      </c>
      <c r="Y1470" t="s">
        <v>6948</v>
      </c>
      <c r="Z1470" t="s">
        <v>6949</v>
      </c>
      <c r="AA1470" t="s">
        <v>6950</v>
      </c>
      <c r="AB1470" t="s">
        <v>6951</v>
      </c>
      <c r="AC1470" t="s">
        <v>6952</v>
      </c>
      <c r="AD1470" t="s">
        <v>6953</v>
      </c>
    </row>
    <row r="1471" spans="1:30">
      <c r="A1471">
        <v>11007008</v>
      </c>
      <c r="B1471" t="s">
        <v>5211</v>
      </c>
      <c r="C1471" t="s">
        <v>5742</v>
      </c>
      <c r="D1471" t="s">
        <v>6018</v>
      </c>
      <c r="E1471" t="s">
        <v>6019</v>
      </c>
      <c r="J1471" t="s">
        <v>6653</v>
      </c>
      <c r="M1471" t="e">
        <v>#N/A</v>
      </c>
      <c r="N1471" t="e">
        <v>#N/A</v>
      </c>
      <c r="O1471" t="e">
        <v>#N/A</v>
      </c>
      <c r="P1471" t="e">
        <v>#N/A</v>
      </c>
      <c r="R1471" t="e">
        <v>#N/A</v>
      </c>
      <c r="T1471" t="s">
        <v>5985</v>
      </c>
      <c r="U1471" t="s">
        <v>5985</v>
      </c>
      <c r="V1471" t="s">
        <v>5985</v>
      </c>
      <c r="Y1471" t="s">
        <v>6948</v>
      </c>
      <c r="Z1471" t="s">
        <v>6949</v>
      </c>
      <c r="AA1471" t="s">
        <v>6950</v>
      </c>
      <c r="AB1471" t="s">
        <v>6951</v>
      </c>
      <c r="AC1471" t="s">
        <v>6952</v>
      </c>
      <c r="AD1471" t="s">
        <v>6953</v>
      </c>
    </row>
    <row r="1472" spans="1:30">
      <c r="A1472">
        <v>11007004</v>
      </c>
      <c r="B1472" t="s">
        <v>5212</v>
      </c>
      <c r="C1472" t="s">
        <v>5746</v>
      </c>
      <c r="D1472" t="s">
        <v>6018</v>
      </c>
      <c r="E1472" t="s">
        <v>6019</v>
      </c>
      <c r="J1472" t="s">
        <v>6655</v>
      </c>
      <c r="M1472" t="e">
        <v>#N/A</v>
      </c>
      <c r="N1472" t="e">
        <v>#N/A</v>
      </c>
      <c r="O1472" t="e">
        <v>#N/A</v>
      </c>
      <c r="P1472" t="e">
        <v>#N/A</v>
      </c>
      <c r="R1472" t="e">
        <v>#N/A</v>
      </c>
      <c r="T1472" t="s">
        <v>5985</v>
      </c>
      <c r="U1472" t="s">
        <v>5985</v>
      </c>
      <c r="V1472" t="s">
        <v>5985</v>
      </c>
      <c r="Y1472" t="s">
        <v>6948</v>
      </c>
      <c r="Z1472" t="s">
        <v>6949</v>
      </c>
      <c r="AA1472" t="s">
        <v>6950</v>
      </c>
      <c r="AB1472" t="s">
        <v>6951</v>
      </c>
      <c r="AC1472" t="s">
        <v>6952</v>
      </c>
      <c r="AD1472" t="s">
        <v>6953</v>
      </c>
    </row>
    <row r="1473" spans="1:30">
      <c r="A1473" t="s">
        <v>4604</v>
      </c>
      <c r="B1473" t="s">
        <v>5213</v>
      </c>
      <c r="C1473" t="s">
        <v>5715</v>
      </c>
      <c r="D1473" t="s">
        <v>6153</v>
      </c>
      <c r="E1473" t="s">
        <v>6005</v>
      </c>
      <c r="J1473" t="s">
        <v>6629</v>
      </c>
      <c r="M1473" t="e">
        <v>#N/A</v>
      </c>
      <c r="N1473" t="e">
        <v>#N/A</v>
      </c>
      <c r="O1473" t="e">
        <v>#N/A</v>
      </c>
      <c r="P1473" t="e">
        <v>#N/A</v>
      </c>
      <c r="R1473" t="e">
        <v>#N/A</v>
      </c>
      <c r="T1473" t="s">
        <v>5985</v>
      </c>
      <c r="U1473" t="s">
        <v>5985</v>
      </c>
      <c r="V1473" t="s">
        <v>5985</v>
      </c>
      <c r="Y1473" t="s">
        <v>6948</v>
      </c>
      <c r="Z1473" t="s">
        <v>6949</v>
      </c>
      <c r="AA1473" t="s">
        <v>6950</v>
      </c>
      <c r="AB1473" t="s">
        <v>6951</v>
      </c>
      <c r="AC1473" t="s">
        <v>6952</v>
      </c>
      <c r="AD1473" t="s">
        <v>6953</v>
      </c>
    </row>
    <row r="1474" spans="1:30">
      <c r="A1474" t="s">
        <v>4604</v>
      </c>
      <c r="B1474" t="s">
        <v>5214</v>
      </c>
      <c r="C1474" t="s">
        <v>5732</v>
      </c>
      <c r="D1474" t="s">
        <v>6014</v>
      </c>
      <c r="E1474" t="s">
        <v>6015</v>
      </c>
      <c r="J1474" t="s">
        <v>6645</v>
      </c>
      <c r="M1474" t="e">
        <v>#N/A</v>
      </c>
      <c r="N1474" t="e">
        <v>#N/A</v>
      </c>
      <c r="O1474" t="e">
        <v>#N/A</v>
      </c>
      <c r="P1474" t="e">
        <v>#N/A</v>
      </c>
      <c r="R1474" t="e">
        <v>#N/A</v>
      </c>
      <c r="T1474" t="s">
        <v>5985</v>
      </c>
      <c r="U1474" t="s">
        <v>5985</v>
      </c>
      <c r="V1474" t="s">
        <v>5985</v>
      </c>
      <c r="Y1474" t="s">
        <v>6948</v>
      </c>
      <c r="Z1474" t="s">
        <v>6949</v>
      </c>
      <c r="AA1474" t="s">
        <v>6950</v>
      </c>
      <c r="AB1474" t="s">
        <v>6951</v>
      </c>
      <c r="AC1474" t="s">
        <v>6952</v>
      </c>
      <c r="AD1474" t="s">
        <v>6953</v>
      </c>
    </row>
    <row r="1475" spans="1:30">
      <c r="A1475">
        <v>11007033</v>
      </c>
      <c r="B1475" t="s">
        <v>5215</v>
      </c>
      <c r="C1475" t="s">
        <v>5720</v>
      </c>
      <c r="D1475" t="s">
        <v>6006</v>
      </c>
      <c r="E1475" t="s">
        <v>6007</v>
      </c>
      <c r="J1475" t="s">
        <v>6634</v>
      </c>
      <c r="M1475" t="e">
        <v>#N/A</v>
      </c>
      <c r="N1475" t="e">
        <v>#N/A</v>
      </c>
      <c r="O1475" t="e">
        <v>#N/A</v>
      </c>
      <c r="P1475" t="e">
        <v>#N/A</v>
      </c>
      <c r="R1475" t="e">
        <v>#N/A</v>
      </c>
      <c r="T1475" t="s">
        <v>5985</v>
      </c>
      <c r="U1475" t="s">
        <v>5985</v>
      </c>
      <c r="V1475" t="s">
        <v>5985</v>
      </c>
      <c r="Y1475" t="s">
        <v>6948</v>
      </c>
      <c r="Z1475" t="s">
        <v>6949</v>
      </c>
      <c r="AA1475" t="s">
        <v>6950</v>
      </c>
      <c r="AB1475" t="s">
        <v>6951</v>
      </c>
      <c r="AC1475" t="s">
        <v>6952</v>
      </c>
      <c r="AD1475" t="s">
        <v>6953</v>
      </c>
    </row>
    <row r="1476" spans="1:30">
      <c r="A1476" t="s">
        <v>4604</v>
      </c>
      <c r="B1476" t="s">
        <v>5216</v>
      </c>
      <c r="C1476" t="s">
        <v>5807</v>
      </c>
      <c r="D1476" t="s">
        <v>6045</v>
      </c>
      <c r="E1476" t="s">
        <v>6046</v>
      </c>
      <c r="J1476" t="s">
        <v>6729</v>
      </c>
      <c r="M1476" t="e">
        <v>#N/A</v>
      </c>
      <c r="N1476" t="e">
        <v>#N/A</v>
      </c>
      <c r="O1476" t="e">
        <v>#N/A</v>
      </c>
      <c r="P1476" t="e">
        <v>#N/A</v>
      </c>
      <c r="R1476" t="e">
        <v>#N/A</v>
      </c>
      <c r="T1476" t="s">
        <v>5985</v>
      </c>
      <c r="U1476" t="s">
        <v>5985</v>
      </c>
      <c r="V1476" t="s">
        <v>5985</v>
      </c>
      <c r="Y1476" t="s">
        <v>6948</v>
      </c>
      <c r="Z1476" t="s">
        <v>6949</v>
      </c>
      <c r="AA1476" t="s">
        <v>6950</v>
      </c>
      <c r="AB1476" t="s">
        <v>6951</v>
      </c>
      <c r="AC1476" t="s">
        <v>6952</v>
      </c>
      <c r="AD1476" t="s">
        <v>6953</v>
      </c>
    </row>
    <row r="1477" spans="1:30">
      <c r="A1477" t="s">
        <v>4604</v>
      </c>
      <c r="B1477" t="s">
        <v>5217</v>
      </c>
      <c r="C1477" t="s">
        <v>5804</v>
      </c>
      <c r="D1477" t="s">
        <v>6043</v>
      </c>
      <c r="E1477" t="s">
        <v>6044</v>
      </c>
      <c r="J1477" t="s">
        <v>6723</v>
      </c>
      <c r="M1477" t="e">
        <v>#N/A</v>
      </c>
      <c r="N1477" t="e">
        <v>#N/A</v>
      </c>
      <c r="O1477" t="e">
        <v>#N/A</v>
      </c>
      <c r="P1477" t="e">
        <v>#N/A</v>
      </c>
      <c r="R1477" t="e">
        <v>#N/A</v>
      </c>
      <c r="T1477" t="s">
        <v>5985</v>
      </c>
      <c r="U1477" t="s">
        <v>5985</v>
      </c>
      <c r="V1477" t="s">
        <v>5985</v>
      </c>
      <c r="Y1477" t="s">
        <v>6948</v>
      </c>
      <c r="Z1477" t="s">
        <v>6949</v>
      </c>
      <c r="AA1477" t="s">
        <v>6950</v>
      </c>
      <c r="AB1477" t="s">
        <v>6951</v>
      </c>
      <c r="AC1477" t="s">
        <v>6952</v>
      </c>
      <c r="AD1477" t="s">
        <v>6953</v>
      </c>
    </row>
    <row r="1478" spans="1:30">
      <c r="A1478" t="s">
        <v>4604</v>
      </c>
      <c r="B1478" t="s">
        <v>5218</v>
      </c>
      <c r="C1478" t="s">
        <v>5810</v>
      </c>
      <c r="D1478" t="s">
        <v>6047</v>
      </c>
      <c r="E1478" t="s">
        <v>6048</v>
      </c>
      <c r="J1478" t="s">
        <v>6860</v>
      </c>
      <c r="M1478" t="e">
        <v>#N/A</v>
      </c>
      <c r="N1478" t="e">
        <v>#N/A</v>
      </c>
      <c r="O1478" t="e">
        <v>#N/A</v>
      </c>
      <c r="P1478" t="e">
        <v>#N/A</v>
      </c>
      <c r="R1478" t="e">
        <v>#N/A</v>
      </c>
      <c r="T1478" t="s">
        <v>5985</v>
      </c>
      <c r="U1478" t="s">
        <v>5985</v>
      </c>
      <c r="V1478" t="s">
        <v>5985</v>
      </c>
      <c r="Y1478" t="s">
        <v>6948</v>
      </c>
      <c r="Z1478" t="s">
        <v>6949</v>
      </c>
      <c r="AA1478" t="s">
        <v>6950</v>
      </c>
      <c r="AB1478" t="s">
        <v>6951</v>
      </c>
      <c r="AC1478" t="s">
        <v>6952</v>
      </c>
      <c r="AD1478" t="s">
        <v>6953</v>
      </c>
    </row>
    <row r="1479" spans="1:30">
      <c r="A1479" t="s">
        <v>4604</v>
      </c>
      <c r="B1479" t="s">
        <v>5219</v>
      </c>
      <c r="C1479" t="s">
        <v>5799</v>
      </c>
      <c r="D1479" t="s">
        <v>6033</v>
      </c>
      <c r="E1479" t="s">
        <v>6034</v>
      </c>
      <c r="J1479" t="s">
        <v>6709</v>
      </c>
      <c r="M1479" t="e">
        <v>#N/A</v>
      </c>
      <c r="N1479" t="e">
        <v>#N/A</v>
      </c>
      <c r="O1479" t="e">
        <v>#N/A</v>
      </c>
      <c r="P1479" t="e">
        <v>#N/A</v>
      </c>
      <c r="R1479" t="e">
        <v>#N/A</v>
      </c>
      <c r="T1479" t="s">
        <v>5985</v>
      </c>
      <c r="U1479" t="s">
        <v>5985</v>
      </c>
      <c r="V1479" t="s">
        <v>5985</v>
      </c>
      <c r="Y1479" t="s">
        <v>6948</v>
      </c>
      <c r="Z1479" t="s">
        <v>6949</v>
      </c>
      <c r="AA1479" t="s">
        <v>6950</v>
      </c>
      <c r="AB1479" t="s">
        <v>6951</v>
      </c>
      <c r="AC1479" t="s">
        <v>6952</v>
      </c>
      <c r="AD1479" t="s">
        <v>6953</v>
      </c>
    </row>
    <row r="1480" spans="1:30">
      <c r="A1480" t="s">
        <v>4604</v>
      </c>
      <c r="B1480" t="s">
        <v>5220</v>
      </c>
      <c r="C1480" t="s">
        <v>5693</v>
      </c>
      <c r="D1480" t="s">
        <v>6156</v>
      </c>
      <c r="E1480" t="s">
        <v>6001</v>
      </c>
      <c r="J1480" t="s">
        <v>6609</v>
      </c>
      <c r="M1480" t="e">
        <v>#N/A</v>
      </c>
      <c r="N1480" t="e">
        <v>#N/A</v>
      </c>
      <c r="O1480" t="e">
        <v>#N/A</v>
      </c>
      <c r="P1480" t="e">
        <v>#N/A</v>
      </c>
      <c r="R1480" t="e">
        <v>#N/A</v>
      </c>
      <c r="T1480" t="s">
        <v>5985</v>
      </c>
      <c r="U1480" t="s">
        <v>5985</v>
      </c>
      <c r="V1480" t="s">
        <v>5985</v>
      </c>
      <c r="Y1480" t="s">
        <v>6948</v>
      </c>
      <c r="Z1480" t="s">
        <v>6949</v>
      </c>
      <c r="AA1480" t="s">
        <v>6950</v>
      </c>
      <c r="AB1480" t="s">
        <v>6951</v>
      </c>
      <c r="AC1480" t="s">
        <v>6952</v>
      </c>
      <c r="AD1480" t="s">
        <v>6953</v>
      </c>
    </row>
    <row r="1481" spans="1:30">
      <c r="A1481" t="s">
        <v>4604</v>
      </c>
      <c r="B1481" t="s">
        <v>5221</v>
      </c>
      <c r="C1481" t="s">
        <v>5696</v>
      </c>
      <c r="D1481" t="s">
        <v>6000</v>
      </c>
      <c r="E1481" t="s">
        <v>6001</v>
      </c>
      <c r="J1481" t="s">
        <v>6612</v>
      </c>
      <c r="M1481" t="e">
        <v>#N/A</v>
      </c>
      <c r="N1481" t="e">
        <v>#N/A</v>
      </c>
      <c r="O1481" t="e">
        <v>#N/A</v>
      </c>
      <c r="P1481" t="e">
        <v>#N/A</v>
      </c>
      <c r="R1481" t="e">
        <v>#N/A</v>
      </c>
      <c r="T1481" t="s">
        <v>5985</v>
      </c>
      <c r="U1481" t="s">
        <v>5985</v>
      </c>
      <c r="V1481" t="s">
        <v>5985</v>
      </c>
      <c r="Y1481" t="s">
        <v>6948</v>
      </c>
      <c r="Z1481" t="s">
        <v>6949</v>
      </c>
      <c r="AA1481" t="s">
        <v>6950</v>
      </c>
      <c r="AB1481" t="s">
        <v>6951</v>
      </c>
      <c r="AC1481" t="s">
        <v>6952</v>
      </c>
      <c r="AD1481" t="s">
        <v>6953</v>
      </c>
    </row>
    <row r="1482" spans="1:30">
      <c r="A1482" t="s">
        <v>4604</v>
      </c>
      <c r="B1482" t="s">
        <v>5222</v>
      </c>
      <c r="C1482" t="s">
        <v>5682</v>
      </c>
      <c r="D1482" t="s">
        <v>5991</v>
      </c>
      <c r="E1482" t="s">
        <v>5992</v>
      </c>
      <c r="J1482" t="s">
        <v>6596</v>
      </c>
      <c r="M1482" t="e">
        <v>#N/A</v>
      </c>
      <c r="N1482" t="e">
        <v>#N/A</v>
      </c>
      <c r="O1482" t="e">
        <v>#N/A</v>
      </c>
      <c r="P1482" t="e">
        <v>#N/A</v>
      </c>
      <c r="R1482" t="e">
        <v>#N/A</v>
      </c>
      <c r="T1482" t="s">
        <v>5985</v>
      </c>
      <c r="U1482" t="s">
        <v>5985</v>
      </c>
      <c r="V1482" t="s">
        <v>5985</v>
      </c>
      <c r="Y1482" t="s">
        <v>6948</v>
      </c>
      <c r="Z1482" t="s">
        <v>6949</v>
      </c>
      <c r="AA1482" t="s">
        <v>6950</v>
      </c>
      <c r="AB1482" t="s">
        <v>6951</v>
      </c>
      <c r="AC1482" t="s">
        <v>6952</v>
      </c>
      <c r="AD1482" t="s">
        <v>6953</v>
      </c>
    </row>
    <row r="1483" spans="1:30">
      <c r="A1483" t="s">
        <v>4604</v>
      </c>
      <c r="B1483" t="s">
        <v>5223</v>
      </c>
      <c r="C1483" t="s">
        <v>5737</v>
      </c>
      <c r="D1483" t="s">
        <v>6018</v>
      </c>
      <c r="E1483" t="s">
        <v>6019</v>
      </c>
      <c r="J1483" t="s">
        <v>6861</v>
      </c>
      <c r="M1483" t="e">
        <v>#N/A</v>
      </c>
      <c r="N1483" t="e">
        <v>#N/A</v>
      </c>
      <c r="O1483" t="e">
        <v>#N/A</v>
      </c>
      <c r="P1483" t="e">
        <v>#N/A</v>
      </c>
      <c r="R1483" t="e">
        <v>#N/A</v>
      </c>
      <c r="T1483" t="s">
        <v>5985</v>
      </c>
      <c r="U1483" t="s">
        <v>5985</v>
      </c>
      <c r="V1483" t="s">
        <v>5985</v>
      </c>
      <c r="Y1483" t="s">
        <v>6948</v>
      </c>
      <c r="Z1483" t="s">
        <v>6949</v>
      </c>
      <c r="AA1483" t="s">
        <v>6950</v>
      </c>
      <c r="AB1483" t="s">
        <v>6951</v>
      </c>
      <c r="AC1483" t="s">
        <v>6952</v>
      </c>
      <c r="AD1483" t="s">
        <v>6953</v>
      </c>
    </row>
    <row r="1484" spans="1:30">
      <c r="A1484" t="s">
        <v>4604</v>
      </c>
      <c r="B1484" t="s">
        <v>5224</v>
      </c>
      <c r="C1484" t="s">
        <v>5702</v>
      </c>
      <c r="D1484" t="s">
        <v>6153</v>
      </c>
      <c r="E1484" t="s">
        <v>6005</v>
      </c>
      <c r="J1484" t="s">
        <v>6619</v>
      </c>
      <c r="M1484" t="e">
        <v>#N/A</v>
      </c>
      <c r="N1484" t="e">
        <v>#N/A</v>
      </c>
      <c r="O1484" t="e">
        <v>#N/A</v>
      </c>
      <c r="P1484" t="e">
        <v>#N/A</v>
      </c>
      <c r="R1484" t="e">
        <v>#N/A</v>
      </c>
      <c r="T1484" t="s">
        <v>5985</v>
      </c>
      <c r="U1484" t="s">
        <v>5985</v>
      </c>
      <c r="V1484" t="s">
        <v>5985</v>
      </c>
      <c r="Y1484" t="s">
        <v>6948</v>
      </c>
      <c r="Z1484" t="s">
        <v>6949</v>
      </c>
      <c r="AA1484" t="s">
        <v>6950</v>
      </c>
      <c r="AB1484" t="s">
        <v>6951</v>
      </c>
      <c r="AC1484" t="s">
        <v>6952</v>
      </c>
      <c r="AD1484" t="s">
        <v>6953</v>
      </c>
    </row>
    <row r="1485" spans="1:30">
      <c r="A1485" t="s">
        <v>4604</v>
      </c>
      <c r="B1485" t="s">
        <v>5225</v>
      </c>
      <c r="C1485" t="s">
        <v>5716</v>
      </c>
      <c r="D1485" t="s">
        <v>6004</v>
      </c>
      <c r="E1485" t="s">
        <v>6005</v>
      </c>
      <c r="J1485" t="s">
        <v>6862</v>
      </c>
      <c r="M1485" t="e">
        <v>#N/A</v>
      </c>
      <c r="N1485" t="e">
        <v>#N/A</v>
      </c>
      <c r="O1485" t="e">
        <v>#N/A</v>
      </c>
      <c r="P1485" t="e">
        <v>#N/A</v>
      </c>
      <c r="R1485" t="e">
        <v>#N/A</v>
      </c>
      <c r="T1485" t="s">
        <v>5985</v>
      </c>
      <c r="U1485" t="s">
        <v>5985</v>
      </c>
      <c r="V1485" t="s">
        <v>5985</v>
      </c>
      <c r="Y1485" t="s">
        <v>6948</v>
      </c>
      <c r="Z1485" t="s">
        <v>6949</v>
      </c>
      <c r="AA1485" t="s">
        <v>6950</v>
      </c>
      <c r="AB1485" t="s">
        <v>6951</v>
      </c>
      <c r="AC1485" t="s">
        <v>6952</v>
      </c>
      <c r="AD1485" t="s">
        <v>6953</v>
      </c>
    </row>
    <row r="1486" spans="1:30">
      <c r="A1486" t="s">
        <v>4604</v>
      </c>
      <c r="B1486" t="s">
        <v>5226</v>
      </c>
      <c r="C1486" t="s">
        <v>5731</v>
      </c>
      <c r="D1486" t="s">
        <v>6157</v>
      </c>
      <c r="E1486" t="s">
        <v>6015</v>
      </c>
      <c r="J1486" t="s">
        <v>6644</v>
      </c>
      <c r="M1486" t="e">
        <v>#N/A</v>
      </c>
      <c r="N1486" t="e">
        <v>#N/A</v>
      </c>
      <c r="O1486" t="e">
        <v>#N/A</v>
      </c>
      <c r="P1486" t="e">
        <v>#N/A</v>
      </c>
      <c r="R1486" t="e">
        <v>#N/A</v>
      </c>
      <c r="T1486" t="s">
        <v>5985</v>
      </c>
      <c r="U1486" t="s">
        <v>5985</v>
      </c>
      <c r="V1486" t="s">
        <v>5985</v>
      </c>
      <c r="Y1486" t="s">
        <v>6948</v>
      </c>
      <c r="Z1486" t="s">
        <v>6949</v>
      </c>
      <c r="AA1486" t="s">
        <v>6950</v>
      </c>
      <c r="AB1486" t="s">
        <v>6951</v>
      </c>
      <c r="AC1486" t="s">
        <v>6952</v>
      </c>
      <c r="AD1486" t="s">
        <v>6953</v>
      </c>
    </row>
    <row r="1487" spans="1:30">
      <c r="A1487" t="s">
        <v>4604</v>
      </c>
      <c r="B1487" t="s">
        <v>5227</v>
      </c>
      <c r="C1487" t="s">
        <v>5800</v>
      </c>
      <c r="D1487" t="s">
        <v>6033</v>
      </c>
      <c r="E1487" t="s">
        <v>6034</v>
      </c>
      <c r="J1487" t="s">
        <v>6710</v>
      </c>
      <c r="M1487" t="e">
        <v>#N/A</v>
      </c>
      <c r="N1487" t="e">
        <v>#N/A</v>
      </c>
      <c r="O1487" t="e">
        <v>#N/A</v>
      </c>
      <c r="P1487" t="e">
        <v>#N/A</v>
      </c>
      <c r="R1487" t="e">
        <v>#N/A</v>
      </c>
      <c r="T1487" t="s">
        <v>5985</v>
      </c>
      <c r="U1487" t="s">
        <v>5985</v>
      </c>
      <c r="V1487" t="s">
        <v>5985</v>
      </c>
      <c r="Y1487" t="s">
        <v>6948</v>
      </c>
      <c r="Z1487" t="s">
        <v>6949</v>
      </c>
      <c r="AA1487" t="s">
        <v>6950</v>
      </c>
      <c r="AB1487" t="s">
        <v>6951</v>
      </c>
      <c r="AC1487" t="s">
        <v>6952</v>
      </c>
      <c r="AD1487" t="s">
        <v>6953</v>
      </c>
    </row>
    <row r="1488" spans="1:30">
      <c r="A1488" t="s">
        <v>4604</v>
      </c>
      <c r="B1488" t="s">
        <v>5228</v>
      </c>
      <c r="C1488" t="s">
        <v>5728</v>
      </c>
      <c r="D1488" t="s">
        <v>6145</v>
      </c>
      <c r="E1488" t="s">
        <v>6011</v>
      </c>
      <c r="J1488" t="s">
        <v>6641</v>
      </c>
      <c r="M1488" t="e">
        <v>#N/A</v>
      </c>
      <c r="N1488" t="e">
        <v>#N/A</v>
      </c>
      <c r="O1488" t="e">
        <v>#N/A</v>
      </c>
      <c r="P1488" t="e">
        <v>#N/A</v>
      </c>
      <c r="R1488" t="e">
        <v>#N/A</v>
      </c>
      <c r="T1488" t="s">
        <v>5985</v>
      </c>
      <c r="U1488" t="s">
        <v>5985</v>
      </c>
      <c r="V1488" t="s">
        <v>5985</v>
      </c>
      <c r="Y1488" t="s">
        <v>6948</v>
      </c>
      <c r="Z1488" t="s">
        <v>6949</v>
      </c>
      <c r="AA1488" t="s">
        <v>6950</v>
      </c>
      <c r="AB1488" t="s">
        <v>6951</v>
      </c>
      <c r="AC1488" t="s">
        <v>6952</v>
      </c>
      <c r="AD1488" t="s">
        <v>6953</v>
      </c>
    </row>
    <row r="1489" spans="1:30">
      <c r="A1489" t="s">
        <v>4604</v>
      </c>
      <c r="B1489" t="s">
        <v>5229</v>
      </c>
      <c r="C1489" t="s">
        <v>5700</v>
      </c>
      <c r="D1489" t="s">
        <v>6002</v>
      </c>
      <c r="E1489" t="s">
        <v>6003</v>
      </c>
      <c r="J1489" t="s">
        <v>6617</v>
      </c>
      <c r="M1489" t="e">
        <v>#N/A</v>
      </c>
      <c r="N1489" t="e">
        <v>#N/A</v>
      </c>
      <c r="O1489" t="e">
        <v>#N/A</v>
      </c>
      <c r="P1489" t="e">
        <v>#N/A</v>
      </c>
      <c r="R1489" t="e">
        <v>#N/A</v>
      </c>
      <c r="T1489" t="s">
        <v>5985</v>
      </c>
      <c r="U1489" t="s">
        <v>5985</v>
      </c>
      <c r="V1489" t="s">
        <v>5985</v>
      </c>
      <c r="Y1489" t="s">
        <v>6948</v>
      </c>
      <c r="Z1489" t="s">
        <v>6949</v>
      </c>
      <c r="AA1489" t="s">
        <v>6950</v>
      </c>
      <c r="AB1489" t="s">
        <v>6951</v>
      </c>
      <c r="AC1489" t="s">
        <v>6952</v>
      </c>
      <c r="AD1489" t="s">
        <v>6953</v>
      </c>
    </row>
    <row r="1490" spans="1:30">
      <c r="A1490" t="s">
        <v>4604</v>
      </c>
      <c r="B1490" t="s">
        <v>5230</v>
      </c>
      <c r="C1490" t="s">
        <v>5691</v>
      </c>
      <c r="D1490" t="s">
        <v>5996</v>
      </c>
      <c r="E1490" t="s">
        <v>5997</v>
      </c>
      <c r="J1490" t="s">
        <v>6605</v>
      </c>
      <c r="M1490" t="e">
        <v>#N/A</v>
      </c>
      <c r="N1490" t="e">
        <v>#N/A</v>
      </c>
      <c r="O1490" t="e">
        <v>#N/A</v>
      </c>
      <c r="P1490" t="e">
        <v>#N/A</v>
      </c>
      <c r="R1490" t="e">
        <v>#N/A</v>
      </c>
      <c r="T1490" t="s">
        <v>5985</v>
      </c>
      <c r="U1490" t="s">
        <v>5985</v>
      </c>
      <c r="V1490" t="s">
        <v>5985</v>
      </c>
      <c r="Y1490" t="s">
        <v>6948</v>
      </c>
      <c r="Z1490" t="s">
        <v>6949</v>
      </c>
      <c r="AA1490" t="s">
        <v>6950</v>
      </c>
      <c r="AB1490" t="s">
        <v>6951</v>
      </c>
      <c r="AC1490" t="s">
        <v>6952</v>
      </c>
      <c r="AD1490" t="s">
        <v>6953</v>
      </c>
    </row>
    <row r="1491" spans="1:30">
      <c r="A1491" t="s">
        <v>4604</v>
      </c>
      <c r="B1491" t="s">
        <v>5231</v>
      </c>
      <c r="C1491" t="s">
        <v>5684</v>
      </c>
      <c r="D1491" t="s">
        <v>5991</v>
      </c>
      <c r="E1491" t="s">
        <v>5992</v>
      </c>
      <c r="J1491" t="s">
        <v>6598</v>
      </c>
      <c r="M1491" t="e">
        <v>#N/A</v>
      </c>
      <c r="N1491" t="e">
        <v>#N/A</v>
      </c>
      <c r="O1491" t="e">
        <v>#N/A</v>
      </c>
      <c r="P1491" t="e">
        <v>#N/A</v>
      </c>
      <c r="R1491" t="e">
        <v>#N/A</v>
      </c>
      <c r="T1491" t="s">
        <v>5985</v>
      </c>
      <c r="U1491" t="s">
        <v>5985</v>
      </c>
      <c r="V1491" t="s">
        <v>5985</v>
      </c>
      <c r="Y1491" t="s">
        <v>6948</v>
      </c>
      <c r="Z1491" t="s">
        <v>6949</v>
      </c>
      <c r="AA1491" t="s">
        <v>6950</v>
      </c>
      <c r="AB1491" t="s">
        <v>6951</v>
      </c>
      <c r="AC1491" t="s">
        <v>6952</v>
      </c>
      <c r="AD1491" t="s">
        <v>6953</v>
      </c>
    </row>
    <row r="1492" spans="1:30">
      <c r="A1492" t="s">
        <v>4604</v>
      </c>
      <c r="B1492" t="s">
        <v>5232</v>
      </c>
      <c r="C1492" t="s">
        <v>5739</v>
      </c>
      <c r="D1492" t="s">
        <v>6018</v>
      </c>
      <c r="E1492" t="s">
        <v>6019</v>
      </c>
      <c r="J1492" t="s">
        <v>6863</v>
      </c>
      <c r="M1492" t="e">
        <v>#N/A</v>
      </c>
      <c r="N1492" t="e">
        <v>#N/A</v>
      </c>
      <c r="O1492" t="e">
        <v>#N/A</v>
      </c>
      <c r="P1492" t="e">
        <v>#N/A</v>
      </c>
      <c r="R1492" t="e">
        <v>#N/A</v>
      </c>
      <c r="T1492" t="s">
        <v>5985</v>
      </c>
      <c r="U1492" t="s">
        <v>5985</v>
      </c>
      <c r="V1492" t="s">
        <v>5985</v>
      </c>
      <c r="Y1492" t="s">
        <v>6948</v>
      </c>
      <c r="Z1492" t="s">
        <v>6949</v>
      </c>
      <c r="AA1492" t="s">
        <v>6950</v>
      </c>
      <c r="AB1492" t="s">
        <v>6951</v>
      </c>
      <c r="AC1492" t="s">
        <v>6952</v>
      </c>
      <c r="AD1492" t="s">
        <v>6953</v>
      </c>
    </row>
    <row r="1493" spans="1:30">
      <c r="A1493">
        <v>11007036</v>
      </c>
      <c r="B1493" t="s">
        <v>5233</v>
      </c>
      <c r="C1493" t="s">
        <v>5717</v>
      </c>
      <c r="D1493" t="s">
        <v>6004</v>
      </c>
      <c r="E1493" t="s">
        <v>6005</v>
      </c>
      <c r="J1493" t="s">
        <v>6864</v>
      </c>
      <c r="M1493" t="e">
        <v>#N/A</v>
      </c>
      <c r="N1493" t="e">
        <v>#N/A</v>
      </c>
      <c r="O1493" t="e">
        <v>#N/A</v>
      </c>
      <c r="P1493" t="e">
        <v>#N/A</v>
      </c>
      <c r="R1493" t="e">
        <v>#N/A</v>
      </c>
      <c r="T1493" t="s">
        <v>5985</v>
      </c>
      <c r="U1493" t="s">
        <v>5985</v>
      </c>
      <c r="V1493" t="s">
        <v>5985</v>
      </c>
      <c r="Y1493" t="s">
        <v>6948</v>
      </c>
      <c r="Z1493" t="s">
        <v>6949</v>
      </c>
      <c r="AA1493" t="s">
        <v>6950</v>
      </c>
      <c r="AB1493" t="s">
        <v>6951</v>
      </c>
      <c r="AC1493" t="s">
        <v>6952</v>
      </c>
      <c r="AD1493" t="s">
        <v>6953</v>
      </c>
    </row>
    <row r="1494" spans="1:30">
      <c r="A1494">
        <v>11007016</v>
      </c>
      <c r="B1494" t="s">
        <v>5234</v>
      </c>
      <c r="C1494" t="s">
        <v>5733</v>
      </c>
      <c r="D1494" t="s">
        <v>6014</v>
      </c>
      <c r="E1494" t="s">
        <v>6015</v>
      </c>
      <c r="J1494" t="s">
        <v>6865</v>
      </c>
      <c r="M1494" t="e">
        <v>#N/A</v>
      </c>
      <c r="N1494" t="e">
        <v>#N/A</v>
      </c>
      <c r="O1494" t="e">
        <v>#N/A</v>
      </c>
      <c r="P1494" t="e">
        <v>#N/A</v>
      </c>
      <c r="R1494" t="e">
        <v>#N/A</v>
      </c>
      <c r="T1494" t="s">
        <v>5985</v>
      </c>
      <c r="U1494" t="s">
        <v>5985</v>
      </c>
      <c r="V1494" t="s">
        <v>5985</v>
      </c>
      <c r="Y1494" t="s">
        <v>6948</v>
      </c>
      <c r="Z1494" t="s">
        <v>6949</v>
      </c>
      <c r="AA1494" t="s">
        <v>6950</v>
      </c>
      <c r="AB1494" t="s">
        <v>6951</v>
      </c>
      <c r="AC1494" t="s">
        <v>6952</v>
      </c>
      <c r="AD1494" t="s">
        <v>6953</v>
      </c>
    </row>
    <row r="1495" spans="1:30">
      <c r="A1495" t="s">
        <v>4604</v>
      </c>
      <c r="B1495" t="s">
        <v>5235</v>
      </c>
      <c r="C1495" t="s">
        <v>5766</v>
      </c>
      <c r="D1495" t="s">
        <v>6022</v>
      </c>
      <c r="E1495" t="s">
        <v>6023</v>
      </c>
      <c r="J1495" t="s">
        <v>6684</v>
      </c>
      <c r="M1495" t="e">
        <v>#N/A</v>
      </c>
      <c r="N1495" t="e">
        <v>#N/A</v>
      </c>
      <c r="O1495" t="e">
        <v>#N/A</v>
      </c>
      <c r="P1495" t="e">
        <v>#N/A</v>
      </c>
      <c r="R1495" t="e">
        <v>#N/A</v>
      </c>
      <c r="T1495" t="s">
        <v>5985</v>
      </c>
      <c r="U1495" t="s">
        <v>5985</v>
      </c>
      <c r="V1495" t="s">
        <v>5985</v>
      </c>
      <c r="Y1495" t="s">
        <v>6948</v>
      </c>
      <c r="Z1495" t="s">
        <v>6949</v>
      </c>
      <c r="AA1495" t="s">
        <v>6950</v>
      </c>
      <c r="AB1495" t="s">
        <v>6951</v>
      </c>
      <c r="AC1495" t="s">
        <v>6952</v>
      </c>
      <c r="AD1495" t="s">
        <v>6953</v>
      </c>
    </row>
    <row r="1496" spans="1:30">
      <c r="A1496" t="s">
        <v>4604</v>
      </c>
      <c r="B1496" t="s">
        <v>5236</v>
      </c>
      <c r="C1496" t="s">
        <v>1116</v>
      </c>
      <c r="D1496" t="s">
        <v>6022</v>
      </c>
      <c r="E1496" t="s">
        <v>6023</v>
      </c>
      <c r="J1496" t="s">
        <v>6658</v>
      </c>
      <c r="M1496" t="e">
        <v>#N/A</v>
      </c>
      <c r="N1496" t="e">
        <v>#N/A</v>
      </c>
      <c r="O1496" t="e">
        <v>#N/A</v>
      </c>
      <c r="P1496" t="e">
        <v>#N/A</v>
      </c>
      <c r="R1496" t="e">
        <v>#N/A</v>
      </c>
      <c r="T1496" t="s">
        <v>5985</v>
      </c>
      <c r="U1496" t="s">
        <v>5985</v>
      </c>
      <c r="V1496" t="s">
        <v>5985</v>
      </c>
      <c r="Y1496" t="s">
        <v>6948</v>
      </c>
      <c r="Z1496" t="s">
        <v>6949</v>
      </c>
      <c r="AA1496" t="s">
        <v>6950</v>
      </c>
      <c r="AB1496" t="s">
        <v>6951</v>
      </c>
      <c r="AC1496" t="s">
        <v>6952</v>
      </c>
      <c r="AD1496" t="s">
        <v>6953</v>
      </c>
    </row>
    <row r="1497" spans="1:30">
      <c r="A1497" t="s">
        <v>4604</v>
      </c>
      <c r="B1497" t="s">
        <v>5237</v>
      </c>
      <c r="C1497" t="s">
        <v>5750</v>
      </c>
      <c r="D1497" t="s">
        <v>5991</v>
      </c>
      <c r="E1497" t="s">
        <v>5992</v>
      </c>
      <c r="J1497" t="s">
        <v>6866</v>
      </c>
      <c r="M1497" t="e">
        <v>#N/A</v>
      </c>
      <c r="N1497" t="e">
        <v>#N/A</v>
      </c>
      <c r="O1497" t="e">
        <v>#N/A</v>
      </c>
      <c r="P1497" t="e">
        <v>#N/A</v>
      </c>
      <c r="R1497" t="e">
        <v>#N/A</v>
      </c>
      <c r="T1497" t="s">
        <v>5985</v>
      </c>
      <c r="U1497" t="s">
        <v>5985</v>
      </c>
      <c r="V1497" t="s">
        <v>5985</v>
      </c>
      <c r="Y1497" t="s">
        <v>6948</v>
      </c>
      <c r="Z1497" t="s">
        <v>6949</v>
      </c>
      <c r="AA1497" t="s">
        <v>6950</v>
      </c>
      <c r="AB1497" t="s">
        <v>6951</v>
      </c>
      <c r="AC1497" t="s">
        <v>6952</v>
      </c>
      <c r="AD1497" t="s">
        <v>6953</v>
      </c>
    </row>
    <row r="1498" spans="1:30">
      <c r="A1498">
        <v>11006992</v>
      </c>
      <c r="B1498" t="s">
        <v>5238</v>
      </c>
      <c r="C1498" t="s">
        <v>5755</v>
      </c>
      <c r="D1498" t="s">
        <v>6004</v>
      </c>
      <c r="E1498" t="s">
        <v>6005</v>
      </c>
      <c r="J1498" t="s">
        <v>6670</v>
      </c>
      <c r="M1498" t="e">
        <v>#N/A</v>
      </c>
      <c r="N1498" t="e">
        <v>#N/A</v>
      </c>
      <c r="O1498" t="e">
        <v>#N/A</v>
      </c>
      <c r="P1498" t="e">
        <v>#N/A</v>
      </c>
      <c r="R1498" t="e">
        <v>#N/A</v>
      </c>
      <c r="T1498" t="s">
        <v>5985</v>
      </c>
      <c r="U1498" t="s">
        <v>5985</v>
      </c>
      <c r="V1498" t="s">
        <v>5985</v>
      </c>
      <c r="Y1498" t="s">
        <v>6948</v>
      </c>
      <c r="Z1498" t="s">
        <v>6949</v>
      </c>
      <c r="AA1498" t="s">
        <v>6950</v>
      </c>
      <c r="AB1498" t="s">
        <v>6951</v>
      </c>
      <c r="AC1498" t="s">
        <v>6952</v>
      </c>
      <c r="AD1498" t="s">
        <v>6953</v>
      </c>
    </row>
    <row r="1499" spans="1:30">
      <c r="A1499" t="s">
        <v>4604</v>
      </c>
      <c r="B1499" t="s">
        <v>5239</v>
      </c>
      <c r="C1499" t="s">
        <v>5757</v>
      </c>
      <c r="D1499" t="s">
        <v>6004</v>
      </c>
      <c r="E1499" t="s">
        <v>6005</v>
      </c>
      <c r="J1499" t="s">
        <v>6672</v>
      </c>
      <c r="M1499" t="e">
        <v>#N/A</v>
      </c>
      <c r="N1499" t="e">
        <v>#N/A</v>
      </c>
      <c r="O1499" t="e">
        <v>#N/A</v>
      </c>
      <c r="P1499" t="e">
        <v>#N/A</v>
      </c>
      <c r="R1499" t="e">
        <v>#N/A</v>
      </c>
      <c r="T1499" t="s">
        <v>5985</v>
      </c>
      <c r="U1499" t="s">
        <v>5985</v>
      </c>
      <c r="V1499" t="s">
        <v>5985</v>
      </c>
      <c r="Y1499" t="s">
        <v>6948</v>
      </c>
      <c r="Z1499" t="s">
        <v>6949</v>
      </c>
      <c r="AA1499" t="s">
        <v>6950</v>
      </c>
      <c r="AB1499" t="s">
        <v>6951</v>
      </c>
      <c r="AC1499" t="s">
        <v>6952</v>
      </c>
      <c r="AD1499" t="s">
        <v>6953</v>
      </c>
    </row>
    <row r="1500" spans="1:30">
      <c r="A1500" t="s">
        <v>4604</v>
      </c>
      <c r="B1500" t="s">
        <v>5240</v>
      </c>
      <c r="C1500" t="s">
        <v>5759</v>
      </c>
      <c r="D1500" t="s">
        <v>6004</v>
      </c>
      <c r="E1500" t="s">
        <v>6005</v>
      </c>
      <c r="J1500" t="s">
        <v>6674</v>
      </c>
      <c r="M1500" t="e">
        <v>#N/A</v>
      </c>
      <c r="N1500" t="e">
        <v>#N/A</v>
      </c>
      <c r="O1500" t="e">
        <v>#N/A</v>
      </c>
      <c r="P1500" t="e">
        <v>#N/A</v>
      </c>
      <c r="R1500" t="e">
        <v>#N/A</v>
      </c>
      <c r="T1500" t="s">
        <v>5985</v>
      </c>
      <c r="U1500" t="s">
        <v>5985</v>
      </c>
      <c r="V1500" t="s">
        <v>5985</v>
      </c>
      <c r="Y1500" t="s">
        <v>6948</v>
      </c>
      <c r="Z1500" t="s">
        <v>6949</v>
      </c>
      <c r="AA1500" t="s">
        <v>6950</v>
      </c>
      <c r="AB1500" t="s">
        <v>6951</v>
      </c>
      <c r="AC1500" t="s">
        <v>6952</v>
      </c>
      <c r="AD1500" t="s">
        <v>6953</v>
      </c>
    </row>
    <row r="1501" spans="1:30">
      <c r="A1501">
        <v>11006988</v>
      </c>
      <c r="B1501" t="s">
        <v>5241</v>
      </c>
      <c r="C1501" t="s">
        <v>5761</v>
      </c>
      <c r="D1501" t="s">
        <v>6004</v>
      </c>
      <c r="E1501" t="s">
        <v>6005</v>
      </c>
      <c r="J1501" t="s">
        <v>6676</v>
      </c>
      <c r="M1501" t="e">
        <v>#N/A</v>
      </c>
      <c r="N1501" t="e">
        <v>#N/A</v>
      </c>
      <c r="O1501" t="e">
        <v>#N/A</v>
      </c>
      <c r="P1501" t="e">
        <v>#N/A</v>
      </c>
      <c r="R1501" t="e">
        <v>#N/A</v>
      </c>
      <c r="T1501" t="s">
        <v>5985</v>
      </c>
      <c r="U1501" t="s">
        <v>5985</v>
      </c>
      <c r="V1501" t="s">
        <v>5985</v>
      </c>
      <c r="Y1501" t="s">
        <v>6948</v>
      </c>
      <c r="Z1501" t="s">
        <v>6949</v>
      </c>
      <c r="AA1501" t="s">
        <v>6950</v>
      </c>
      <c r="AB1501" t="s">
        <v>6951</v>
      </c>
      <c r="AC1501" t="s">
        <v>6952</v>
      </c>
      <c r="AD1501" t="s">
        <v>6953</v>
      </c>
    </row>
    <row r="1502" spans="1:30">
      <c r="A1502">
        <v>11006997</v>
      </c>
      <c r="B1502" t="s">
        <v>5242</v>
      </c>
      <c r="C1502" t="s">
        <v>5751</v>
      </c>
      <c r="D1502" t="s">
        <v>6018</v>
      </c>
      <c r="E1502" t="s">
        <v>6019</v>
      </c>
      <c r="J1502" t="s">
        <v>6661</v>
      </c>
      <c r="M1502" t="e">
        <v>#N/A</v>
      </c>
      <c r="N1502" t="e">
        <v>#N/A</v>
      </c>
      <c r="O1502" t="e">
        <v>#N/A</v>
      </c>
      <c r="P1502" t="e">
        <v>#N/A</v>
      </c>
      <c r="R1502" t="e">
        <v>#N/A</v>
      </c>
      <c r="T1502" t="s">
        <v>5985</v>
      </c>
      <c r="U1502" t="s">
        <v>5985</v>
      </c>
      <c r="V1502" t="s">
        <v>5985</v>
      </c>
      <c r="Y1502" t="s">
        <v>6948</v>
      </c>
      <c r="Z1502" t="s">
        <v>6949</v>
      </c>
      <c r="AA1502" t="s">
        <v>6950</v>
      </c>
      <c r="AB1502" t="s">
        <v>6951</v>
      </c>
      <c r="AC1502" t="s">
        <v>6952</v>
      </c>
      <c r="AD1502" t="s">
        <v>6953</v>
      </c>
    </row>
    <row r="1503" spans="1:30">
      <c r="A1503">
        <v>11006995</v>
      </c>
      <c r="B1503" t="s">
        <v>5243</v>
      </c>
      <c r="C1503" t="s">
        <v>5752</v>
      </c>
      <c r="D1503" t="s">
        <v>6018</v>
      </c>
      <c r="E1503" t="s">
        <v>6019</v>
      </c>
      <c r="J1503" t="s">
        <v>6664</v>
      </c>
      <c r="M1503" t="e">
        <v>#N/A</v>
      </c>
      <c r="N1503" t="e">
        <v>#N/A</v>
      </c>
      <c r="O1503" t="e">
        <v>#N/A</v>
      </c>
      <c r="P1503" t="e">
        <v>#N/A</v>
      </c>
      <c r="R1503" t="e">
        <v>#N/A</v>
      </c>
      <c r="T1503" t="s">
        <v>5985</v>
      </c>
      <c r="U1503" t="s">
        <v>5985</v>
      </c>
      <c r="V1503" t="s">
        <v>5985</v>
      </c>
      <c r="Y1503" t="s">
        <v>6948</v>
      </c>
      <c r="Z1503" t="s">
        <v>6949</v>
      </c>
      <c r="AA1503" t="s">
        <v>6950</v>
      </c>
      <c r="AB1503" t="s">
        <v>6951</v>
      </c>
      <c r="AC1503" t="s">
        <v>6952</v>
      </c>
      <c r="AD1503" t="s">
        <v>6953</v>
      </c>
    </row>
    <row r="1504" spans="1:30">
      <c r="A1504">
        <v>11006993</v>
      </c>
      <c r="B1504" t="s">
        <v>5244</v>
      </c>
      <c r="C1504" t="s">
        <v>5753</v>
      </c>
      <c r="D1504" t="s">
        <v>6018</v>
      </c>
      <c r="E1504" t="s">
        <v>6019</v>
      </c>
      <c r="J1504" t="s">
        <v>6668</v>
      </c>
      <c r="M1504" t="e">
        <v>#N/A</v>
      </c>
      <c r="N1504" t="e">
        <v>#N/A</v>
      </c>
      <c r="O1504" t="e">
        <v>#N/A</v>
      </c>
      <c r="P1504" t="e">
        <v>#N/A</v>
      </c>
      <c r="R1504" t="e">
        <v>#N/A</v>
      </c>
      <c r="T1504" t="s">
        <v>5985</v>
      </c>
      <c r="U1504" t="s">
        <v>5985</v>
      </c>
      <c r="V1504" t="s">
        <v>5985</v>
      </c>
      <c r="Y1504" t="s">
        <v>6948</v>
      </c>
      <c r="Z1504" t="s">
        <v>6949</v>
      </c>
      <c r="AA1504" t="s">
        <v>6950</v>
      </c>
      <c r="AB1504" t="s">
        <v>6951</v>
      </c>
      <c r="AC1504" t="s">
        <v>6952</v>
      </c>
      <c r="AD1504" t="s">
        <v>6953</v>
      </c>
    </row>
    <row r="1505" spans="1:30">
      <c r="A1505">
        <v>11006986</v>
      </c>
      <c r="B1505" t="s">
        <v>5245</v>
      </c>
      <c r="C1505" t="s">
        <v>5653</v>
      </c>
      <c r="D1505" t="s">
        <v>6002</v>
      </c>
      <c r="E1505" t="s">
        <v>6003</v>
      </c>
      <c r="J1505" t="s">
        <v>6681</v>
      </c>
      <c r="M1505" t="e">
        <v>#N/A</v>
      </c>
      <c r="N1505" t="e">
        <v>#N/A</v>
      </c>
      <c r="O1505" t="e">
        <v>#N/A</v>
      </c>
      <c r="P1505" t="e">
        <v>#N/A</v>
      </c>
      <c r="R1505" t="e">
        <v>#N/A</v>
      </c>
      <c r="T1505" t="s">
        <v>5985</v>
      </c>
      <c r="U1505" t="s">
        <v>5985</v>
      </c>
      <c r="V1505" t="s">
        <v>5985</v>
      </c>
      <c r="Y1505" t="s">
        <v>6948</v>
      </c>
      <c r="Z1505" t="s">
        <v>6949</v>
      </c>
      <c r="AA1505" t="s">
        <v>6950</v>
      </c>
      <c r="AB1505" t="s">
        <v>6951</v>
      </c>
      <c r="AC1505" t="s">
        <v>6952</v>
      </c>
      <c r="AD1505" t="s">
        <v>6953</v>
      </c>
    </row>
    <row r="1506" spans="1:30">
      <c r="A1506" t="s">
        <v>4604</v>
      </c>
      <c r="B1506" t="s">
        <v>5246</v>
      </c>
      <c r="C1506" t="s">
        <v>5639</v>
      </c>
      <c r="D1506" t="s">
        <v>5991</v>
      </c>
      <c r="E1506" t="s">
        <v>5992</v>
      </c>
      <c r="J1506" t="s">
        <v>6867</v>
      </c>
      <c r="M1506" t="e">
        <v>#N/A</v>
      </c>
      <c r="N1506" t="e">
        <v>#N/A</v>
      </c>
      <c r="O1506" t="e">
        <v>#N/A</v>
      </c>
      <c r="P1506" t="e">
        <v>#N/A</v>
      </c>
      <c r="R1506" t="e">
        <v>#N/A</v>
      </c>
      <c r="T1506" t="s">
        <v>5985</v>
      </c>
      <c r="U1506" t="s">
        <v>5985</v>
      </c>
      <c r="V1506" t="s">
        <v>5985</v>
      </c>
      <c r="Y1506" t="s">
        <v>6948</v>
      </c>
      <c r="Z1506" t="s">
        <v>6949</v>
      </c>
      <c r="AA1506" t="s">
        <v>6950</v>
      </c>
      <c r="AB1506" t="s">
        <v>6951</v>
      </c>
      <c r="AC1506" t="s">
        <v>6952</v>
      </c>
      <c r="AD1506" t="s">
        <v>6953</v>
      </c>
    </row>
    <row r="1507" spans="1:30">
      <c r="A1507">
        <v>11006991</v>
      </c>
      <c r="B1507" t="s">
        <v>5247</v>
      </c>
      <c r="C1507" t="s">
        <v>5756</v>
      </c>
      <c r="D1507" t="s">
        <v>6004</v>
      </c>
      <c r="E1507" t="s">
        <v>6005</v>
      </c>
      <c r="J1507" t="s">
        <v>6671</v>
      </c>
      <c r="M1507" t="e">
        <v>#N/A</v>
      </c>
      <c r="N1507" t="e">
        <v>#N/A</v>
      </c>
      <c r="O1507" t="e">
        <v>#N/A</v>
      </c>
      <c r="P1507" t="e">
        <v>#N/A</v>
      </c>
      <c r="R1507" t="e">
        <v>#N/A</v>
      </c>
      <c r="T1507" t="s">
        <v>5985</v>
      </c>
      <c r="U1507" t="s">
        <v>5985</v>
      </c>
      <c r="V1507" t="s">
        <v>5985</v>
      </c>
      <c r="Y1507" t="s">
        <v>6948</v>
      </c>
      <c r="Z1507" t="s">
        <v>6949</v>
      </c>
      <c r="AA1507" t="s">
        <v>6950</v>
      </c>
      <c r="AB1507" t="s">
        <v>6951</v>
      </c>
      <c r="AC1507" t="s">
        <v>6952</v>
      </c>
      <c r="AD1507" t="s">
        <v>6953</v>
      </c>
    </row>
    <row r="1508" spans="1:30">
      <c r="A1508" t="s">
        <v>4604</v>
      </c>
      <c r="B1508" t="s">
        <v>5248</v>
      </c>
      <c r="C1508" t="s">
        <v>5758</v>
      </c>
      <c r="D1508" t="s">
        <v>6004</v>
      </c>
      <c r="E1508" t="s">
        <v>6005</v>
      </c>
      <c r="J1508" t="s">
        <v>6673</v>
      </c>
      <c r="M1508" t="e">
        <v>#N/A</v>
      </c>
      <c r="N1508" t="e">
        <v>#N/A</v>
      </c>
      <c r="O1508" t="e">
        <v>#N/A</v>
      </c>
      <c r="P1508" t="e">
        <v>#N/A</v>
      </c>
      <c r="R1508" t="e">
        <v>#N/A</v>
      </c>
      <c r="T1508" t="s">
        <v>5985</v>
      </c>
      <c r="U1508" t="s">
        <v>5985</v>
      </c>
      <c r="V1508" t="s">
        <v>5985</v>
      </c>
      <c r="Y1508" t="s">
        <v>6948</v>
      </c>
      <c r="Z1508" t="s">
        <v>6949</v>
      </c>
      <c r="AA1508" t="s">
        <v>6950</v>
      </c>
      <c r="AB1508" t="s">
        <v>6951</v>
      </c>
      <c r="AC1508" t="s">
        <v>6952</v>
      </c>
      <c r="AD1508" t="s">
        <v>6953</v>
      </c>
    </row>
    <row r="1509" spans="1:30">
      <c r="A1509">
        <v>11006989</v>
      </c>
      <c r="B1509" t="s">
        <v>5249</v>
      </c>
      <c r="C1509" t="s">
        <v>5760</v>
      </c>
      <c r="D1509" t="s">
        <v>6004</v>
      </c>
      <c r="E1509" t="s">
        <v>6005</v>
      </c>
      <c r="J1509" t="s">
        <v>6868</v>
      </c>
      <c r="M1509" t="e">
        <v>#N/A</v>
      </c>
      <c r="N1509" t="e">
        <v>#N/A</v>
      </c>
      <c r="O1509" t="e">
        <v>#N/A</v>
      </c>
      <c r="P1509" t="e">
        <v>#N/A</v>
      </c>
      <c r="R1509" t="e">
        <v>#N/A</v>
      </c>
      <c r="T1509" t="s">
        <v>5985</v>
      </c>
      <c r="U1509" t="s">
        <v>5985</v>
      </c>
      <c r="V1509" t="s">
        <v>5985</v>
      </c>
      <c r="Y1509" t="s">
        <v>6948</v>
      </c>
      <c r="Z1509" t="s">
        <v>6949</v>
      </c>
      <c r="AA1509" t="s">
        <v>6950</v>
      </c>
      <c r="AB1509" t="s">
        <v>6951</v>
      </c>
      <c r="AC1509" t="s">
        <v>6952</v>
      </c>
      <c r="AD1509" t="s">
        <v>6953</v>
      </c>
    </row>
    <row r="1510" spans="1:30">
      <c r="A1510">
        <v>11006996</v>
      </c>
      <c r="B1510" t="s">
        <v>5250</v>
      </c>
      <c r="C1510" t="s">
        <v>5619</v>
      </c>
      <c r="D1510" t="s">
        <v>6018</v>
      </c>
      <c r="E1510" t="s">
        <v>6019</v>
      </c>
      <c r="J1510" t="s">
        <v>6662</v>
      </c>
      <c r="M1510" t="e">
        <v>#N/A</v>
      </c>
      <c r="N1510" t="e">
        <v>#N/A</v>
      </c>
      <c r="O1510" t="e">
        <v>#N/A</v>
      </c>
      <c r="P1510" t="e">
        <v>#N/A</v>
      </c>
      <c r="R1510" t="e">
        <v>#N/A</v>
      </c>
      <c r="T1510" t="s">
        <v>5985</v>
      </c>
      <c r="U1510" t="s">
        <v>5985</v>
      </c>
      <c r="V1510" t="s">
        <v>5985</v>
      </c>
      <c r="Y1510" t="s">
        <v>6948</v>
      </c>
      <c r="Z1510" t="s">
        <v>6949</v>
      </c>
      <c r="AA1510" t="s">
        <v>6950</v>
      </c>
      <c r="AB1510" t="s">
        <v>6951</v>
      </c>
      <c r="AC1510" t="s">
        <v>6952</v>
      </c>
      <c r="AD1510" t="s">
        <v>6953</v>
      </c>
    </row>
    <row r="1511" spans="1:30">
      <c r="A1511">
        <v>11006994</v>
      </c>
      <c r="B1511" t="s">
        <v>5251</v>
      </c>
      <c r="C1511" t="s">
        <v>5621</v>
      </c>
      <c r="D1511" t="s">
        <v>6018</v>
      </c>
      <c r="E1511" t="s">
        <v>6019</v>
      </c>
      <c r="J1511" t="s">
        <v>6666</v>
      </c>
      <c r="M1511" t="e">
        <v>#N/A</v>
      </c>
      <c r="N1511" t="e">
        <v>#N/A</v>
      </c>
      <c r="O1511" t="e">
        <v>#N/A</v>
      </c>
      <c r="P1511" t="e">
        <v>#N/A</v>
      </c>
      <c r="R1511" t="e">
        <v>#N/A</v>
      </c>
      <c r="T1511" t="s">
        <v>5985</v>
      </c>
      <c r="U1511" t="s">
        <v>5985</v>
      </c>
      <c r="V1511" t="s">
        <v>5985</v>
      </c>
      <c r="Y1511" t="s">
        <v>6948</v>
      </c>
      <c r="Z1511" t="s">
        <v>6949</v>
      </c>
      <c r="AA1511" t="s">
        <v>6950</v>
      </c>
      <c r="AB1511" t="s">
        <v>6951</v>
      </c>
      <c r="AC1511" t="s">
        <v>6952</v>
      </c>
      <c r="AD1511" t="s">
        <v>6953</v>
      </c>
    </row>
    <row r="1512" spans="1:30">
      <c r="A1512" t="s">
        <v>4604</v>
      </c>
      <c r="B1512" t="s">
        <v>5252</v>
      </c>
      <c r="C1512" t="s">
        <v>5765</v>
      </c>
      <c r="D1512" t="s">
        <v>6002</v>
      </c>
      <c r="E1512" t="s">
        <v>6003</v>
      </c>
      <c r="J1512" t="s">
        <v>6869</v>
      </c>
      <c r="M1512" t="e">
        <v>#N/A</v>
      </c>
      <c r="N1512" t="e">
        <v>#N/A</v>
      </c>
      <c r="O1512" t="e">
        <v>#N/A</v>
      </c>
      <c r="P1512" t="e">
        <v>#N/A</v>
      </c>
      <c r="R1512" t="e">
        <v>#N/A</v>
      </c>
      <c r="T1512" t="s">
        <v>5985</v>
      </c>
      <c r="U1512" t="s">
        <v>5985</v>
      </c>
      <c r="V1512" t="s">
        <v>5985</v>
      </c>
      <c r="Y1512" t="s">
        <v>6948</v>
      </c>
      <c r="Z1512" t="s">
        <v>6949</v>
      </c>
      <c r="AA1512" t="s">
        <v>6950</v>
      </c>
      <c r="AB1512" t="s">
        <v>6951</v>
      </c>
      <c r="AC1512" t="s">
        <v>6952</v>
      </c>
      <c r="AD1512" t="s">
        <v>6953</v>
      </c>
    </row>
    <row r="1513" spans="1:30">
      <c r="A1513" t="s">
        <v>4604</v>
      </c>
      <c r="B1513" t="s">
        <v>5253</v>
      </c>
      <c r="C1513" t="s">
        <v>1005</v>
      </c>
      <c r="D1513" t="s">
        <v>6035</v>
      </c>
      <c r="E1513" t="s">
        <v>6036</v>
      </c>
      <c r="J1513" t="s">
        <v>6711</v>
      </c>
      <c r="M1513" t="e">
        <v>#N/A</v>
      </c>
      <c r="N1513" t="e">
        <v>#N/A</v>
      </c>
      <c r="O1513" t="e">
        <v>#N/A</v>
      </c>
      <c r="P1513" t="e">
        <v>#N/A</v>
      </c>
      <c r="R1513" t="e">
        <v>#N/A</v>
      </c>
      <c r="T1513" t="s">
        <v>5985</v>
      </c>
      <c r="U1513" t="s">
        <v>5985</v>
      </c>
      <c r="V1513" t="s">
        <v>5985</v>
      </c>
      <c r="Y1513" t="s">
        <v>6948</v>
      </c>
      <c r="Z1513" t="s">
        <v>6949</v>
      </c>
      <c r="AA1513" t="s">
        <v>6950</v>
      </c>
      <c r="AB1513" t="s">
        <v>6951</v>
      </c>
      <c r="AC1513" t="s">
        <v>6952</v>
      </c>
      <c r="AD1513" t="s">
        <v>6953</v>
      </c>
    </row>
    <row r="1514" spans="1:30">
      <c r="A1514" t="s">
        <v>4604</v>
      </c>
      <c r="B1514" t="s">
        <v>5254</v>
      </c>
      <c r="C1514" t="s">
        <v>1007</v>
      </c>
      <c r="D1514" t="s">
        <v>6035</v>
      </c>
      <c r="E1514" t="s">
        <v>6036</v>
      </c>
      <c r="J1514" t="s">
        <v>6713</v>
      </c>
      <c r="M1514" t="e">
        <v>#N/A</v>
      </c>
      <c r="N1514" t="e">
        <v>#N/A</v>
      </c>
      <c r="O1514" t="e">
        <v>#N/A</v>
      </c>
      <c r="P1514" t="e">
        <v>#N/A</v>
      </c>
      <c r="R1514" t="e">
        <v>#N/A</v>
      </c>
      <c r="T1514" t="s">
        <v>5985</v>
      </c>
      <c r="U1514" t="s">
        <v>5985</v>
      </c>
      <c r="V1514" t="s">
        <v>5985</v>
      </c>
      <c r="Y1514" t="s">
        <v>6948</v>
      </c>
      <c r="Z1514" t="s">
        <v>6949</v>
      </c>
      <c r="AA1514" t="s">
        <v>6950</v>
      </c>
      <c r="AB1514" t="s">
        <v>6951</v>
      </c>
      <c r="AC1514" t="s">
        <v>6952</v>
      </c>
      <c r="AD1514" t="s">
        <v>6953</v>
      </c>
    </row>
    <row r="1515" spans="1:30">
      <c r="A1515">
        <v>11006832</v>
      </c>
      <c r="B1515" t="s">
        <v>5255</v>
      </c>
      <c r="C1515" t="s">
        <v>1009</v>
      </c>
      <c r="D1515" t="s">
        <v>6039</v>
      </c>
      <c r="E1515" t="s">
        <v>6040</v>
      </c>
      <c r="J1515" t="s">
        <v>6717</v>
      </c>
      <c r="M1515" t="e">
        <v>#N/A</v>
      </c>
      <c r="N1515" t="e">
        <v>#N/A</v>
      </c>
      <c r="O1515" t="e">
        <v>#N/A</v>
      </c>
      <c r="P1515" t="e">
        <v>#N/A</v>
      </c>
      <c r="R1515" t="e">
        <v>#N/A</v>
      </c>
      <c r="T1515" t="s">
        <v>5985</v>
      </c>
      <c r="U1515" t="s">
        <v>5985</v>
      </c>
      <c r="V1515" t="s">
        <v>5985</v>
      </c>
      <c r="Y1515" t="s">
        <v>6948</v>
      </c>
      <c r="Z1515" t="s">
        <v>6949</v>
      </c>
      <c r="AA1515" t="s">
        <v>6950</v>
      </c>
      <c r="AB1515" t="s">
        <v>6951</v>
      </c>
      <c r="AC1515" t="s">
        <v>6952</v>
      </c>
      <c r="AD1515" t="s">
        <v>6953</v>
      </c>
    </row>
    <row r="1516" spans="1:30">
      <c r="A1516">
        <v>11006828</v>
      </c>
      <c r="B1516" t="s">
        <v>5256</v>
      </c>
      <c r="C1516" t="s">
        <v>1010</v>
      </c>
      <c r="D1516" t="s">
        <v>6039</v>
      </c>
      <c r="E1516" t="s">
        <v>6040</v>
      </c>
      <c r="J1516" t="s">
        <v>6719</v>
      </c>
      <c r="M1516" t="e">
        <v>#N/A</v>
      </c>
      <c r="N1516" t="e">
        <v>#N/A</v>
      </c>
      <c r="O1516" t="e">
        <v>#N/A</v>
      </c>
      <c r="P1516" t="e">
        <v>#N/A</v>
      </c>
      <c r="R1516" t="e">
        <v>#N/A</v>
      </c>
      <c r="T1516" t="s">
        <v>5985</v>
      </c>
      <c r="U1516" t="s">
        <v>5985</v>
      </c>
      <c r="V1516" t="s">
        <v>5985</v>
      </c>
      <c r="Y1516" t="s">
        <v>6948</v>
      </c>
      <c r="Z1516" t="s">
        <v>6949</v>
      </c>
      <c r="AA1516" t="s">
        <v>6950</v>
      </c>
      <c r="AB1516" t="s">
        <v>6951</v>
      </c>
      <c r="AC1516" t="s">
        <v>6952</v>
      </c>
      <c r="AD1516" t="s">
        <v>6953</v>
      </c>
    </row>
    <row r="1517" spans="1:30">
      <c r="A1517">
        <v>11006840</v>
      </c>
      <c r="B1517" t="s">
        <v>5257</v>
      </c>
      <c r="C1517" t="s">
        <v>1006</v>
      </c>
      <c r="D1517" t="s">
        <v>6035</v>
      </c>
      <c r="E1517" t="s">
        <v>6036</v>
      </c>
      <c r="J1517" t="s">
        <v>6712</v>
      </c>
      <c r="M1517" t="e">
        <v>#N/A</v>
      </c>
      <c r="N1517" t="e">
        <v>#N/A</v>
      </c>
      <c r="O1517" t="e">
        <v>#N/A</v>
      </c>
      <c r="P1517" t="e">
        <v>#N/A</v>
      </c>
      <c r="R1517" t="e">
        <v>#N/A</v>
      </c>
      <c r="T1517" t="s">
        <v>5985</v>
      </c>
      <c r="U1517" t="s">
        <v>5985</v>
      </c>
      <c r="V1517" t="s">
        <v>5985</v>
      </c>
      <c r="Y1517" t="s">
        <v>6948</v>
      </c>
      <c r="Z1517" t="s">
        <v>6949</v>
      </c>
      <c r="AA1517" t="s">
        <v>6950</v>
      </c>
      <c r="AB1517" t="s">
        <v>6951</v>
      </c>
      <c r="AC1517" t="s">
        <v>6952</v>
      </c>
      <c r="AD1517" t="s">
        <v>6953</v>
      </c>
    </row>
    <row r="1518" spans="1:30">
      <c r="A1518">
        <v>11015242</v>
      </c>
      <c r="B1518" t="s">
        <v>5258</v>
      </c>
      <c r="C1518" t="s">
        <v>1008</v>
      </c>
      <c r="D1518" t="s">
        <v>6035</v>
      </c>
      <c r="E1518" t="s">
        <v>6036</v>
      </c>
      <c r="J1518" t="s">
        <v>6714</v>
      </c>
      <c r="M1518" t="e">
        <v>#N/A</v>
      </c>
      <c r="N1518" t="e">
        <v>#N/A</v>
      </c>
      <c r="O1518" t="e">
        <v>#N/A</v>
      </c>
      <c r="P1518" t="e">
        <v>#N/A</v>
      </c>
      <c r="R1518" t="e">
        <v>#N/A</v>
      </c>
      <c r="T1518" t="s">
        <v>5985</v>
      </c>
      <c r="U1518" t="s">
        <v>5985</v>
      </c>
      <c r="V1518" t="s">
        <v>5985</v>
      </c>
      <c r="Y1518" t="s">
        <v>6948</v>
      </c>
      <c r="Z1518" t="s">
        <v>6949</v>
      </c>
      <c r="AA1518" t="s">
        <v>6950</v>
      </c>
      <c r="AB1518" t="s">
        <v>6951</v>
      </c>
      <c r="AC1518" t="s">
        <v>6952</v>
      </c>
      <c r="AD1518" t="s">
        <v>6953</v>
      </c>
    </row>
    <row r="1519" spans="1:30">
      <c r="A1519">
        <v>11006830</v>
      </c>
      <c r="B1519" t="s">
        <v>5259</v>
      </c>
      <c r="C1519" t="s">
        <v>1196</v>
      </c>
      <c r="D1519" t="s">
        <v>6039</v>
      </c>
      <c r="E1519" t="s">
        <v>6040</v>
      </c>
      <c r="J1519" t="s">
        <v>6718</v>
      </c>
      <c r="M1519" t="e">
        <v>#N/A</v>
      </c>
      <c r="N1519" t="e">
        <v>#N/A</v>
      </c>
      <c r="O1519" t="e">
        <v>#N/A</v>
      </c>
      <c r="P1519" t="e">
        <v>#N/A</v>
      </c>
      <c r="R1519" t="e">
        <v>#N/A</v>
      </c>
      <c r="T1519" t="s">
        <v>5985</v>
      </c>
      <c r="U1519" t="s">
        <v>5985</v>
      </c>
      <c r="V1519" t="s">
        <v>5985</v>
      </c>
      <c r="Y1519" t="s">
        <v>6948</v>
      </c>
      <c r="Z1519" t="s">
        <v>6949</v>
      </c>
      <c r="AA1519" t="s">
        <v>6950</v>
      </c>
      <c r="AB1519" t="s">
        <v>6951</v>
      </c>
      <c r="AC1519" t="s">
        <v>6952</v>
      </c>
      <c r="AD1519" t="s">
        <v>6953</v>
      </c>
    </row>
    <row r="1520" spans="1:30">
      <c r="A1520">
        <v>11006826</v>
      </c>
      <c r="B1520" t="s">
        <v>5260</v>
      </c>
      <c r="C1520" t="s">
        <v>1224</v>
      </c>
      <c r="D1520" t="s">
        <v>6039</v>
      </c>
      <c r="E1520" t="s">
        <v>6040</v>
      </c>
      <c r="J1520" t="s">
        <v>6720</v>
      </c>
      <c r="M1520" t="e">
        <v>#N/A</v>
      </c>
      <c r="N1520" t="e">
        <v>#N/A</v>
      </c>
      <c r="O1520" t="e">
        <v>#N/A</v>
      </c>
      <c r="P1520" t="e">
        <v>#N/A</v>
      </c>
      <c r="R1520" t="e">
        <v>#N/A</v>
      </c>
      <c r="T1520" t="s">
        <v>5985</v>
      </c>
      <c r="U1520" t="s">
        <v>5985</v>
      </c>
      <c r="V1520" t="s">
        <v>5985</v>
      </c>
      <c r="Y1520" t="s">
        <v>6948</v>
      </c>
      <c r="Z1520" t="s">
        <v>6949</v>
      </c>
      <c r="AA1520" t="s">
        <v>6950</v>
      </c>
      <c r="AB1520" t="s">
        <v>6951</v>
      </c>
      <c r="AC1520" t="s">
        <v>6952</v>
      </c>
      <c r="AD1520" t="s">
        <v>6953</v>
      </c>
    </row>
    <row r="1521" spans="1:30">
      <c r="A1521">
        <v>11003645</v>
      </c>
      <c r="B1521" t="s">
        <v>5261</v>
      </c>
      <c r="C1521" t="s">
        <v>1043</v>
      </c>
      <c r="D1521" t="s">
        <v>6118</v>
      </c>
      <c r="E1521" t="s">
        <v>6119</v>
      </c>
      <c r="J1521" t="s">
        <v>6819</v>
      </c>
      <c r="M1521" t="e">
        <v>#N/A</v>
      </c>
      <c r="N1521" t="e">
        <v>#N/A</v>
      </c>
      <c r="O1521" t="e">
        <v>#N/A</v>
      </c>
      <c r="P1521" t="e">
        <v>#N/A</v>
      </c>
      <c r="R1521" t="e">
        <v>#N/A</v>
      </c>
      <c r="T1521" t="s">
        <v>5985</v>
      </c>
      <c r="U1521" t="s">
        <v>5985</v>
      </c>
      <c r="V1521" t="s">
        <v>5985</v>
      </c>
      <c r="Y1521" t="s">
        <v>6948</v>
      </c>
      <c r="Z1521" t="s">
        <v>6949</v>
      </c>
      <c r="AA1521" t="s">
        <v>6950</v>
      </c>
      <c r="AB1521" t="s">
        <v>6951</v>
      </c>
      <c r="AC1521" t="s">
        <v>6952</v>
      </c>
      <c r="AD1521" t="s">
        <v>6953</v>
      </c>
    </row>
    <row r="1522" spans="1:30">
      <c r="A1522" t="s">
        <v>4604</v>
      </c>
      <c r="B1522" t="s">
        <v>5262</v>
      </c>
      <c r="C1522" t="s">
        <v>1045</v>
      </c>
      <c r="D1522" t="s">
        <v>6118</v>
      </c>
      <c r="E1522" t="s">
        <v>6119</v>
      </c>
      <c r="J1522" t="s">
        <v>6821</v>
      </c>
      <c r="M1522" t="e">
        <v>#N/A</v>
      </c>
      <c r="N1522" t="e">
        <v>#N/A</v>
      </c>
      <c r="O1522" t="e">
        <v>#N/A</v>
      </c>
      <c r="P1522" t="e">
        <v>#N/A</v>
      </c>
      <c r="R1522" t="e">
        <v>#N/A</v>
      </c>
      <c r="T1522" t="s">
        <v>5985</v>
      </c>
      <c r="U1522" t="s">
        <v>5985</v>
      </c>
      <c r="V1522" t="s">
        <v>5985</v>
      </c>
      <c r="Y1522" t="s">
        <v>6948</v>
      </c>
      <c r="Z1522" t="s">
        <v>6949</v>
      </c>
      <c r="AA1522" t="s">
        <v>6950</v>
      </c>
      <c r="AB1522" t="s">
        <v>6951</v>
      </c>
      <c r="AC1522" t="s">
        <v>6952</v>
      </c>
      <c r="AD1522" t="s">
        <v>6953</v>
      </c>
    </row>
    <row r="1523" spans="1:30">
      <c r="A1523">
        <v>11003639</v>
      </c>
      <c r="B1523" t="s">
        <v>5263</v>
      </c>
      <c r="C1523" t="s">
        <v>1142</v>
      </c>
      <c r="D1523" t="s">
        <v>6118</v>
      </c>
      <c r="E1523" t="s">
        <v>6119</v>
      </c>
      <c r="J1523" t="s">
        <v>6822</v>
      </c>
      <c r="M1523" t="e">
        <v>#N/A</v>
      </c>
      <c r="N1523" t="e">
        <v>#N/A</v>
      </c>
      <c r="O1523" t="e">
        <v>#N/A</v>
      </c>
      <c r="P1523" t="e">
        <v>#N/A</v>
      </c>
      <c r="R1523" t="e">
        <v>#N/A</v>
      </c>
      <c r="T1523" t="s">
        <v>5985</v>
      </c>
      <c r="U1523" t="s">
        <v>5985</v>
      </c>
      <c r="V1523" t="s">
        <v>5985</v>
      </c>
      <c r="Y1523" t="s">
        <v>6948</v>
      </c>
      <c r="Z1523" t="s">
        <v>6949</v>
      </c>
      <c r="AA1523" t="s">
        <v>6950</v>
      </c>
      <c r="AB1523" t="s">
        <v>6951</v>
      </c>
      <c r="AC1523" t="s">
        <v>6952</v>
      </c>
      <c r="AD1523" t="s">
        <v>6953</v>
      </c>
    </row>
    <row r="1524" spans="1:30">
      <c r="A1524">
        <v>11003643</v>
      </c>
      <c r="B1524" t="s">
        <v>5264</v>
      </c>
      <c r="C1524" t="s">
        <v>1044</v>
      </c>
      <c r="D1524" t="s">
        <v>6118</v>
      </c>
      <c r="E1524" t="s">
        <v>6119</v>
      </c>
      <c r="J1524" t="s">
        <v>6820</v>
      </c>
      <c r="M1524" t="e">
        <v>#N/A</v>
      </c>
      <c r="N1524" t="e">
        <v>#N/A</v>
      </c>
      <c r="O1524" t="e">
        <v>#N/A</v>
      </c>
      <c r="P1524" t="e">
        <v>#N/A</v>
      </c>
      <c r="R1524" t="e">
        <v>#N/A</v>
      </c>
      <c r="T1524" t="s">
        <v>5985</v>
      </c>
      <c r="U1524" t="s">
        <v>5985</v>
      </c>
      <c r="V1524" t="s">
        <v>5985</v>
      </c>
      <c r="Y1524" t="s">
        <v>6948</v>
      </c>
      <c r="Z1524" t="s">
        <v>6949</v>
      </c>
      <c r="AA1524" t="s">
        <v>6950</v>
      </c>
      <c r="AB1524" t="s">
        <v>6951</v>
      </c>
      <c r="AC1524" t="s">
        <v>6952</v>
      </c>
      <c r="AD1524" t="s">
        <v>6953</v>
      </c>
    </row>
    <row r="1525" spans="1:30">
      <c r="A1525">
        <v>11003641</v>
      </c>
      <c r="B1525" t="s">
        <v>5265</v>
      </c>
      <c r="C1525" t="s">
        <v>1046</v>
      </c>
      <c r="D1525" t="s">
        <v>6118</v>
      </c>
      <c r="E1525" t="s">
        <v>6119</v>
      </c>
      <c r="J1525" t="s">
        <v>6870</v>
      </c>
      <c r="M1525" t="e">
        <v>#N/A</v>
      </c>
      <c r="N1525" t="e">
        <v>#N/A</v>
      </c>
      <c r="O1525" t="e">
        <v>#N/A</v>
      </c>
      <c r="P1525" t="e">
        <v>#N/A</v>
      </c>
      <c r="R1525" t="e">
        <v>#N/A</v>
      </c>
      <c r="T1525" t="s">
        <v>5985</v>
      </c>
      <c r="U1525" t="s">
        <v>5985</v>
      </c>
      <c r="V1525" t="s">
        <v>5985</v>
      </c>
      <c r="Y1525" t="s">
        <v>6948</v>
      </c>
      <c r="Z1525" t="s">
        <v>6949</v>
      </c>
      <c r="AA1525" t="s">
        <v>6950</v>
      </c>
      <c r="AB1525" t="s">
        <v>6951</v>
      </c>
      <c r="AC1525" t="s">
        <v>6952</v>
      </c>
      <c r="AD1525" t="s">
        <v>6953</v>
      </c>
    </row>
    <row r="1526" spans="1:30">
      <c r="A1526">
        <v>11003637</v>
      </c>
      <c r="B1526" t="s">
        <v>5266</v>
      </c>
      <c r="C1526" t="s">
        <v>1047</v>
      </c>
      <c r="D1526" t="s">
        <v>6118</v>
      </c>
      <c r="E1526" t="s">
        <v>6119</v>
      </c>
      <c r="J1526" t="s">
        <v>6823</v>
      </c>
      <c r="M1526" t="e">
        <v>#N/A</v>
      </c>
      <c r="N1526" t="e">
        <v>#N/A</v>
      </c>
      <c r="O1526" t="e">
        <v>#N/A</v>
      </c>
      <c r="P1526" t="e">
        <v>#N/A</v>
      </c>
      <c r="R1526" t="e">
        <v>#N/A</v>
      </c>
      <c r="T1526" t="s">
        <v>6935</v>
      </c>
      <c r="U1526" t="s">
        <v>5985</v>
      </c>
      <c r="V1526" t="s">
        <v>5985</v>
      </c>
      <c r="Y1526" t="s">
        <v>6948</v>
      </c>
      <c r="Z1526" t="s">
        <v>6949</v>
      </c>
      <c r="AA1526" t="s">
        <v>6950</v>
      </c>
      <c r="AB1526" t="s">
        <v>6951</v>
      </c>
      <c r="AC1526" t="s">
        <v>6952</v>
      </c>
      <c r="AD1526" t="s">
        <v>6953</v>
      </c>
    </row>
    <row r="1527" spans="1:30">
      <c r="A1527" t="s">
        <v>4604</v>
      </c>
      <c r="B1527" t="s">
        <v>5267</v>
      </c>
      <c r="C1527" t="s">
        <v>970</v>
      </c>
      <c r="D1527" t="s">
        <v>6122</v>
      </c>
      <c r="E1527" t="s">
        <v>6123</v>
      </c>
      <c r="J1527" t="s">
        <v>6830</v>
      </c>
      <c r="M1527" t="e">
        <v>#N/A</v>
      </c>
      <c r="N1527" t="e">
        <v>#N/A</v>
      </c>
      <c r="O1527" t="e">
        <v>#N/A</v>
      </c>
      <c r="P1527" t="e">
        <v>#N/A</v>
      </c>
      <c r="R1527" t="e">
        <v>#N/A</v>
      </c>
      <c r="T1527" t="s">
        <v>5985</v>
      </c>
      <c r="U1527" t="s">
        <v>5985</v>
      </c>
      <c r="V1527" t="s">
        <v>5985</v>
      </c>
      <c r="Y1527" t="s">
        <v>6948</v>
      </c>
      <c r="Z1527" t="s">
        <v>6949</v>
      </c>
      <c r="AA1527" t="s">
        <v>6950</v>
      </c>
      <c r="AB1527" t="s">
        <v>6951</v>
      </c>
      <c r="AC1527" t="s">
        <v>6952</v>
      </c>
      <c r="AD1527" t="s">
        <v>6953</v>
      </c>
    </row>
    <row r="1528" spans="1:30">
      <c r="A1528" t="s">
        <v>4604</v>
      </c>
      <c r="B1528" t="s">
        <v>5268</v>
      </c>
      <c r="C1528" t="s">
        <v>973</v>
      </c>
      <c r="D1528" t="s">
        <v>6122</v>
      </c>
      <c r="E1528" t="s">
        <v>6123</v>
      </c>
      <c r="J1528" t="s">
        <v>6832</v>
      </c>
      <c r="M1528" t="e">
        <v>#N/A</v>
      </c>
      <c r="N1528" t="e">
        <v>#N/A</v>
      </c>
      <c r="O1528" t="e">
        <v>#N/A</v>
      </c>
      <c r="P1528" t="e">
        <v>#N/A</v>
      </c>
      <c r="R1528" t="e">
        <v>#N/A</v>
      </c>
      <c r="T1528" t="s">
        <v>5985</v>
      </c>
      <c r="U1528" t="s">
        <v>5985</v>
      </c>
      <c r="V1528" t="s">
        <v>5985</v>
      </c>
      <c r="Y1528" t="s">
        <v>6948</v>
      </c>
      <c r="Z1528" t="s">
        <v>6949</v>
      </c>
      <c r="AA1528" t="s">
        <v>6950</v>
      </c>
      <c r="AB1528" t="s">
        <v>6951</v>
      </c>
      <c r="AC1528" t="s">
        <v>6952</v>
      </c>
      <c r="AD1528" t="s">
        <v>6953</v>
      </c>
    </row>
    <row r="1529" spans="1:30">
      <c r="A1529">
        <v>11003623</v>
      </c>
      <c r="B1529" t="s">
        <v>5269</v>
      </c>
      <c r="C1529" t="s">
        <v>1064</v>
      </c>
      <c r="D1529" t="s">
        <v>6122</v>
      </c>
      <c r="E1529" t="s">
        <v>6123</v>
      </c>
      <c r="J1529" t="s">
        <v>6834</v>
      </c>
      <c r="M1529" t="e">
        <v>#N/A</v>
      </c>
      <c r="N1529" t="e">
        <v>#N/A</v>
      </c>
      <c r="O1529" t="e">
        <v>#N/A</v>
      </c>
      <c r="P1529" t="e">
        <v>#N/A</v>
      </c>
      <c r="R1529" t="e">
        <v>#N/A</v>
      </c>
      <c r="T1529" t="s">
        <v>5985</v>
      </c>
      <c r="U1529" t="s">
        <v>5985</v>
      </c>
      <c r="V1529" t="s">
        <v>5985</v>
      </c>
      <c r="Y1529" t="s">
        <v>6948</v>
      </c>
      <c r="Z1529" t="s">
        <v>6949</v>
      </c>
      <c r="AA1529" t="s">
        <v>6950</v>
      </c>
      <c r="AB1529" t="s">
        <v>6951</v>
      </c>
      <c r="AC1529" t="s">
        <v>6952</v>
      </c>
      <c r="AD1529" t="s">
        <v>6953</v>
      </c>
    </row>
    <row r="1530" spans="1:30">
      <c r="A1530">
        <v>11003627</v>
      </c>
      <c r="B1530" t="s">
        <v>5270</v>
      </c>
      <c r="C1530" t="s">
        <v>972</v>
      </c>
      <c r="D1530" t="s">
        <v>6122</v>
      </c>
      <c r="E1530" t="s">
        <v>6123</v>
      </c>
      <c r="J1530" t="s">
        <v>6831</v>
      </c>
      <c r="M1530" t="e">
        <v>#N/A</v>
      </c>
      <c r="N1530" t="e">
        <v>#N/A</v>
      </c>
      <c r="O1530" t="e">
        <v>#N/A</v>
      </c>
      <c r="P1530" t="e">
        <v>#N/A</v>
      </c>
      <c r="R1530" t="e">
        <v>#N/A</v>
      </c>
      <c r="T1530" t="s">
        <v>5985</v>
      </c>
      <c r="U1530" t="s">
        <v>5985</v>
      </c>
      <c r="V1530" t="s">
        <v>5985</v>
      </c>
      <c r="Y1530" t="s">
        <v>6948</v>
      </c>
      <c r="Z1530" t="s">
        <v>6949</v>
      </c>
      <c r="AA1530" t="s">
        <v>6950</v>
      </c>
      <c r="AB1530" t="s">
        <v>6951</v>
      </c>
      <c r="AC1530" t="s">
        <v>6952</v>
      </c>
      <c r="AD1530" t="s">
        <v>6953</v>
      </c>
    </row>
    <row r="1531" spans="1:30">
      <c r="A1531" t="s">
        <v>4604</v>
      </c>
      <c r="B1531" t="s">
        <v>5271</v>
      </c>
      <c r="C1531" t="s">
        <v>974</v>
      </c>
      <c r="D1531" t="s">
        <v>6122</v>
      </c>
      <c r="E1531" t="s">
        <v>6123</v>
      </c>
      <c r="J1531" t="s">
        <v>6833</v>
      </c>
      <c r="M1531" t="e">
        <v>#N/A</v>
      </c>
      <c r="N1531" t="e">
        <v>#N/A</v>
      </c>
      <c r="O1531" t="e">
        <v>#N/A</v>
      </c>
      <c r="P1531" t="e">
        <v>#N/A</v>
      </c>
      <c r="R1531" t="e">
        <v>#N/A</v>
      </c>
      <c r="T1531" t="s">
        <v>5985</v>
      </c>
      <c r="U1531" t="s">
        <v>5985</v>
      </c>
      <c r="V1531" t="s">
        <v>5985</v>
      </c>
      <c r="Y1531" t="s">
        <v>6948</v>
      </c>
      <c r="Z1531" t="s">
        <v>6949</v>
      </c>
      <c r="AA1531" t="s">
        <v>6950</v>
      </c>
      <c r="AB1531" t="s">
        <v>6951</v>
      </c>
      <c r="AC1531" t="s">
        <v>6952</v>
      </c>
      <c r="AD1531" t="s">
        <v>6953</v>
      </c>
    </row>
    <row r="1532" spans="1:30">
      <c r="A1532">
        <v>11003621</v>
      </c>
      <c r="B1532" t="s">
        <v>5272</v>
      </c>
      <c r="C1532" t="s">
        <v>968</v>
      </c>
      <c r="D1532" t="s">
        <v>6122</v>
      </c>
      <c r="E1532" t="s">
        <v>6123</v>
      </c>
      <c r="J1532" t="s">
        <v>6835</v>
      </c>
      <c r="M1532" t="e">
        <v>#N/A</v>
      </c>
      <c r="N1532" t="e">
        <v>#N/A</v>
      </c>
      <c r="O1532" t="e">
        <v>#N/A</v>
      </c>
      <c r="P1532" t="e">
        <v>#N/A</v>
      </c>
      <c r="R1532" t="e">
        <v>#N/A</v>
      </c>
      <c r="T1532" t="s">
        <v>5985</v>
      </c>
      <c r="U1532" t="s">
        <v>5985</v>
      </c>
      <c r="V1532" t="s">
        <v>5985</v>
      </c>
      <c r="Y1532" t="s">
        <v>6948</v>
      </c>
      <c r="Z1532" t="s">
        <v>6949</v>
      </c>
      <c r="AA1532" t="s">
        <v>6950</v>
      </c>
      <c r="AB1532" t="s">
        <v>6951</v>
      </c>
      <c r="AC1532" t="s">
        <v>6952</v>
      </c>
      <c r="AD1532" t="s">
        <v>6953</v>
      </c>
    </row>
    <row r="1533" spans="1:30">
      <c r="A1533" t="s">
        <v>4604</v>
      </c>
      <c r="B1533" t="s">
        <v>5273</v>
      </c>
      <c r="C1533" t="s">
        <v>1048</v>
      </c>
      <c r="D1533" t="s">
        <v>6124</v>
      </c>
      <c r="E1533" t="s">
        <v>6125</v>
      </c>
      <c r="J1533" t="s">
        <v>6836</v>
      </c>
      <c r="M1533" t="e">
        <v>#N/A</v>
      </c>
      <c r="N1533" t="e">
        <v>#N/A</v>
      </c>
      <c r="O1533" t="e">
        <v>#N/A</v>
      </c>
      <c r="P1533" t="e">
        <v>#N/A</v>
      </c>
      <c r="R1533" t="e">
        <v>#N/A</v>
      </c>
      <c r="T1533" t="s">
        <v>5985</v>
      </c>
      <c r="U1533" t="s">
        <v>5985</v>
      </c>
      <c r="V1533" t="s">
        <v>5985</v>
      </c>
      <c r="Y1533" t="s">
        <v>6948</v>
      </c>
      <c r="Z1533" t="s">
        <v>6949</v>
      </c>
      <c r="AA1533" t="s">
        <v>6950</v>
      </c>
      <c r="AB1533" t="s">
        <v>6951</v>
      </c>
      <c r="AC1533" t="s">
        <v>6952</v>
      </c>
      <c r="AD1533" t="s">
        <v>6953</v>
      </c>
    </row>
    <row r="1534" spans="1:30">
      <c r="A1534" t="s">
        <v>4604</v>
      </c>
      <c r="B1534" t="s">
        <v>5274</v>
      </c>
      <c r="C1534" t="s">
        <v>1222</v>
      </c>
      <c r="D1534" t="s">
        <v>6124</v>
      </c>
      <c r="E1534" t="s">
        <v>6125</v>
      </c>
      <c r="J1534" t="s">
        <v>6838</v>
      </c>
      <c r="M1534" t="e">
        <v>#N/A</v>
      </c>
      <c r="N1534" t="e">
        <v>#N/A</v>
      </c>
      <c r="O1534" t="e">
        <v>#N/A</v>
      </c>
      <c r="P1534" t="e">
        <v>#N/A</v>
      </c>
      <c r="R1534" t="e">
        <v>#N/A</v>
      </c>
      <c r="T1534" t="s">
        <v>5985</v>
      </c>
      <c r="U1534" t="s">
        <v>5985</v>
      </c>
      <c r="V1534" t="s">
        <v>5985</v>
      </c>
      <c r="Y1534" t="s">
        <v>6948</v>
      </c>
      <c r="Z1534" t="s">
        <v>6949</v>
      </c>
      <c r="AA1534" t="s">
        <v>6950</v>
      </c>
      <c r="AB1534" t="s">
        <v>6951</v>
      </c>
      <c r="AC1534" t="s">
        <v>6952</v>
      </c>
      <c r="AD1534" t="s">
        <v>6953</v>
      </c>
    </row>
    <row r="1535" spans="1:30">
      <c r="A1535" t="s">
        <v>4604</v>
      </c>
      <c r="B1535" t="s">
        <v>5275</v>
      </c>
      <c r="C1535" t="s">
        <v>1221</v>
      </c>
      <c r="D1535" t="s">
        <v>6124</v>
      </c>
      <c r="E1535" t="s">
        <v>6125</v>
      </c>
      <c r="J1535" t="s">
        <v>6840</v>
      </c>
      <c r="M1535" t="e">
        <v>#N/A</v>
      </c>
      <c r="N1535" t="e">
        <v>#N/A</v>
      </c>
      <c r="O1535" t="e">
        <v>#N/A</v>
      </c>
      <c r="P1535" t="e">
        <v>#N/A</v>
      </c>
      <c r="R1535" t="e">
        <v>#N/A</v>
      </c>
      <c r="T1535" t="s">
        <v>5985</v>
      </c>
      <c r="U1535" t="s">
        <v>5985</v>
      </c>
      <c r="V1535" t="s">
        <v>5985</v>
      </c>
      <c r="Y1535" t="s">
        <v>6948</v>
      </c>
      <c r="Z1535" t="s">
        <v>6949</v>
      </c>
      <c r="AA1535" t="s">
        <v>6950</v>
      </c>
      <c r="AB1535" t="s">
        <v>6951</v>
      </c>
      <c r="AC1535" t="s">
        <v>6952</v>
      </c>
      <c r="AD1535" t="s">
        <v>6953</v>
      </c>
    </row>
    <row r="1536" spans="1:30">
      <c r="A1536" t="s">
        <v>4604</v>
      </c>
      <c r="B1536" t="s">
        <v>5276</v>
      </c>
      <c r="C1536" t="s">
        <v>1049</v>
      </c>
      <c r="D1536" t="s">
        <v>6124</v>
      </c>
      <c r="E1536" t="s">
        <v>6125</v>
      </c>
      <c r="J1536" t="s">
        <v>6837</v>
      </c>
      <c r="M1536" t="e">
        <v>#N/A</v>
      </c>
      <c r="N1536" t="e">
        <v>#N/A</v>
      </c>
      <c r="O1536" t="e">
        <v>#N/A</v>
      </c>
      <c r="P1536" t="e">
        <v>#N/A</v>
      </c>
      <c r="R1536" t="e">
        <v>#N/A</v>
      </c>
      <c r="T1536" t="s">
        <v>5985</v>
      </c>
      <c r="U1536" t="s">
        <v>5985</v>
      </c>
      <c r="V1536" t="s">
        <v>5985</v>
      </c>
      <c r="Y1536" t="s">
        <v>6948</v>
      </c>
      <c r="Z1536" t="s">
        <v>6949</v>
      </c>
      <c r="AA1536" t="s">
        <v>6950</v>
      </c>
      <c r="AB1536" t="s">
        <v>6951</v>
      </c>
      <c r="AC1536" t="s">
        <v>6952</v>
      </c>
      <c r="AD1536" t="s">
        <v>6953</v>
      </c>
    </row>
    <row r="1537" spans="1:30">
      <c r="A1537" t="s">
        <v>4604</v>
      </c>
      <c r="B1537" t="s">
        <v>5277</v>
      </c>
      <c r="C1537" t="s">
        <v>1219</v>
      </c>
      <c r="D1537" t="s">
        <v>6124</v>
      </c>
      <c r="E1537" t="s">
        <v>6125</v>
      </c>
      <c r="J1537" t="s">
        <v>6839</v>
      </c>
      <c r="M1537" t="e">
        <v>#N/A</v>
      </c>
      <c r="N1537" t="e">
        <v>#N/A</v>
      </c>
      <c r="O1537" t="e">
        <v>#N/A</v>
      </c>
      <c r="P1537" t="e">
        <v>#N/A</v>
      </c>
      <c r="R1537" t="e">
        <v>#N/A</v>
      </c>
      <c r="T1537" t="s">
        <v>5985</v>
      </c>
      <c r="U1537" t="s">
        <v>5985</v>
      </c>
      <c r="V1537" t="s">
        <v>5985</v>
      </c>
      <c r="Y1537" t="s">
        <v>6948</v>
      </c>
      <c r="Z1537" t="s">
        <v>6949</v>
      </c>
      <c r="AA1537" t="s">
        <v>6950</v>
      </c>
      <c r="AB1537" t="s">
        <v>6951</v>
      </c>
      <c r="AC1537" t="s">
        <v>6952</v>
      </c>
      <c r="AD1537" t="s">
        <v>6953</v>
      </c>
    </row>
    <row r="1538" spans="1:30">
      <c r="A1538" t="s">
        <v>4604</v>
      </c>
      <c r="B1538" t="s">
        <v>5278</v>
      </c>
      <c r="C1538" t="s">
        <v>1220</v>
      </c>
      <c r="D1538" t="s">
        <v>6124</v>
      </c>
      <c r="E1538" t="s">
        <v>6125</v>
      </c>
      <c r="J1538" t="s">
        <v>6841</v>
      </c>
      <c r="M1538" t="e">
        <v>#N/A</v>
      </c>
      <c r="N1538" t="e">
        <v>#N/A</v>
      </c>
      <c r="O1538" t="e">
        <v>#N/A</v>
      </c>
      <c r="P1538" t="e">
        <v>#N/A</v>
      </c>
      <c r="R1538" t="e">
        <v>#N/A</v>
      </c>
      <c r="T1538" t="s">
        <v>5985</v>
      </c>
      <c r="U1538" t="s">
        <v>5985</v>
      </c>
      <c r="V1538" t="s">
        <v>5985</v>
      </c>
      <c r="Y1538" t="s">
        <v>6948</v>
      </c>
      <c r="Z1538" t="s">
        <v>6949</v>
      </c>
      <c r="AA1538" t="s">
        <v>6950</v>
      </c>
      <c r="AB1538" t="s">
        <v>6951</v>
      </c>
      <c r="AC1538" t="s">
        <v>6952</v>
      </c>
      <c r="AD1538" t="s">
        <v>6953</v>
      </c>
    </row>
    <row r="1539" spans="1:30">
      <c r="A1539" t="s">
        <v>4604</v>
      </c>
      <c r="B1539" t="s">
        <v>5279</v>
      </c>
      <c r="C1539" t="s">
        <v>1225</v>
      </c>
      <c r="D1539" t="s">
        <v>6127</v>
      </c>
      <c r="E1539" t="s">
        <v>6128</v>
      </c>
      <c r="J1539" t="s">
        <v>6842</v>
      </c>
      <c r="M1539" t="e">
        <v>#N/A</v>
      </c>
      <c r="N1539" t="e">
        <v>#N/A</v>
      </c>
      <c r="O1539" t="e">
        <v>#N/A</v>
      </c>
      <c r="P1539" t="e">
        <v>#N/A</v>
      </c>
      <c r="R1539" t="e">
        <v>#N/A</v>
      </c>
      <c r="T1539" t="s">
        <v>5985</v>
      </c>
      <c r="U1539" t="s">
        <v>5985</v>
      </c>
      <c r="V1539" t="s">
        <v>5985</v>
      </c>
      <c r="Y1539" t="s">
        <v>6948</v>
      </c>
      <c r="Z1539" t="s">
        <v>6949</v>
      </c>
      <c r="AA1539" t="s">
        <v>6950</v>
      </c>
      <c r="AB1539" t="s">
        <v>6951</v>
      </c>
      <c r="AC1539" t="s">
        <v>6952</v>
      </c>
      <c r="AD1539" t="s">
        <v>6953</v>
      </c>
    </row>
    <row r="1540" spans="1:30">
      <c r="A1540">
        <v>11003612</v>
      </c>
      <c r="B1540" t="s">
        <v>5280</v>
      </c>
      <c r="C1540" t="s">
        <v>1226</v>
      </c>
      <c r="D1540" t="s">
        <v>6127</v>
      </c>
      <c r="E1540" t="s">
        <v>6128</v>
      </c>
      <c r="J1540" t="s">
        <v>6843</v>
      </c>
      <c r="M1540" t="e">
        <v>#N/A</v>
      </c>
      <c r="N1540" t="e">
        <v>#N/A</v>
      </c>
      <c r="O1540" t="e">
        <v>#N/A</v>
      </c>
      <c r="P1540" t="e">
        <v>#N/A</v>
      </c>
      <c r="R1540" t="e">
        <v>#N/A</v>
      </c>
      <c r="T1540" t="s">
        <v>5985</v>
      </c>
      <c r="U1540" t="s">
        <v>5985</v>
      </c>
      <c r="V1540" t="s">
        <v>5985</v>
      </c>
      <c r="Y1540" t="s">
        <v>6948</v>
      </c>
      <c r="Z1540" t="s">
        <v>6949</v>
      </c>
      <c r="AA1540" t="s">
        <v>6950</v>
      </c>
      <c r="AB1540" t="s">
        <v>6951</v>
      </c>
      <c r="AC1540" t="s">
        <v>6952</v>
      </c>
      <c r="AD1540" t="s">
        <v>6953</v>
      </c>
    </row>
    <row r="1541" spans="1:30">
      <c r="A1541">
        <v>11007518</v>
      </c>
      <c r="B1541" t="s">
        <v>5281</v>
      </c>
      <c r="C1541" t="s">
        <v>1197</v>
      </c>
      <c r="D1541" t="s">
        <v>5954</v>
      </c>
      <c r="E1541" t="s">
        <v>5952</v>
      </c>
      <c r="J1541" t="s">
        <v>6526</v>
      </c>
      <c r="M1541" t="e">
        <v>#N/A</v>
      </c>
      <c r="N1541" t="e">
        <v>#N/A</v>
      </c>
      <c r="O1541" t="e">
        <v>#N/A</v>
      </c>
      <c r="P1541" t="e">
        <v>#N/A</v>
      </c>
      <c r="R1541" t="e">
        <v>#N/A</v>
      </c>
      <c r="T1541" t="s">
        <v>6928</v>
      </c>
      <c r="U1541" t="s">
        <v>6940</v>
      </c>
      <c r="V1541" t="s">
        <v>5985</v>
      </c>
      <c r="Y1541" t="s">
        <v>6948</v>
      </c>
      <c r="Z1541" t="s">
        <v>6949</v>
      </c>
      <c r="AA1541" t="s">
        <v>6950</v>
      </c>
      <c r="AB1541" t="s">
        <v>6951</v>
      </c>
      <c r="AC1541" t="s">
        <v>6952</v>
      </c>
      <c r="AD1541" t="s">
        <v>6953</v>
      </c>
    </row>
    <row r="1542" spans="1:30">
      <c r="A1542" t="s">
        <v>4604</v>
      </c>
      <c r="B1542" t="s">
        <v>5282</v>
      </c>
      <c r="C1542" t="s">
        <v>1269</v>
      </c>
      <c r="D1542" t="s">
        <v>6053</v>
      </c>
      <c r="E1542" t="s">
        <v>6054</v>
      </c>
      <c r="J1542" t="s">
        <v>6748</v>
      </c>
      <c r="M1542" t="e">
        <v>#N/A</v>
      </c>
      <c r="N1542" t="e">
        <v>#N/A</v>
      </c>
      <c r="O1542" t="e">
        <v>#N/A</v>
      </c>
      <c r="P1542" t="e">
        <v>#N/A</v>
      </c>
      <c r="R1542" t="e">
        <v>#N/A</v>
      </c>
      <c r="T1542" t="s">
        <v>6932</v>
      </c>
      <c r="U1542" t="s">
        <v>6944</v>
      </c>
      <c r="V1542" t="s">
        <v>5985</v>
      </c>
      <c r="Y1542" t="s">
        <v>6948</v>
      </c>
      <c r="Z1542" t="s">
        <v>6949</v>
      </c>
      <c r="AA1542" t="s">
        <v>6950</v>
      </c>
      <c r="AB1542" t="s">
        <v>6951</v>
      </c>
      <c r="AC1542" t="s">
        <v>6952</v>
      </c>
      <c r="AD1542" t="s">
        <v>6953</v>
      </c>
    </row>
    <row r="1543" spans="1:30">
      <c r="A1543">
        <v>11007528</v>
      </c>
      <c r="B1543" t="s">
        <v>5283</v>
      </c>
      <c r="C1543" t="s">
        <v>1195</v>
      </c>
      <c r="D1543" t="s">
        <v>5951</v>
      </c>
      <c r="E1543" t="s">
        <v>5952</v>
      </c>
      <c r="J1543" t="s">
        <v>6522</v>
      </c>
      <c r="M1543" t="e">
        <v>#N/A</v>
      </c>
      <c r="N1543" t="e">
        <v>#N/A</v>
      </c>
      <c r="O1543" t="e">
        <v>#N/A</v>
      </c>
      <c r="P1543" t="e">
        <v>#N/A</v>
      </c>
      <c r="R1543" t="e">
        <v>#N/A</v>
      </c>
      <c r="T1543" t="s">
        <v>6924</v>
      </c>
      <c r="U1543" t="s">
        <v>6936</v>
      </c>
      <c r="V1543" t="s">
        <v>5985</v>
      </c>
      <c r="Y1543" t="s">
        <v>6948</v>
      </c>
      <c r="Z1543" t="s">
        <v>6949</v>
      </c>
      <c r="AA1543" t="s">
        <v>6950</v>
      </c>
      <c r="AB1543" t="s">
        <v>6951</v>
      </c>
      <c r="AC1543" t="s">
        <v>6952</v>
      </c>
      <c r="AD1543" t="s">
        <v>6953</v>
      </c>
    </row>
    <row r="1544" spans="1:30">
      <c r="A1544">
        <v>11006221</v>
      </c>
      <c r="B1544" t="s">
        <v>5284</v>
      </c>
      <c r="C1544" t="s">
        <v>1223</v>
      </c>
      <c r="D1544" t="s">
        <v>6051</v>
      </c>
      <c r="E1544" t="s">
        <v>6052</v>
      </c>
      <c r="J1544" t="s">
        <v>6746</v>
      </c>
      <c r="M1544" t="e">
        <v>#N/A</v>
      </c>
      <c r="N1544" t="e">
        <v>#N/A</v>
      </c>
      <c r="O1544" t="e">
        <v>#N/A</v>
      </c>
      <c r="P1544" t="e">
        <v>#N/A</v>
      </c>
      <c r="R1544" t="e">
        <v>#N/A</v>
      </c>
      <c r="T1544" t="s">
        <v>6930</v>
      </c>
      <c r="U1544" t="s">
        <v>6942</v>
      </c>
      <c r="V1544" t="s">
        <v>5985</v>
      </c>
      <c r="Y1544" t="s">
        <v>6948</v>
      </c>
      <c r="Z1544" t="s">
        <v>6949</v>
      </c>
      <c r="AA1544" t="s">
        <v>6950</v>
      </c>
      <c r="AB1544" t="s">
        <v>6951</v>
      </c>
      <c r="AC1544" t="s">
        <v>6952</v>
      </c>
      <c r="AD1544" t="s">
        <v>6953</v>
      </c>
    </row>
    <row r="1545" spans="1:30">
      <c r="A1545" t="s">
        <v>4604</v>
      </c>
      <c r="B1545" t="s">
        <v>5285</v>
      </c>
      <c r="C1545" t="s">
        <v>1006</v>
      </c>
      <c r="D1545" t="s">
        <v>5954</v>
      </c>
      <c r="E1545" t="s">
        <v>5952</v>
      </c>
      <c r="J1545" t="s">
        <v>6527</v>
      </c>
      <c r="M1545" t="e">
        <v>#N/A</v>
      </c>
      <c r="N1545" t="e">
        <v>#N/A</v>
      </c>
      <c r="O1545" t="e">
        <v>#N/A</v>
      </c>
      <c r="P1545" t="e">
        <v>#N/A</v>
      </c>
      <c r="R1545" t="e">
        <v>#N/A</v>
      </c>
      <c r="T1545" t="s">
        <v>6929</v>
      </c>
      <c r="U1545" t="s">
        <v>6941</v>
      </c>
      <c r="V1545" t="s">
        <v>5985</v>
      </c>
      <c r="Y1545" t="s">
        <v>6948</v>
      </c>
      <c r="Z1545" t="s">
        <v>6949</v>
      </c>
      <c r="AA1545" t="s">
        <v>6950</v>
      </c>
      <c r="AB1545" t="s">
        <v>6951</v>
      </c>
      <c r="AC1545" t="s">
        <v>6952</v>
      </c>
      <c r="AD1545" t="s">
        <v>6953</v>
      </c>
    </row>
    <row r="1546" spans="1:30">
      <c r="A1546" t="s">
        <v>4604</v>
      </c>
      <c r="B1546" t="s">
        <v>5286</v>
      </c>
      <c r="C1546" t="s">
        <v>1008</v>
      </c>
      <c r="D1546" t="s">
        <v>6053</v>
      </c>
      <c r="E1546" t="s">
        <v>6054</v>
      </c>
      <c r="J1546" t="s">
        <v>6749</v>
      </c>
      <c r="M1546" t="e">
        <v>#N/A</v>
      </c>
      <c r="N1546" t="e">
        <v>#N/A</v>
      </c>
      <c r="O1546" t="e">
        <v>#N/A</v>
      </c>
      <c r="P1546" t="e">
        <v>#N/A</v>
      </c>
      <c r="R1546" t="e">
        <v>#N/A</v>
      </c>
      <c r="T1546" t="s">
        <v>6933</v>
      </c>
      <c r="U1546" t="s">
        <v>6945</v>
      </c>
      <c r="V1546" t="s">
        <v>5985</v>
      </c>
      <c r="Y1546" t="s">
        <v>6948</v>
      </c>
      <c r="Z1546" t="s">
        <v>6949</v>
      </c>
      <c r="AA1546" t="s">
        <v>6950</v>
      </c>
      <c r="AB1546" t="s">
        <v>6951</v>
      </c>
      <c r="AC1546" t="s">
        <v>6952</v>
      </c>
      <c r="AD1546" t="s">
        <v>6953</v>
      </c>
    </row>
    <row r="1547" spans="1:30">
      <c r="A1547" t="s">
        <v>4604</v>
      </c>
      <c r="B1547" t="s">
        <v>5287</v>
      </c>
      <c r="C1547" t="s">
        <v>1196</v>
      </c>
      <c r="D1547" t="e">
        <v>#N/A</v>
      </c>
      <c r="E1547" t="e">
        <v>#N/A</v>
      </c>
      <c r="J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R1547" t="e">
        <v>#N/A</v>
      </c>
      <c r="T1547" t="e">
        <v>#N/A</v>
      </c>
      <c r="U1547" t="e">
        <v>#N/A</v>
      </c>
      <c r="V1547" t="e">
        <v>#N/A</v>
      </c>
      <c r="Y1547" t="s">
        <v>6948</v>
      </c>
      <c r="Z1547" t="s">
        <v>6949</v>
      </c>
      <c r="AA1547" t="s">
        <v>6950</v>
      </c>
      <c r="AB1547" t="s">
        <v>6951</v>
      </c>
      <c r="AC1547" t="s">
        <v>6952</v>
      </c>
      <c r="AD1547" t="s">
        <v>6953</v>
      </c>
    </row>
    <row r="1548" spans="1:30">
      <c r="A1548" t="s">
        <v>4604</v>
      </c>
      <c r="B1548" t="s">
        <v>5288</v>
      </c>
      <c r="C1548" t="s">
        <v>1224</v>
      </c>
      <c r="D1548" t="s">
        <v>6051</v>
      </c>
      <c r="E1548" t="s">
        <v>6052</v>
      </c>
      <c r="J1548" t="s">
        <v>6747</v>
      </c>
      <c r="M1548" t="e">
        <v>#N/A</v>
      </c>
      <c r="N1548" t="e">
        <v>#N/A</v>
      </c>
      <c r="O1548" t="e">
        <v>#N/A</v>
      </c>
      <c r="P1548" t="e">
        <v>#N/A</v>
      </c>
      <c r="R1548" t="e">
        <v>#N/A</v>
      </c>
      <c r="T1548" t="s">
        <v>6931</v>
      </c>
      <c r="U1548" t="s">
        <v>6943</v>
      </c>
      <c r="V1548" t="s">
        <v>5985</v>
      </c>
      <c r="Y1548" t="s">
        <v>6948</v>
      </c>
      <c r="Z1548" t="s">
        <v>6949</v>
      </c>
      <c r="AA1548" t="s">
        <v>6950</v>
      </c>
      <c r="AB1548" t="s">
        <v>6951</v>
      </c>
      <c r="AC1548" t="s">
        <v>6952</v>
      </c>
      <c r="AD1548" t="s">
        <v>6953</v>
      </c>
    </row>
    <row r="1549" spans="1:30">
      <c r="A1549" t="s">
        <v>4604</v>
      </c>
      <c r="B1549" t="s">
        <v>5289</v>
      </c>
      <c r="C1549" t="s">
        <v>5836</v>
      </c>
      <c r="D1549" t="s">
        <v>6098</v>
      </c>
      <c r="E1549" t="s">
        <v>6099</v>
      </c>
      <c r="J1549" t="s">
        <v>6795</v>
      </c>
      <c r="M1549" t="e">
        <v>#N/A</v>
      </c>
      <c r="N1549" t="e">
        <v>#N/A</v>
      </c>
      <c r="O1549" t="e">
        <v>#N/A</v>
      </c>
      <c r="P1549" t="e">
        <v>#N/A</v>
      </c>
      <c r="R1549" t="e">
        <v>#N/A</v>
      </c>
      <c r="T1549" t="s">
        <v>5985</v>
      </c>
      <c r="U1549" t="s">
        <v>5985</v>
      </c>
      <c r="V1549" t="s">
        <v>5985</v>
      </c>
      <c r="Y1549" t="s">
        <v>6948</v>
      </c>
      <c r="Z1549" t="s">
        <v>6949</v>
      </c>
      <c r="AA1549" t="s">
        <v>6950</v>
      </c>
      <c r="AB1549" t="s">
        <v>6951</v>
      </c>
      <c r="AC1549" t="s">
        <v>6952</v>
      </c>
      <c r="AD1549" t="s">
        <v>6953</v>
      </c>
    </row>
    <row r="1550" spans="1:30">
      <c r="A1550" t="s">
        <v>4604</v>
      </c>
      <c r="B1550" t="s">
        <v>5290</v>
      </c>
      <c r="C1550" t="s">
        <v>5837</v>
      </c>
      <c r="D1550" t="s">
        <v>6100</v>
      </c>
      <c r="E1550" t="s">
        <v>6101</v>
      </c>
      <c r="J1550" t="s">
        <v>6796</v>
      </c>
      <c r="M1550" t="e">
        <v>#N/A</v>
      </c>
      <c r="N1550" t="e">
        <v>#N/A</v>
      </c>
      <c r="O1550" t="e">
        <v>#N/A</v>
      </c>
      <c r="P1550" t="e">
        <v>#N/A</v>
      </c>
      <c r="R1550" t="e">
        <v>#N/A</v>
      </c>
      <c r="T1550" t="s">
        <v>5985</v>
      </c>
      <c r="U1550" t="s">
        <v>5985</v>
      </c>
      <c r="V1550" t="s">
        <v>5985</v>
      </c>
      <c r="Y1550" t="s">
        <v>6948</v>
      </c>
      <c r="Z1550" t="s">
        <v>6949</v>
      </c>
      <c r="AA1550" t="s">
        <v>6950</v>
      </c>
      <c r="AB1550" t="s">
        <v>6951</v>
      </c>
      <c r="AC1550" t="s">
        <v>6952</v>
      </c>
      <c r="AD1550" t="s">
        <v>6953</v>
      </c>
    </row>
    <row r="1551" spans="1:30">
      <c r="A1551" t="s">
        <v>4604</v>
      </c>
      <c r="B1551" t="s">
        <v>5291</v>
      </c>
      <c r="C1551" t="s">
        <v>5802</v>
      </c>
      <c r="D1551" t="s">
        <v>6041</v>
      </c>
      <c r="E1551" t="s">
        <v>6042</v>
      </c>
      <c r="J1551" t="s">
        <v>6721</v>
      </c>
      <c r="M1551" t="e">
        <v>#N/A</v>
      </c>
      <c r="N1551" t="e">
        <v>#N/A</v>
      </c>
      <c r="O1551" t="e">
        <v>#N/A</v>
      </c>
      <c r="P1551" t="e">
        <v>#N/A</v>
      </c>
      <c r="R1551" t="e">
        <v>#N/A</v>
      </c>
      <c r="T1551" t="s">
        <v>5985</v>
      </c>
      <c r="U1551" t="s">
        <v>5985</v>
      </c>
      <c r="V1551" t="s">
        <v>5985</v>
      </c>
      <c r="Y1551" t="s">
        <v>6948</v>
      </c>
      <c r="Z1551" t="s">
        <v>6949</v>
      </c>
      <c r="AA1551" t="s">
        <v>6950</v>
      </c>
      <c r="AB1551" t="s">
        <v>6951</v>
      </c>
      <c r="AC1551" t="s">
        <v>6952</v>
      </c>
      <c r="AD1551" t="s">
        <v>6953</v>
      </c>
    </row>
    <row r="1552" spans="1:30">
      <c r="A1552">
        <v>11007089</v>
      </c>
      <c r="B1552" t="s">
        <v>5292</v>
      </c>
      <c r="C1552" t="s">
        <v>5847</v>
      </c>
      <c r="D1552" t="s">
        <v>6158</v>
      </c>
      <c r="E1552" t="s">
        <v>5992</v>
      </c>
      <c r="J1552" t="s">
        <v>6595</v>
      </c>
      <c r="M1552" t="e">
        <v>#N/A</v>
      </c>
      <c r="N1552" t="e">
        <v>#N/A</v>
      </c>
      <c r="O1552" t="e">
        <v>#N/A</v>
      </c>
      <c r="P1552" t="e">
        <v>#N/A</v>
      </c>
      <c r="R1552" t="e">
        <v>#N/A</v>
      </c>
      <c r="T1552" t="s">
        <v>5983</v>
      </c>
      <c r="U1552" t="s">
        <v>5983</v>
      </c>
      <c r="V1552" t="s">
        <v>5983</v>
      </c>
      <c r="Y1552" t="s">
        <v>6948</v>
      </c>
      <c r="Z1552" t="s">
        <v>6949</v>
      </c>
      <c r="AA1552" t="s">
        <v>6950</v>
      </c>
      <c r="AB1552" t="s">
        <v>6951</v>
      </c>
      <c r="AC1552" t="s">
        <v>6952</v>
      </c>
      <c r="AD1552" t="s">
        <v>6953</v>
      </c>
    </row>
    <row r="1553" spans="1:30">
      <c r="A1553">
        <v>11007088</v>
      </c>
      <c r="B1553" t="s">
        <v>5293</v>
      </c>
      <c r="C1553" t="s">
        <v>5848</v>
      </c>
      <c r="D1553" t="s">
        <v>6158</v>
      </c>
      <c r="E1553" t="s">
        <v>5992</v>
      </c>
      <c r="J1553" t="s">
        <v>6596</v>
      </c>
      <c r="M1553" t="e">
        <v>#N/A</v>
      </c>
      <c r="N1553" t="e">
        <v>#N/A</v>
      </c>
      <c r="O1553" t="e">
        <v>#N/A</v>
      </c>
      <c r="P1553" t="e">
        <v>#N/A</v>
      </c>
      <c r="R1553" t="e">
        <v>#N/A</v>
      </c>
      <c r="T1553" t="s">
        <v>5983</v>
      </c>
      <c r="U1553" t="s">
        <v>5983</v>
      </c>
      <c r="V1553" t="s">
        <v>5983</v>
      </c>
      <c r="Y1553" t="s">
        <v>6948</v>
      </c>
      <c r="Z1553" t="s">
        <v>6949</v>
      </c>
      <c r="AA1553" t="s">
        <v>6950</v>
      </c>
      <c r="AB1553" t="s">
        <v>6951</v>
      </c>
      <c r="AC1553" t="s">
        <v>6952</v>
      </c>
      <c r="AD1553" t="s">
        <v>6953</v>
      </c>
    </row>
    <row r="1554" spans="1:30">
      <c r="A1554">
        <v>11007087</v>
      </c>
      <c r="B1554" t="s">
        <v>5294</v>
      </c>
      <c r="C1554" t="s">
        <v>5849</v>
      </c>
      <c r="D1554" t="s">
        <v>6158</v>
      </c>
      <c r="E1554" t="s">
        <v>5992</v>
      </c>
      <c r="J1554" t="s">
        <v>6597</v>
      </c>
      <c r="M1554" t="e">
        <v>#N/A</v>
      </c>
      <c r="N1554" t="e">
        <v>#N/A</v>
      </c>
      <c r="O1554" t="e">
        <v>#N/A</v>
      </c>
      <c r="P1554" t="e">
        <v>#N/A</v>
      </c>
      <c r="R1554" t="e">
        <v>#N/A</v>
      </c>
      <c r="T1554" t="s">
        <v>5983</v>
      </c>
      <c r="U1554" t="s">
        <v>5983</v>
      </c>
      <c r="V1554" t="s">
        <v>5983</v>
      </c>
      <c r="Y1554" t="s">
        <v>6948</v>
      </c>
      <c r="Z1554" t="s">
        <v>6949</v>
      </c>
      <c r="AA1554" t="s">
        <v>6950</v>
      </c>
      <c r="AB1554" t="s">
        <v>6951</v>
      </c>
      <c r="AC1554" t="s">
        <v>6952</v>
      </c>
      <c r="AD1554" t="s">
        <v>6953</v>
      </c>
    </row>
    <row r="1555" spans="1:30">
      <c r="A1555" t="s">
        <v>4604</v>
      </c>
      <c r="B1555" t="s">
        <v>5295</v>
      </c>
      <c r="C1555" t="s">
        <v>5850</v>
      </c>
      <c r="D1555" t="s">
        <v>6159</v>
      </c>
      <c r="E1555" t="s">
        <v>5992</v>
      </c>
      <c r="J1555" t="s">
        <v>6598</v>
      </c>
      <c r="M1555" t="e">
        <v>#N/A</v>
      </c>
      <c r="N1555" t="e">
        <v>#N/A</v>
      </c>
      <c r="O1555" t="e">
        <v>#N/A</v>
      </c>
      <c r="P1555" t="e">
        <v>#N/A</v>
      </c>
      <c r="R1555" t="e">
        <v>#N/A</v>
      </c>
      <c r="T1555" t="s">
        <v>5983</v>
      </c>
      <c r="U1555" t="s">
        <v>5983</v>
      </c>
      <c r="V1555" t="s">
        <v>5983</v>
      </c>
      <c r="Y1555" t="s">
        <v>6948</v>
      </c>
      <c r="Z1555" t="s">
        <v>6949</v>
      </c>
      <c r="AA1555" t="s">
        <v>6950</v>
      </c>
      <c r="AB1555" t="s">
        <v>6951</v>
      </c>
      <c r="AC1555" t="s">
        <v>6952</v>
      </c>
      <c r="AD1555" t="s">
        <v>6953</v>
      </c>
    </row>
    <row r="1556" spans="1:30">
      <c r="A1556">
        <v>11007085</v>
      </c>
      <c r="B1556" t="s">
        <v>5296</v>
      </c>
      <c r="C1556" t="s">
        <v>5851</v>
      </c>
      <c r="D1556" t="s">
        <v>6160</v>
      </c>
      <c r="E1556" t="s">
        <v>5995</v>
      </c>
      <c r="J1556" t="s">
        <v>6599</v>
      </c>
      <c r="M1556" t="e">
        <v>#N/A</v>
      </c>
      <c r="N1556" t="e">
        <v>#N/A</v>
      </c>
      <c r="O1556" t="e">
        <v>#N/A</v>
      </c>
      <c r="P1556" t="e">
        <v>#N/A</v>
      </c>
      <c r="R1556" t="e">
        <v>#N/A</v>
      </c>
      <c r="T1556" t="s">
        <v>5983</v>
      </c>
      <c r="U1556" t="s">
        <v>5983</v>
      </c>
      <c r="V1556" t="s">
        <v>5983</v>
      </c>
      <c r="Y1556" t="s">
        <v>6948</v>
      </c>
      <c r="Z1556" t="s">
        <v>6949</v>
      </c>
      <c r="AA1556" t="s">
        <v>6950</v>
      </c>
      <c r="AB1556" t="s">
        <v>6951</v>
      </c>
      <c r="AC1556" t="s">
        <v>6952</v>
      </c>
      <c r="AD1556" t="s">
        <v>6953</v>
      </c>
    </row>
    <row r="1557" spans="1:30">
      <c r="A1557">
        <v>11007083</v>
      </c>
      <c r="B1557" t="s">
        <v>5297</v>
      </c>
      <c r="C1557" t="s">
        <v>1020</v>
      </c>
      <c r="D1557" t="s">
        <v>6160</v>
      </c>
      <c r="E1557" t="s">
        <v>5995</v>
      </c>
      <c r="J1557" t="s">
        <v>6600</v>
      </c>
      <c r="M1557" t="e">
        <v>#N/A</v>
      </c>
      <c r="N1557" t="e">
        <v>#N/A</v>
      </c>
      <c r="O1557" t="e">
        <v>#N/A</v>
      </c>
      <c r="P1557" t="e">
        <v>#N/A</v>
      </c>
      <c r="R1557" t="e">
        <v>#N/A</v>
      </c>
      <c r="T1557" t="s">
        <v>5983</v>
      </c>
      <c r="U1557" t="s">
        <v>5983</v>
      </c>
      <c r="V1557" t="s">
        <v>5983</v>
      </c>
      <c r="Y1557" t="s">
        <v>6948</v>
      </c>
      <c r="Z1557" t="s">
        <v>6949</v>
      </c>
      <c r="AA1557" t="s">
        <v>6950</v>
      </c>
      <c r="AB1557" t="s">
        <v>6951</v>
      </c>
      <c r="AC1557" t="s">
        <v>6952</v>
      </c>
      <c r="AD1557" t="s">
        <v>6953</v>
      </c>
    </row>
    <row r="1558" spans="1:30">
      <c r="A1558">
        <v>11007081</v>
      </c>
      <c r="B1558" t="s">
        <v>5298</v>
      </c>
      <c r="C1558" t="s">
        <v>5852</v>
      </c>
      <c r="D1558" t="s">
        <v>6160</v>
      </c>
      <c r="E1558" t="s">
        <v>5995</v>
      </c>
      <c r="J1558" t="s">
        <v>6601</v>
      </c>
      <c r="M1558" t="e">
        <v>#N/A</v>
      </c>
      <c r="N1558" t="e">
        <v>#N/A</v>
      </c>
      <c r="O1558" t="e">
        <v>#N/A</v>
      </c>
      <c r="P1558" t="e">
        <v>#N/A</v>
      </c>
      <c r="R1558" t="e">
        <v>#N/A</v>
      </c>
      <c r="T1558" t="s">
        <v>5983</v>
      </c>
      <c r="U1558" t="s">
        <v>5983</v>
      </c>
      <c r="V1558" t="s">
        <v>5983</v>
      </c>
      <c r="Y1558" t="s">
        <v>6948</v>
      </c>
      <c r="Z1558" t="s">
        <v>6949</v>
      </c>
      <c r="AA1558" t="s">
        <v>6950</v>
      </c>
      <c r="AB1558" t="s">
        <v>6951</v>
      </c>
      <c r="AC1558" t="s">
        <v>6952</v>
      </c>
      <c r="AD1558" t="s">
        <v>6953</v>
      </c>
    </row>
    <row r="1559" spans="1:30">
      <c r="A1559">
        <v>11007079</v>
      </c>
      <c r="B1559" t="s">
        <v>5299</v>
      </c>
      <c r="C1559" t="s">
        <v>5853</v>
      </c>
      <c r="D1559" t="s">
        <v>6161</v>
      </c>
      <c r="E1559" t="s">
        <v>5997</v>
      </c>
      <c r="J1559" t="s">
        <v>6602</v>
      </c>
      <c r="M1559" t="e">
        <v>#N/A</v>
      </c>
      <c r="N1559" t="e">
        <v>#N/A</v>
      </c>
      <c r="O1559" t="e">
        <v>#N/A</v>
      </c>
      <c r="P1559" t="e">
        <v>#N/A</v>
      </c>
      <c r="R1559" t="e">
        <v>#N/A</v>
      </c>
      <c r="T1559" t="s">
        <v>5983</v>
      </c>
      <c r="U1559" t="s">
        <v>5983</v>
      </c>
      <c r="V1559" t="s">
        <v>5983</v>
      </c>
      <c r="Y1559" t="s">
        <v>6948</v>
      </c>
      <c r="Z1559" t="s">
        <v>6949</v>
      </c>
      <c r="AA1559" t="s">
        <v>6950</v>
      </c>
      <c r="AB1559" t="s">
        <v>6951</v>
      </c>
      <c r="AC1559" t="s">
        <v>6952</v>
      </c>
      <c r="AD1559" t="s">
        <v>6953</v>
      </c>
    </row>
    <row r="1560" spans="1:30">
      <c r="A1560">
        <v>11007077</v>
      </c>
      <c r="B1560" t="s">
        <v>5300</v>
      </c>
      <c r="C1560" t="s">
        <v>5854</v>
      </c>
      <c r="D1560" t="s">
        <v>6161</v>
      </c>
      <c r="E1560" t="s">
        <v>5997</v>
      </c>
      <c r="J1560" t="s">
        <v>6603</v>
      </c>
      <c r="M1560" t="e">
        <v>#N/A</v>
      </c>
      <c r="N1560" t="e">
        <v>#N/A</v>
      </c>
      <c r="O1560" t="e">
        <v>#N/A</v>
      </c>
      <c r="P1560" t="e">
        <v>#N/A</v>
      </c>
      <c r="R1560" t="e">
        <v>#N/A</v>
      </c>
      <c r="T1560" t="s">
        <v>5983</v>
      </c>
      <c r="U1560" t="s">
        <v>5983</v>
      </c>
      <c r="V1560" t="s">
        <v>5983</v>
      </c>
      <c r="Y1560" t="s">
        <v>6948</v>
      </c>
      <c r="Z1560" t="s">
        <v>6949</v>
      </c>
      <c r="AA1560" t="s">
        <v>6950</v>
      </c>
      <c r="AB1560" t="s">
        <v>6951</v>
      </c>
      <c r="AC1560" t="s">
        <v>6952</v>
      </c>
      <c r="AD1560" t="s">
        <v>6953</v>
      </c>
    </row>
    <row r="1561" spans="1:30">
      <c r="A1561">
        <v>11007075</v>
      </c>
      <c r="B1561" t="s">
        <v>5301</v>
      </c>
      <c r="C1561" t="s">
        <v>1138</v>
      </c>
      <c r="D1561" t="s">
        <v>6161</v>
      </c>
      <c r="E1561" t="s">
        <v>5997</v>
      </c>
      <c r="J1561" t="s">
        <v>6604</v>
      </c>
      <c r="M1561" t="e">
        <v>#N/A</v>
      </c>
      <c r="N1561" t="e">
        <v>#N/A</v>
      </c>
      <c r="O1561" t="e">
        <v>#N/A</v>
      </c>
      <c r="P1561" t="e">
        <v>#N/A</v>
      </c>
      <c r="R1561" t="e">
        <v>#N/A</v>
      </c>
      <c r="T1561" t="s">
        <v>5983</v>
      </c>
      <c r="U1561" t="s">
        <v>5983</v>
      </c>
      <c r="V1561" t="s">
        <v>5983</v>
      </c>
      <c r="Y1561" t="s">
        <v>6948</v>
      </c>
      <c r="Z1561" t="s">
        <v>6949</v>
      </c>
      <c r="AA1561" t="s">
        <v>6950</v>
      </c>
      <c r="AB1561" t="s">
        <v>6951</v>
      </c>
      <c r="AC1561" t="s">
        <v>6952</v>
      </c>
      <c r="AD1561" t="s">
        <v>6953</v>
      </c>
    </row>
    <row r="1562" spans="1:30">
      <c r="A1562">
        <v>11007073</v>
      </c>
      <c r="B1562" t="s">
        <v>5302</v>
      </c>
      <c r="C1562" t="s">
        <v>5855</v>
      </c>
      <c r="D1562" t="s">
        <v>6161</v>
      </c>
      <c r="E1562" t="s">
        <v>5997</v>
      </c>
      <c r="J1562" t="s">
        <v>6605</v>
      </c>
      <c r="M1562" t="e">
        <v>#N/A</v>
      </c>
      <c r="N1562" t="e">
        <v>#N/A</v>
      </c>
      <c r="O1562" t="e">
        <v>#N/A</v>
      </c>
      <c r="P1562" t="e">
        <v>#N/A</v>
      </c>
      <c r="R1562" t="e">
        <v>#N/A</v>
      </c>
      <c r="T1562" t="s">
        <v>5983</v>
      </c>
      <c r="U1562" t="s">
        <v>5983</v>
      </c>
      <c r="V1562" t="s">
        <v>5983</v>
      </c>
      <c r="Y1562" t="s">
        <v>6948</v>
      </c>
      <c r="Z1562" t="s">
        <v>6949</v>
      </c>
      <c r="AA1562" t="s">
        <v>6950</v>
      </c>
      <c r="AB1562" t="s">
        <v>6951</v>
      </c>
      <c r="AC1562" t="s">
        <v>6952</v>
      </c>
      <c r="AD1562" t="s">
        <v>6953</v>
      </c>
    </row>
    <row r="1563" spans="1:30">
      <c r="A1563">
        <v>11007071</v>
      </c>
      <c r="B1563" t="s">
        <v>5303</v>
      </c>
      <c r="C1563" t="s">
        <v>5856</v>
      </c>
      <c r="D1563" t="s">
        <v>6162</v>
      </c>
      <c r="E1563" t="s">
        <v>5999</v>
      </c>
      <c r="J1563" t="s">
        <v>6606</v>
      </c>
      <c r="M1563" t="e">
        <v>#N/A</v>
      </c>
      <c r="N1563" t="e">
        <v>#N/A</v>
      </c>
      <c r="O1563" t="e">
        <v>#N/A</v>
      </c>
      <c r="P1563" t="e">
        <v>#N/A</v>
      </c>
      <c r="R1563" t="e">
        <v>#N/A</v>
      </c>
      <c r="T1563" t="s">
        <v>5983</v>
      </c>
      <c r="U1563" t="s">
        <v>5983</v>
      </c>
      <c r="V1563" t="s">
        <v>5983</v>
      </c>
      <c r="Y1563" t="s">
        <v>6948</v>
      </c>
      <c r="Z1563" t="s">
        <v>6949</v>
      </c>
      <c r="AA1563" t="s">
        <v>6950</v>
      </c>
      <c r="AB1563" t="s">
        <v>6951</v>
      </c>
      <c r="AC1563" t="s">
        <v>6952</v>
      </c>
      <c r="AD1563" t="s">
        <v>6953</v>
      </c>
    </row>
    <row r="1564" spans="1:30">
      <c r="A1564">
        <v>11007069</v>
      </c>
      <c r="B1564" t="s">
        <v>5304</v>
      </c>
      <c r="C1564" t="s">
        <v>1086</v>
      </c>
      <c r="D1564" t="s">
        <v>6162</v>
      </c>
      <c r="E1564" t="s">
        <v>5999</v>
      </c>
      <c r="J1564" t="s">
        <v>6607</v>
      </c>
      <c r="M1564" t="e">
        <v>#N/A</v>
      </c>
      <c r="N1564" t="e">
        <v>#N/A</v>
      </c>
      <c r="O1564" t="e">
        <v>#N/A</v>
      </c>
      <c r="P1564" t="e">
        <v>#N/A</v>
      </c>
      <c r="R1564" t="e">
        <v>#N/A</v>
      </c>
      <c r="T1564" t="s">
        <v>5983</v>
      </c>
      <c r="U1564" t="s">
        <v>5983</v>
      </c>
      <c r="V1564" t="s">
        <v>5983</v>
      </c>
      <c r="Y1564" t="s">
        <v>6948</v>
      </c>
      <c r="Z1564" t="s">
        <v>6949</v>
      </c>
      <c r="AA1564" t="s">
        <v>6950</v>
      </c>
      <c r="AB1564" t="s">
        <v>6951</v>
      </c>
      <c r="AC1564" t="s">
        <v>6952</v>
      </c>
      <c r="AD1564" t="s">
        <v>6953</v>
      </c>
    </row>
    <row r="1565" spans="1:30">
      <c r="A1565">
        <v>11007067</v>
      </c>
      <c r="B1565" t="s">
        <v>5305</v>
      </c>
      <c r="C1565" t="s">
        <v>5857</v>
      </c>
      <c r="D1565" t="s">
        <v>6163</v>
      </c>
      <c r="E1565" t="s">
        <v>6001</v>
      </c>
      <c r="J1565" t="s">
        <v>6608</v>
      </c>
      <c r="M1565" t="e">
        <v>#N/A</v>
      </c>
      <c r="N1565" t="e">
        <v>#N/A</v>
      </c>
      <c r="O1565" t="e">
        <v>#N/A</v>
      </c>
      <c r="P1565" t="e">
        <v>#N/A</v>
      </c>
      <c r="R1565" t="e">
        <v>#N/A</v>
      </c>
      <c r="T1565" t="s">
        <v>5983</v>
      </c>
      <c r="U1565" t="s">
        <v>5983</v>
      </c>
      <c r="V1565" t="s">
        <v>5983</v>
      </c>
      <c r="Y1565" t="s">
        <v>6948</v>
      </c>
      <c r="Z1565" t="s">
        <v>6949</v>
      </c>
      <c r="AA1565" t="s">
        <v>6950</v>
      </c>
      <c r="AB1565" t="s">
        <v>6951</v>
      </c>
      <c r="AC1565" t="s">
        <v>6952</v>
      </c>
      <c r="AD1565" t="s">
        <v>6953</v>
      </c>
    </row>
    <row r="1566" spans="1:30">
      <c r="A1566">
        <v>11007066</v>
      </c>
      <c r="B1566" t="s">
        <v>5306</v>
      </c>
      <c r="C1566" t="s">
        <v>5858</v>
      </c>
      <c r="D1566" t="s">
        <v>6163</v>
      </c>
      <c r="E1566" t="s">
        <v>6001</v>
      </c>
      <c r="J1566" t="s">
        <v>6609</v>
      </c>
      <c r="M1566" t="e">
        <v>#N/A</v>
      </c>
      <c r="N1566" t="e">
        <v>#N/A</v>
      </c>
      <c r="O1566" t="e">
        <v>#N/A</v>
      </c>
      <c r="P1566" t="e">
        <v>#N/A</v>
      </c>
      <c r="R1566" t="e">
        <v>#N/A</v>
      </c>
      <c r="T1566" t="s">
        <v>5983</v>
      </c>
      <c r="U1566" t="s">
        <v>5983</v>
      </c>
      <c r="V1566" t="s">
        <v>5983</v>
      </c>
      <c r="Y1566" t="s">
        <v>6948</v>
      </c>
      <c r="Z1566" t="s">
        <v>6949</v>
      </c>
      <c r="AA1566" t="s">
        <v>6950</v>
      </c>
      <c r="AB1566" t="s">
        <v>6951</v>
      </c>
      <c r="AC1566" t="s">
        <v>6952</v>
      </c>
      <c r="AD1566" t="s">
        <v>6953</v>
      </c>
    </row>
    <row r="1567" spans="1:30">
      <c r="A1567" t="s">
        <v>4604</v>
      </c>
      <c r="B1567" t="s">
        <v>5307</v>
      </c>
      <c r="C1567" t="s">
        <v>1209</v>
      </c>
      <c r="D1567" t="s">
        <v>6163</v>
      </c>
      <c r="E1567" t="s">
        <v>6001</v>
      </c>
      <c r="J1567" t="s">
        <v>6859</v>
      </c>
      <c r="M1567" t="e">
        <v>#N/A</v>
      </c>
      <c r="N1567" t="e">
        <v>#N/A</v>
      </c>
      <c r="O1567" t="e">
        <v>#N/A</v>
      </c>
      <c r="P1567" t="e">
        <v>#N/A</v>
      </c>
      <c r="R1567" t="e">
        <v>#N/A</v>
      </c>
      <c r="T1567" t="s">
        <v>5983</v>
      </c>
      <c r="U1567" t="s">
        <v>5983</v>
      </c>
      <c r="V1567" t="s">
        <v>5983</v>
      </c>
      <c r="Y1567" t="s">
        <v>6948</v>
      </c>
      <c r="Z1567" t="s">
        <v>6949</v>
      </c>
      <c r="AA1567" t="s">
        <v>6950</v>
      </c>
      <c r="AB1567" t="s">
        <v>6951</v>
      </c>
      <c r="AC1567" t="s">
        <v>6952</v>
      </c>
      <c r="AD1567" t="s">
        <v>6953</v>
      </c>
    </row>
    <row r="1568" spans="1:30">
      <c r="A1568">
        <v>11007064</v>
      </c>
      <c r="B1568" t="s">
        <v>5308</v>
      </c>
      <c r="C1568" t="s">
        <v>5859</v>
      </c>
      <c r="D1568" t="s">
        <v>6164</v>
      </c>
      <c r="E1568" t="s">
        <v>6001</v>
      </c>
      <c r="J1568" t="s">
        <v>6611</v>
      </c>
      <c r="M1568" t="e">
        <v>#N/A</v>
      </c>
      <c r="N1568" t="e">
        <v>#N/A</v>
      </c>
      <c r="O1568" t="e">
        <v>#N/A</v>
      </c>
      <c r="P1568" t="e">
        <v>#N/A</v>
      </c>
      <c r="R1568" t="e">
        <v>#N/A</v>
      </c>
      <c r="T1568" t="s">
        <v>5983</v>
      </c>
      <c r="U1568" t="s">
        <v>5983</v>
      </c>
      <c r="V1568" t="s">
        <v>5983</v>
      </c>
      <c r="Y1568" t="s">
        <v>6948</v>
      </c>
      <c r="Z1568" t="s">
        <v>6949</v>
      </c>
      <c r="AA1568" t="s">
        <v>6950</v>
      </c>
      <c r="AB1568" t="s">
        <v>6951</v>
      </c>
      <c r="AC1568" t="s">
        <v>6952</v>
      </c>
      <c r="AD1568" t="s">
        <v>6953</v>
      </c>
    </row>
    <row r="1569" spans="1:30">
      <c r="A1569">
        <v>11007063</v>
      </c>
      <c r="B1569" t="s">
        <v>5309</v>
      </c>
      <c r="C1569" t="s">
        <v>5860</v>
      </c>
      <c r="D1569" t="s">
        <v>6164</v>
      </c>
      <c r="E1569" t="s">
        <v>6001</v>
      </c>
      <c r="J1569" t="s">
        <v>6612</v>
      </c>
      <c r="M1569" t="e">
        <v>#N/A</v>
      </c>
      <c r="N1569" t="e">
        <v>#N/A</v>
      </c>
      <c r="O1569" t="e">
        <v>#N/A</v>
      </c>
      <c r="P1569" t="e">
        <v>#N/A</v>
      </c>
      <c r="R1569" t="e">
        <v>#N/A</v>
      </c>
      <c r="T1569" t="s">
        <v>5983</v>
      </c>
      <c r="U1569" t="s">
        <v>5983</v>
      </c>
      <c r="V1569" t="s">
        <v>5983</v>
      </c>
      <c r="Y1569" t="s">
        <v>6948</v>
      </c>
      <c r="Z1569" t="s">
        <v>6949</v>
      </c>
      <c r="AA1569" t="s">
        <v>6950</v>
      </c>
      <c r="AB1569" t="s">
        <v>6951</v>
      </c>
      <c r="AC1569" t="s">
        <v>6952</v>
      </c>
      <c r="AD1569" t="s">
        <v>6953</v>
      </c>
    </row>
    <row r="1570" spans="1:30">
      <c r="A1570">
        <v>11007062</v>
      </c>
      <c r="B1570" t="s">
        <v>5310</v>
      </c>
      <c r="C1570" t="s">
        <v>1212</v>
      </c>
      <c r="D1570" t="s">
        <v>6164</v>
      </c>
      <c r="E1570" t="s">
        <v>6001</v>
      </c>
      <c r="J1570" t="s">
        <v>6613</v>
      </c>
      <c r="M1570" t="e">
        <v>#N/A</v>
      </c>
      <c r="N1570" t="e">
        <v>#N/A</v>
      </c>
      <c r="O1570" t="e">
        <v>#N/A</v>
      </c>
      <c r="P1570" t="e">
        <v>#N/A</v>
      </c>
      <c r="R1570" t="e">
        <v>#N/A</v>
      </c>
      <c r="T1570" t="s">
        <v>5983</v>
      </c>
      <c r="U1570" t="s">
        <v>5983</v>
      </c>
      <c r="V1570" t="s">
        <v>5983</v>
      </c>
      <c r="Y1570" t="s">
        <v>6948</v>
      </c>
      <c r="Z1570" t="s">
        <v>6949</v>
      </c>
      <c r="AA1570" t="s">
        <v>6950</v>
      </c>
      <c r="AB1570" t="s">
        <v>6951</v>
      </c>
      <c r="AC1570" t="s">
        <v>6952</v>
      </c>
      <c r="AD1570" t="s">
        <v>6953</v>
      </c>
    </row>
    <row r="1571" spans="1:30">
      <c r="A1571">
        <v>11007060</v>
      </c>
      <c r="B1571" t="s">
        <v>5311</v>
      </c>
      <c r="C1571" t="s">
        <v>5819</v>
      </c>
      <c r="D1571" t="s">
        <v>6165</v>
      </c>
      <c r="E1571" t="s">
        <v>6003</v>
      </c>
      <c r="J1571" t="s">
        <v>6614</v>
      </c>
      <c r="M1571" t="e">
        <v>#N/A</v>
      </c>
      <c r="N1571" t="e">
        <v>#N/A</v>
      </c>
      <c r="O1571" t="e">
        <v>#N/A</v>
      </c>
      <c r="P1571" t="e">
        <v>#N/A</v>
      </c>
      <c r="R1571" t="e">
        <v>#N/A</v>
      </c>
      <c r="T1571" t="s">
        <v>5983</v>
      </c>
      <c r="U1571" t="s">
        <v>5983</v>
      </c>
      <c r="V1571" t="s">
        <v>5983</v>
      </c>
      <c r="Y1571" t="s">
        <v>6948</v>
      </c>
      <c r="Z1571" t="s">
        <v>6949</v>
      </c>
      <c r="AA1571" t="s">
        <v>6950</v>
      </c>
      <c r="AB1571" t="s">
        <v>6951</v>
      </c>
      <c r="AC1571" t="s">
        <v>6952</v>
      </c>
      <c r="AD1571" t="s">
        <v>6953</v>
      </c>
    </row>
    <row r="1572" spans="1:30">
      <c r="A1572">
        <v>11007058</v>
      </c>
      <c r="B1572" t="s">
        <v>5312</v>
      </c>
      <c r="C1572" t="s">
        <v>5820</v>
      </c>
      <c r="D1572" t="s">
        <v>6165</v>
      </c>
      <c r="E1572" t="s">
        <v>6003</v>
      </c>
      <c r="J1572" t="s">
        <v>6615</v>
      </c>
      <c r="M1572" t="e">
        <v>#N/A</v>
      </c>
      <c r="N1572" t="e">
        <v>#N/A</v>
      </c>
      <c r="O1572" t="e">
        <v>#N/A</v>
      </c>
      <c r="P1572" t="e">
        <v>#N/A</v>
      </c>
      <c r="R1572" t="e">
        <v>#N/A</v>
      </c>
      <c r="T1572" t="s">
        <v>5983</v>
      </c>
      <c r="U1572" t="s">
        <v>5983</v>
      </c>
      <c r="V1572" t="s">
        <v>5983</v>
      </c>
      <c r="Y1572" t="s">
        <v>6948</v>
      </c>
      <c r="Z1572" t="s">
        <v>6949</v>
      </c>
      <c r="AA1572" t="s">
        <v>6950</v>
      </c>
      <c r="AB1572" t="s">
        <v>6951</v>
      </c>
      <c r="AC1572" t="s">
        <v>6952</v>
      </c>
      <c r="AD1572" t="s">
        <v>6953</v>
      </c>
    </row>
    <row r="1573" spans="1:30">
      <c r="A1573">
        <v>11007056</v>
      </c>
      <c r="B1573" t="s">
        <v>5313</v>
      </c>
      <c r="C1573" t="s">
        <v>1024</v>
      </c>
      <c r="D1573" t="s">
        <v>6166</v>
      </c>
      <c r="E1573" t="s">
        <v>6003</v>
      </c>
      <c r="J1573" t="s">
        <v>6616</v>
      </c>
      <c r="M1573" t="e">
        <v>#N/A</v>
      </c>
      <c r="N1573" t="e">
        <v>#N/A</v>
      </c>
      <c r="O1573" t="e">
        <v>#N/A</v>
      </c>
      <c r="P1573" t="e">
        <v>#N/A</v>
      </c>
      <c r="R1573" t="e">
        <v>#N/A</v>
      </c>
      <c r="T1573" t="s">
        <v>5983</v>
      </c>
      <c r="U1573" t="s">
        <v>5983</v>
      </c>
      <c r="V1573" t="s">
        <v>5983</v>
      </c>
      <c r="Y1573" t="s">
        <v>6948</v>
      </c>
      <c r="Z1573" t="s">
        <v>6949</v>
      </c>
      <c r="AA1573" t="s">
        <v>6950</v>
      </c>
      <c r="AB1573" t="s">
        <v>6951</v>
      </c>
      <c r="AC1573" t="s">
        <v>6952</v>
      </c>
      <c r="AD1573" t="s">
        <v>6953</v>
      </c>
    </row>
    <row r="1574" spans="1:30">
      <c r="A1574">
        <v>11007054</v>
      </c>
      <c r="B1574" t="s">
        <v>5314</v>
      </c>
      <c r="C1574" t="s">
        <v>1025</v>
      </c>
      <c r="D1574" t="s">
        <v>6165</v>
      </c>
      <c r="E1574" t="s">
        <v>6003</v>
      </c>
      <c r="J1574" t="s">
        <v>6617</v>
      </c>
      <c r="M1574" t="e">
        <v>#N/A</v>
      </c>
      <c r="N1574" t="e">
        <v>#N/A</v>
      </c>
      <c r="O1574" t="e">
        <v>#N/A</v>
      </c>
      <c r="P1574" t="e">
        <v>#N/A</v>
      </c>
      <c r="R1574" t="e">
        <v>#N/A</v>
      </c>
      <c r="T1574" t="s">
        <v>5983</v>
      </c>
      <c r="U1574" t="s">
        <v>5983</v>
      </c>
      <c r="V1574" t="s">
        <v>5983</v>
      </c>
      <c r="Y1574" t="s">
        <v>6948</v>
      </c>
      <c r="Z1574" t="s">
        <v>6949</v>
      </c>
      <c r="AA1574" t="s">
        <v>6950</v>
      </c>
      <c r="AB1574" t="s">
        <v>6951</v>
      </c>
      <c r="AC1574" t="s">
        <v>6952</v>
      </c>
      <c r="AD1574" t="s">
        <v>6953</v>
      </c>
    </row>
    <row r="1575" spans="1:30">
      <c r="A1575">
        <v>11007053</v>
      </c>
      <c r="B1575" t="s">
        <v>5315</v>
      </c>
      <c r="C1575" t="s">
        <v>5861</v>
      </c>
      <c r="D1575" t="s">
        <v>6167</v>
      </c>
      <c r="E1575" t="s">
        <v>6005</v>
      </c>
      <c r="J1575" t="s">
        <v>6618</v>
      </c>
      <c r="M1575" t="e">
        <v>#N/A</v>
      </c>
      <c r="N1575" t="e">
        <v>#N/A</v>
      </c>
      <c r="O1575" t="e">
        <v>#N/A</v>
      </c>
      <c r="P1575" t="e">
        <v>#N/A</v>
      </c>
      <c r="R1575" t="e">
        <v>#N/A</v>
      </c>
      <c r="T1575" t="s">
        <v>5983</v>
      </c>
      <c r="U1575" t="s">
        <v>5983</v>
      </c>
      <c r="V1575" t="s">
        <v>5983</v>
      </c>
      <c r="Y1575" t="s">
        <v>6948</v>
      </c>
      <c r="Z1575" t="s">
        <v>6949</v>
      </c>
      <c r="AA1575" t="s">
        <v>6950</v>
      </c>
      <c r="AB1575" t="s">
        <v>6951</v>
      </c>
      <c r="AC1575" t="s">
        <v>6952</v>
      </c>
      <c r="AD1575" t="s">
        <v>6953</v>
      </c>
    </row>
    <row r="1576" spans="1:30">
      <c r="A1576">
        <v>11007051</v>
      </c>
      <c r="B1576" t="s">
        <v>5316</v>
      </c>
      <c r="C1576" t="s">
        <v>5821</v>
      </c>
      <c r="D1576" t="s">
        <v>6167</v>
      </c>
      <c r="E1576" t="s">
        <v>6005</v>
      </c>
      <c r="J1576" t="s">
        <v>6619</v>
      </c>
      <c r="M1576" t="e">
        <v>#N/A</v>
      </c>
      <c r="N1576" t="e">
        <v>#N/A</v>
      </c>
      <c r="O1576" t="e">
        <v>#N/A</v>
      </c>
      <c r="P1576" t="e">
        <v>#N/A</v>
      </c>
      <c r="R1576" t="e">
        <v>#N/A</v>
      </c>
      <c r="T1576" t="s">
        <v>5983</v>
      </c>
      <c r="U1576" t="s">
        <v>5983</v>
      </c>
      <c r="V1576" t="s">
        <v>5983</v>
      </c>
      <c r="Y1576" t="s">
        <v>6948</v>
      </c>
      <c r="Z1576" t="s">
        <v>6949</v>
      </c>
      <c r="AA1576" t="s">
        <v>6950</v>
      </c>
      <c r="AB1576" t="s">
        <v>6951</v>
      </c>
      <c r="AC1576" t="s">
        <v>6952</v>
      </c>
      <c r="AD1576" t="s">
        <v>6953</v>
      </c>
    </row>
    <row r="1577" spans="1:30">
      <c r="A1577">
        <v>11007050</v>
      </c>
      <c r="B1577" t="s">
        <v>5317</v>
      </c>
      <c r="C1577" t="s">
        <v>1179</v>
      </c>
      <c r="D1577" t="s">
        <v>6168</v>
      </c>
      <c r="E1577" t="s">
        <v>6005</v>
      </c>
      <c r="J1577" t="s">
        <v>6620</v>
      </c>
      <c r="M1577" t="e">
        <v>#N/A</v>
      </c>
      <c r="N1577" t="e">
        <v>#N/A</v>
      </c>
      <c r="O1577" t="e">
        <v>#N/A</v>
      </c>
      <c r="P1577" t="e">
        <v>#N/A</v>
      </c>
      <c r="R1577" t="e">
        <v>#N/A</v>
      </c>
      <c r="T1577" t="s">
        <v>5983</v>
      </c>
      <c r="U1577" t="s">
        <v>5983</v>
      </c>
      <c r="V1577" t="s">
        <v>5983</v>
      </c>
      <c r="Y1577" t="s">
        <v>6948</v>
      </c>
      <c r="Z1577" t="s">
        <v>6949</v>
      </c>
      <c r="AA1577" t="s">
        <v>6950</v>
      </c>
      <c r="AB1577" t="s">
        <v>6951</v>
      </c>
      <c r="AC1577" t="s">
        <v>6952</v>
      </c>
      <c r="AD1577" t="s">
        <v>6953</v>
      </c>
    </row>
    <row r="1578" spans="1:30">
      <c r="A1578" t="s">
        <v>4604</v>
      </c>
      <c r="B1578" t="s">
        <v>5318</v>
      </c>
      <c r="C1578" t="s">
        <v>1027</v>
      </c>
      <c r="D1578" t="e">
        <v>#N/A</v>
      </c>
      <c r="E1578" t="e">
        <v>#N/A</v>
      </c>
      <c r="J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R1578" t="e">
        <v>#N/A</v>
      </c>
      <c r="T1578" t="e">
        <v>#N/A</v>
      </c>
      <c r="U1578" t="e">
        <v>#N/A</v>
      </c>
      <c r="V1578" t="e">
        <v>#N/A</v>
      </c>
      <c r="Y1578" t="s">
        <v>6948</v>
      </c>
      <c r="Z1578" t="s">
        <v>6949</v>
      </c>
      <c r="AA1578" t="s">
        <v>6950</v>
      </c>
      <c r="AB1578" t="s">
        <v>6951</v>
      </c>
      <c r="AC1578" t="s">
        <v>6952</v>
      </c>
      <c r="AD1578" t="s">
        <v>6953</v>
      </c>
    </row>
    <row r="1579" spans="1:30">
      <c r="A1579">
        <v>11007048</v>
      </c>
      <c r="B1579" t="s">
        <v>5319</v>
      </c>
      <c r="C1579" t="s">
        <v>5862</v>
      </c>
      <c r="D1579" t="s">
        <v>6168</v>
      </c>
      <c r="E1579" t="s">
        <v>6005</v>
      </c>
      <c r="J1579" t="s">
        <v>6621</v>
      </c>
      <c r="M1579" t="e">
        <v>#N/A</v>
      </c>
      <c r="N1579" t="e">
        <v>#N/A</v>
      </c>
      <c r="O1579" t="e">
        <v>#N/A</v>
      </c>
      <c r="P1579" t="e">
        <v>#N/A</v>
      </c>
      <c r="R1579" t="e">
        <v>#N/A</v>
      </c>
      <c r="T1579" t="s">
        <v>5983</v>
      </c>
      <c r="U1579" t="s">
        <v>5983</v>
      </c>
      <c r="V1579" t="s">
        <v>5983</v>
      </c>
      <c r="Y1579" t="s">
        <v>6948</v>
      </c>
      <c r="Z1579" t="s">
        <v>6949</v>
      </c>
      <c r="AA1579" t="s">
        <v>6950</v>
      </c>
      <c r="AB1579" t="s">
        <v>6951</v>
      </c>
      <c r="AC1579" t="s">
        <v>6952</v>
      </c>
      <c r="AD1579" t="s">
        <v>6953</v>
      </c>
    </row>
    <row r="1580" spans="1:30">
      <c r="A1580" t="s">
        <v>4604</v>
      </c>
      <c r="B1580" t="s">
        <v>5320</v>
      </c>
      <c r="C1580" t="s">
        <v>5823</v>
      </c>
      <c r="D1580" t="e">
        <v>#N/A</v>
      </c>
      <c r="E1580" t="e">
        <v>#N/A</v>
      </c>
      <c r="J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R1580" t="e">
        <v>#N/A</v>
      </c>
      <c r="T1580" t="e">
        <v>#N/A</v>
      </c>
      <c r="U1580" t="e">
        <v>#N/A</v>
      </c>
      <c r="V1580" t="e">
        <v>#N/A</v>
      </c>
      <c r="Y1580" t="s">
        <v>6948</v>
      </c>
      <c r="Z1580" t="s">
        <v>6949</v>
      </c>
      <c r="AA1580" t="s">
        <v>6950</v>
      </c>
      <c r="AB1580" t="s">
        <v>6951</v>
      </c>
      <c r="AC1580" t="s">
        <v>6952</v>
      </c>
      <c r="AD1580" t="s">
        <v>6953</v>
      </c>
    </row>
    <row r="1581" spans="1:30">
      <c r="A1581">
        <v>11007047</v>
      </c>
      <c r="B1581" t="s">
        <v>5321</v>
      </c>
      <c r="C1581" t="s">
        <v>5863</v>
      </c>
      <c r="D1581" t="s">
        <v>6168</v>
      </c>
      <c r="E1581" t="s">
        <v>6005</v>
      </c>
      <c r="J1581" t="s">
        <v>6622</v>
      </c>
      <c r="M1581" t="e">
        <v>#N/A</v>
      </c>
      <c r="N1581" t="e">
        <v>#N/A</v>
      </c>
      <c r="O1581" t="e">
        <v>#N/A</v>
      </c>
      <c r="P1581" t="e">
        <v>#N/A</v>
      </c>
      <c r="R1581" t="e">
        <v>#N/A</v>
      </c>
      <c r="T1581" t="s">
        <v>5983</v>
      </c>
      <c r="U1581" t="s">
        <v>5983</v>
      </c>
      <c r="V1581" t="s">
        <v>5983</v>
      </c>
      <c r="Y1581" t="s">
        <v>6948</v>
      </c>
      <c r="Z1581" t="s">
        <v>6949</v>
      </c>
      <c r="AA1581" t="s">
        <v>6950</v>
      </c>
      <c r="AB1581" t="s">
        <v>6951</v>
      </c>
      <c r="AC1581" t="s">
        <v>6952</v>
      </c>
      <c r="AD1581" t="s">
        <v>6953</v>
      </c>
    </row>
    <row r="1582" spans="1:30">
      <c r="A1582" t="s">
        <v>4604</v>
      </c>
      <c r="B1582" t="s">
        <v>5322</v>
      </c>
      <c r="C1582" t="s">
        <v>5864</v>
      </c>
      <c r="D1582" t="e">
        <v>#N/A</v>
      </c>
      <c r="E1582" t="e">
        <v>#N/A</v>
      </c>
      <c r="J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R1582" t="e">
        <v>#N/A</v>
      </c>
      <c r="T1582" t="e">
        <v>#N/A</v>
      </c>
      <c r="U1582" t="e">
        <v>#N/A</v>
      </c>
      <c r="V1582" t="e">
        <v>#N/A</v>
      </c>
      <c r="Y1582" t="s">
        <v>6948</v>
      </c>
      <c r="Z1582" t="s">
        <v>6949</v>
      </c>
      <c r="AA1582" t="s">
        <v>6950</v>
      </c>
      <c r="AB1582" t="s">
        <v>6951</v>
      </c>
      <c r="AC1582" t="s">
        <v>6952</v>
      </c>
      <c r="AD1582" t="s">
        <v>6953</v>
      </c>
    </row>
    <row r="1583" spans="1:30">
      <c r="A1583">
        <v>11007046</v>
      </c>
      <c r="B1583" t="s">
        <v>5323</v>
      </c>
      <c r="C1583" t="s">
        <v>5865</v>
      </c>
      <c r="D1583" t="s">
        <v>6167</v>
      </c>
      <c r="E1583" t="s">
        <v>6005</v>
      </c>
      <c r="J1583" t="s">
        <v>6623</v>
      </c>
      <c r="M1583" t="e">
        <v>#N/A</v>
      </c>
      <c r="N1583" t="e">
        <v>#N/A</v>
      </c>
      <c r="O1583" t="e">
        <v>#N/A</v>
      </c>
      <c r="P1583" t="e">
        <v>#N/A</v>
      </c>
      <c r="R1583" t="e">
        <v>#N/A</v>
      </c>
      <c r="T1583" t="s">
        <v>5983</v>
      </c>
      <c r="U1583" t="s">
        <v>5983</v>
      </c>
      <c r="V1583" t="s">
        <v>5983</v>
      </c>
      <c r="Y1583" t="s">
        <v>6948</v>
      </c>
      <c r="Z1583" t="s">
        <v>6949</v>
      </c>
      <c r="AA1583" t="s">
        <v>6950</v>
      </c>
      <c r="AB1583" t="s">
        <v>6951</v>
      </c>
      <c r="AC1583" t="s">
        <v>6952</v>
      </c>
      <c r="AD1583" t="s">
        <v>6953</v>
      </c>
    </row>
    <row r="1584" spans="1:30">
      <c r="A1584" t="s">
        <v>4604</v>
      </c>
      <c r="B1584" t="s">
        <v>5324</v>
      </c>
      <c r="C1584" t="s">
        <v>5825</v>
      </c>
      <c r="D1584" t="e">
        <v>#N/A</v>
      </c>
      <c r="E1584" t="e">
        <v>#N/A</v>
      </c>
      <c r="J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R1584" t="e">
        <v>#N/A</v>
      </c>
      <c r="T1584" t="e">
        <v>#N/A</v>
      </c>
      <c r="U1584" t="e">
        <v>#N/A</v>
      </c>
      <c r="V1584" t="e">
        <v>#N/A</v>
      </c>
      <c r="Y1584" t="s">
        <v>6948</v>
      </c>
      <c r="Z1584" t="s">
        <v>6949</v>
      </c>
      <c r="AA1584" t="s">
        <v>6950</v>
      </c>
      <c r="AB1584" t="s">
        <v>6951</v>
      </c>
      <c r="AC1584" t="s">
        <v>6952</v>
      </c>
      <c r="AD1584" t="s">
        <v>6953</v>
      </c>
    </row>
    <row r="1585" spans="1:30">
      <c r="A1585">
        <v>11007044</v>
      </c>
      <c r="B1585" t="s">
        <v>5325</v>
      </c>
      <c r="C1585" t="s">
        <v>1180</v>
      </c>
      <c r="D1585" t="s">
        <v>6168</v>
      </c>
      <c r="E1585" t="s">
        <v>6005</v>
      </c>
      <c r="J1585" t="s">
        <v>6625</v>
      </c>
      <c r="M1585" t="e">
        <v>#N/A</v>
      </c>
      <c r="N1585" t="e">
        <v>#N/A</v>
      </c>
      <c r="O1585" t="e">
        <v>#N/A</v>
      </c>
      <c r="P1585" t="e">
        <v>#N/A</v>
      </c>
      <c r="R1585" t="e">
        <v>#N/A</v>
      </c>
      <c r="T1585" t="s">
        <v>5983</v>
      </c>
      <c r="U1585" t="s">
        <v>5983</v>
      </c>
      <c r="V1585" t="s">
        <v>5983</v>
      </c>
      <c r="Y1585" t="s">
        <v>6948</v>
      </c>
      <c r="Z1585" t="s">
        <v>6949</v>
      </c>
      <c r="AA1585" t="s">
        <v>6950</v>
      </c>
      <c r="AB1585" t="s">
        <v>6951</v>
      </c>
      <c r="AC1585" t="s">
        <v>6952</v>
      </c>
      <c r="AD1585" t="s">
        <v>6953</v>
      </c>
    </row>
    <row r="1586" spans="1:30">
      <c r="A1586" t="s">
        <v>4604</v>
      </c>
      <c r="B1586" t="s">
        <v>5326</v>
      </c>
      <c r="C1586" t="s">
        <v>1029</v>
      </c>
      <c r="D1586" t="e">
        <v>#N/A</v>
      </c>
      <c r="E1586" t="e">
        <v>#N/A</v>
      </c>
      <c r="J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R1586" t="e">
        <v>#N/A</v>
      </c>
      <c r="T1586" t="e">
        <v>#N/A</v>
      </c>
      <c r="U1586" t="e">
        <v>#N/A</v>
      </c>
      <c r="V1586" t="e">
        <v>#N/A</v>
      </c>
      <c r="Y1586" t="s">
        <v>6948</v>
      </c>
      <c r="Z1586" t="s">
        <v>6949</v>
      </c>
      <c r="AA1586" t="s">
        <v>6950</v>
      </c>
      <c r="AB1586" t="s">
        <v>6951</v>
      </c>
      <c r="AC1586" t="s">
        <v>6952</v>
      </c>
      <c r="AD1586" t="s">
        <v>6953</v>
      </c>
    </row>
    <row r="1587" spans="1:30">
      <c r="A1587">
        <v>11007042</v>
      </c>
      <c r="B1587" t="s">
        <v>5327</v>
      </c>
      <c r="C1587" t="s">
        <v>5866</v>
      </c>
      <c r="D1587" t="s">
        <v>6167</v>
      </c>
      <c r="E1587" t="s">
        <v>6005</v>
      </c>
      <c r="J1587" t="s">
        <v>6626</v>
      </c>
      <c r="M1587" t="e">
        <v>#N/A</v>
      </c>
      <c r="N1587" t="e">
        <v>#N/A</v>
      </c>
      <c r="O1587" t="e">
        <v>#N/A</v>
      </c>
      <c r="P1587" t="e">
        <v>#N/A</v>
      </c>
      <c r="R1587" t="e">
        <v>#N/A</v>
      </c>
      <c r="T1587" t="s">
        <v>5983</v>
      </c>
      <c r="U1587" t="s">
        <v>5983</v>
      </c>
      <c r="V1587" t="s">
        <v>5983</v>
      </c>
      <c r="Y1587" t="s">
        <v>6948</v>
      </c>
      <c r="Z1587" t="s">
        <v>6949</v>
      </c>
      <c r="AA1587" t="s">
        <v>6950</v>
      </c>
      <c r="AB1587" t="s">
        <v>6951</v>
      </c>
      <c r="AC1587" t="s">
        <v>6952</v>
      </c>
      <c r="AD1587" t="s">
        <v>6953</v>
      </c>
    </row>
    <row r="1588" spans="1:30">
      <c r="A1588" t="s">
        <v>4604</v>
      </c>
      <c r="B1588" t="s">
        <v>5328</v>
      </c>
      <c r="C1588" t="s">
        <v>5867</v>
      </c>
      <c r="D1588" t="e">
        <v>#N/A</v>
      </c>
      <c r="E1588" t="e">
        <v>#N/A</v>
      </c>
      <c r="J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R1588" t="e">
        <v>#N/A</v>
      </c>
      <c r="T1588" t="e">
        <v>#N/A</v>
      </c>
      <c r="U1588" t="e">
        <v>#N/A</v>
      </c>
      <c r="V1588" t="e">
        <v>#N/A</v>
      </c>
      <c r="Y1588" t="s">
        <v>6948</v>
      </c>
      <c r="Z1588" t="s">
        <v>6949</v>
      </c>
      <c r="AA1588" t="s">
        <v>6950</v>
      </c>
      <c r="AB1588" t="s">
        <v>6951</v>
      </c>
      <c r="AC1588" t="s">
        <v>6952</v>
      </c>
      <c r="AD1588" t="s">
        <v>6953</v>
      </c>
    </row>
    <row r="1589" spans="1:30">
      <c r="A1589">
        <v>11007040</v>
      </c>
      <c r="B1589" t="s">
        <v>5329</v>
      </c>
      <c r="C1589" t="s">
        <v>5868</v>
      </c>
      <c r="D1589" t="s">
        <v>6167</v>
      </c>
      <c r="E1589" t="s">
        <v>6005</v>
      </c>
      <c r="J1589" t="s">
        <v>6628</v>
      </c>
      <c r="M1589" t="e">
        <v>#N/A</v>
      </c>
      <c r="N1589" t="e">
        <v>#N/A</v>
      </c>
      <c r="O1589" t="e">
        <v>#N/A</v>
      </c>
      <c r="P1589" t="e">
        <v>#N/A</v>
      </c>
      <c r="R1589" t="e">
        <v>#N/A</v>
      </c>
      <c r="T1589" t="s">
        <v>5983</v>
      </c>
      <c r="U1589" t="s">
        <v>5983</v>
      </c>
      <c r="V1589" t="s">
        <v>5983</v>
      </c>
      <c r="Y1589" t="s">
        <v>6948</v>
      </c>
      <c r="Z1589" t="s">
        <v>6949</v>
      </c>
      <c r="AA1589" t="s">
        <v>6950</v>
      </c>
      <c r="AB1589" t="s">
        <v>6951</v>
      </c>
      <c r="AC1589" t="s">
        <v>6952</v>
      </c>
      <c r="AD1589" t="s">
        <v>6953</v>
      </c>
    </row>
    <row r="1590" spans="1:30">
      <c r="A1590">
        <v>11007038</v>
      </c>
      <c r="B1590" t="s">
        <v>5330</v>
      </c>
      <c r="C1590" t="s">
        <v>1030</v>
      </c>
      <c r="D1590" t="s">
        <v>6167</v>
      </c>
      <c r="E1590" t="s">
        <v>6005</v>
      </c>
      <c r="J1590" t="s">
        <v>6629</v>
      </c>
      <c r="M1590" t="e">
        <v>#N/A</v>
      </c>
      <c r="N1590" t="e">
        <v>#N/A</v>
      </c>
      <c r="O1590" t="e">
        <v>#N/A</v>
      </c>
      <c r="P1590" t="e">
        <v>#N/A</v>
      </c>
      <c r="R1590" t="e">
        <v>#N/A</v>
      </c>
      <c r="T1590" t="s">
        <v>5983</v>
      </c>
      <c r="U1590" t="s">
        <v>5983</v>
      </c>
      <c r="V1590" t="s">
        <v>5983</v>
      </c>
      <c r="Y1590" t="s">
        <v>6948</v>
      </c>
      <c r="Z1590" t="s">
        <v>6949</v>
      </c>
      <c r="AA1590" t="s">
        <v>6950</v>
      </c>
      <c r="AB1590" t="s">
        <v>6951</v>
      </c>
      <c r="AC1590" t="s">
        <v>6952</v>
      </c>
      <c r="AD1590" t="s">
        <v>6953</v>
      </c>
    </row>
    <row r="1591" spans="1:30">
      <c r="A1591">
        <v>11007037</v>
      </c>
      <c r="B1591" t="s">
        <v>5331</v>
      </c>
      <c r="C1591" t="s">
        <v>5869</v>
      </c>
      <c r="D1591" t="s">
        <v>6167</v>
      </c>
      <c r="E1591" t="s">
        <v>6005</v>
      </c>
      <c r="J1591" t="s">
        <v>6862</v>
      </c>
      <c r="M1591" t="e">
        <v>#N/A</v>
      </c>
      <c r="N1591" t="e">
        <v>#N/A</v>
      </c>
      <c r="O1591" t="e">
        <v>#N/A</v>
      </c>
      <c r="P1591" t="e">
        <v>#N/A</v>
      </c>
      <c r="R1591" t="e">
        <v>#N/A</v>
      </c>
      <c r="T1591" t="s">
        <v>5983</v>
      </c>
      <c r="U1591" t="s">
        <v>5983</v>
      </c>
      <c r="V1591" t="s">
        <v>5983</v>
      </c>
      <c r="Y1591" t="s">
        <v>6948</v>
      </c>
      <c r="Z1591" t="s">
        <v>6949</v>
      </c>
      <c r="AA1591" t="s">
        <v>6950</v>
      </c>
      <c r="AB1591" t="s">
        <v>6951</v>
      </c>
      <c r="AC1591" t="s">
        <v>6952</v>
      </c>
      <c r="AD1591" t="s">
        <v>6953</v>
      </c>
    </row>
    <row r="1592" spans="1:30">
      <c r="A1592" t="s">
        <v>4604</v>
      </c>
      <c r="B1592" t="s">
        <v>5332</v>
      </c>
      <c r="C1592" t="s">
        <v>1032</v>
      </c>
      <c r="D1592" t="s">
        <v>6167</v>
      </c>
      <c r="E1592" t="s">
        <v>6005</v>
      </c>
      <c r="J1592" t="s">
        <v>6864</v>
      </c>
      <c r="M1592" t="e">
        <v>#N/A</v>
      </c>
      <c r="N1592" t="e">
        <v>#N/A</v>
      </c>
      <c r="O1592" t="e">
        <v>#N/A</v>
      </c>
      <c r="P1592" t="e">
        <v>#N/A</v>
      </c>
      <c r="R1592" t="e">
        <v>#N/A</v>
      </c>
      <c r="T1592" t="s">
        <v>5983</v>
      </c>
      <c r="U1592" t="s">
        <v>5983</v>
      </c>
      <c r="V1592" t="s">
        <v>5983</v>
      </c>
      <c r="Y1592" t="s">
        <v>6948</v>
      </c>
      <c r="Z1592" t="s">
        <v>6949</v>
      </c>
      <c r="AA1592" t="s">
        <v>6950</v>
      </c>
      <c r="AB1592" t="s">
        <v>6951</v>
      </c>
      <c r="AC1592" t="s">
        <v>6952</v>
      </c>
      <c r="AD1592" t="s">
        <v>6953</v>
      </c>
    </row>
    <row r="1593" spans="1:30">
      <c r="A1593">
        <v>11007032</v>
      </c>
      <c r="B1593" t="s">
        <v>5333</v>
      </c>
      <c r="C1593" t="s">
        <v>5870</v>
      </c>
      <c r="D1593" t="s">
        <v>6169</v>
      </c>
      <c r="E1593" t="s">
        <v>6009</v>
      </c>
      <c r="J1593" t="s">
        <v>6635</v>
      </c>
      <c r="M1593" t="e">
        <v>#N/A</v>
      </c>
      <c r="N1593" t="e">
        <v>#N/A</v>
      </c>
      <c r="O1593" t="e">
        <v>#N/A</v>
      </c>
      <c r="P1593" t="e">
        <v>#N/A</v>
      </c>
      <c r="R1593" t="e">
        <v>#N/A</v>
      </c>
      <c r="T1593" t="s">
        <v>5983</v>
      </c>
      <c r="U1593" t="s">
        <v>5983</v>
      </c>
      <c r="V1593" t="s">
        <v>5983</v>
      </c>
      <c r="Y1593" t="s">
        <v>6948</v>
      </c>
      <c r="Z1593" t="s">
        <v>6949</v>
      </c>
      <c r="AA1593" t="s">
        <v>6950</v>
      </c>
      <c r="AB1593" t="s">
        <v>6951</v>
      </c>
      <c r="AC1593" t="s">
        <v>6952</v>
      </c>
      <c r="AD1593" t="s">
        <v>6953</v>
      </c>
    </row>
    <row r="1594" spans="1:30">
      <c r="A1594">
        <v>11007031</v>
      </c>
      <c r="B1594" t="s">
        <v>5334</v>
      </c>
      <c r="C1594" t="s">
        <v>5871</v>
      </c>
      <c r="D1594" t="s">
        <v>6169</v>
      </c>
      <c r="E1594" t="s">
        <v>6009</v>
      </c>
      <c r="J1594" t="s">
        <v>6636</v>
      </c>
      <c r="M1594" t="e">
        <v>#N/A</v>
      </c>
      <c r="N1594" t="e">
        <v>#N/A</v>
      </c>
      <c r="O1594" t="e">
        <v>#N/A</v>
      </c>
      <c r="P1594" t="e">
        <v>#N/A</v>
      </c>
      <c r="R1594" t="e">
        <v>#N/A</v>
      </c>
      <c r="T1594" t="s">
        <v>5983</v>
      </c>
      <c r="U1594" t="s">
        <v>5983</v>
      </c>
      <c r="V1594" t="s">
        <v>5983</v>
      </c>
      <c r="Y1594" t="s">
        <v>6948</v>
      </c>
      <c r="Z1594" t="s">
        <v>6949</v>
      </c>
      <c r="AA1594" t="s">
        <v>6950</v>
      </c>
      <c r="AB1594" t="s">
        <v>6951</v>
      </c>
      <c r="AC1594" t="s">
        <v>6952</v>
      </c>
      <c r="AD1594" t="s">
        <v>6953</v>
      </c>
    </row>
    <row r="1595" spans="1:30">
      <c r="A1595">
        <v>11007030</v>
      </c>
      <c r="B1595" t="s">
        <v>5335</v>
      </c>
      <c r="C1595" t="s">
        <v>5872</v>
      </c>
      <c r="D1595" t="s">
        <v>6169</v>
      </c>
      <c r="E1595" t="s">
        <v>6009</v>
      </c>
      <c r="J1595" t="s">
        <v>6637</v>
      </c>
      <c r="M1595" t="e">
        <v>#N/A</v>
      </c>
      <c r="N1595" t="e">
        <v>#N/A</v>
      </c>
      <c r="O1595" t="e">
        <v>#N/A</v>
      </c>
      <c r="P1595" t="e">
        <v>#N/A</v>
      </c>
      <c r="R1595" t="e">
        <v>#N/A</v>
      </c>
      <c r="T1595" t="s">
        <v>5983</v>
      </c>
      <c r="U1595" t="s">
        <v>5983</v>
      </c>
      <c r="V1595" t="s">
        <v>5983</v>
      </c>
      <c r="Y1595" t="s">
        <v>6948</v>
      </c>
      <c r="Z1595" t="s">
        <v>6949</v>
      </c>
      <c r="AA1595" t="s">
        <v>6950</v>
      </c>
      <c r="AB1595" t="s">
        <v>6951</v>
      </c>
      <c r="AC1595" t="s">
        <v>6952</v>
      </c>
      <c r="AD1595" t="s">
        <v>6953</v>
      </c>
    </row>
    <row r="1596" spans="1:30">
      <c r="A1596" t="s">
        <v>4604</v>
      </c>
      <c r="B1596" t="s">
        <v>5336</v>
      </c>
      <c r="C1596" t="s">
        <v>5873</v>
      </c>
      <c r="D1596" t="s">
        <v>6169</v>
      </c>
      <c r="E1596" t="s">
        <v>6009</v>
      </c>
      <c r="J1596" t="s">
        <v>6871</v>
      </c>
      <c r="M1596" t="e">
        <v>#N/A</v>
      </c>
      <c r="N1596" t="e">
        <v>#N/A</v>
      </c>
      <c r="O1596" t="e">
        <v>#N/A</v>
      </c>
      <c r="P1596" t="e">
        <v>#N/A</v>
      </c>
      <c r="R1596" t="e">
        <v>#N/A</v>
      </c>
      <c r="T1596" t="s">
        <v>5983</v>
      </c>
      <c r="U1596" t="s">
        <v>5983</v>
      </c>
      <c r="V1596" t="s">
        <v>5983</v>
      </c>
      <c r="Y1596" t="s">
        <v>6948</v>
      </c>
      <c r="Z1596" t="s">
        <v>6949</v>
      </c>
      <c r="AA1596" t="s">
        <v>6950</v>
      </c>
      <c r="AB1596" t="s">
        <v>6951</v>
      </c>
      <c r="AC1596" t="s">
        <v>6952</v>
      </c>
      <c r="AD1596" t="s">
        <v>6953</v>
      </c>
    </row>
    <row r="1597" spans="1:30">
      <c r="A1597">
        <v>11007029</v>
      </c>
      <c r="B1597" t="s">
        <v>5337</v>
      </c>
      <c r="C1597" t="s">
        <v>5874</v>
      </c>
      <c r="D1597" t="s">
        <v>6170</v>
      </c>
      <c r="E1597" t="s">
        <v>6011</v>
      </c>
      <c r="J1597" t="s">
        <v>6638</v>
      </c>
      <c r="M1597" t="e">
        <v>#N/A</v>
      </c>
      <c r="N1597" t="e">
        <v>#N/A</v>
      </c>
      <c r="O1597" t="e">
        <v>#N/A</v>
      </c>
      <c r="P1597" t="e">
        <v>#N/A</v>
      </c>
      <c r="R1597" t="e">
        <v>#N/A</v>
      </c>
      <c r="T1597" t="s">
        <v>5983</v>
      </c>
      <c r="U1597" t="s">
        <v>5983</v>
      </c>
      <c r="V1597" t="s">
        <v>5983</v>
      </c>
      <c r="Y1597" t="s">
        <v>6948</v>
      </c>
      <c r="Z1597" t="s">
        <v>6949</v>
      </c>
      <c r="AA1597" t="s">
        <v>6950</v>
      </c>
      <c r="AB1597" t="s">
        <v>6951</v>
      </c>
      <c r="AC1597" t="s">
        <v>6952</v>
      </c>
      <c r="AD1597" t="s">
        <v>6953</v>
      </c>
    </row>
    <row r="1598" spans="1:30">
      <c r="A1598">
        <v>11007027</v>
      </c>
      <c r="B1598" t="s">
        <v>5338</v>
      </c>
      <c r="C1598" t="s">
        <v>5875</v>
      </c>
      <c r="D1598" t="s">
        <v>6170</v>
      </c>
      <c r="E1598" t="s">
        <v>6011</v>
      </c>
      <c r="J1598" t="s">
        <v>6639</v>
      </c>
      <c r="M1598" t="e">
        <v>#N/A</v>
      </c>
      <c r="N1598" t="e">
        <v>#N/A</v>
      </c>
      <c r="O1598" t="e">
        <v>#N/A</v>
      </c>
      <c r="P1598" t="e">
        <v>#N/A</v>
      </c>
      <c r="R1598" t="e">
        <v>#N/A</v>
      </c>
      <c r="T1598" t="s">
        <v>5983</v>
      </c>
      <c r="U1598" t="s">
        <v>5983</v>
      </c>
      <c r="V1598" t="s">
        <v>5983</v>
      </c>
      <c r="Y1598" t="s">
        <v>6948</v>
      </c>
      <c r="Z1598" t="s">
        <v>6949</v>
      </c>
      <c r="AA1598" t="s">
        <v>6950</v>
      </c>
      <c r="AB1598" t="s">
        <v>6951</v>
      </c>
      <c r="AC1598" t="s">
        <v>6952</v>
      </c>
      <c r="AD1598" t="s">
        <v>6953</v>
      </c>
    </row>
    <row r="1599" spans="1:30">
      <c r="A1599">
        <v>11007025</v>
      </c>
      <c r="B1599" t="s">
        <v>5339</v>
      </c>
      <c r="C1599" t="s">
        <v>1033</v>
      </c>
      <c r="D1599" t="s">
        <v>6170</v>
      </c>
      <c r="E1599" t="s">
        <v>6011</v>
      </c>
      <c r="J1599" t="s">
        <v>6640</v>
      </c>
      <c r="M1599" t="e">
        <v>#N/A</v>
      </c>
      <c r="N1599" t="e">
        <v>#N/A</v>
      </c>
      <c r="O1599" t="e">
        <v>#N/A</v>
      </c>
      <c r="P1599" t="e">
        <v>#N/A</v>
      </c>
      <c r="R1599" t="e">
        <v>#N/A</v>
      </c>
      <c r="T1599" t="s">
        <v>5983</v>
      </c>
      <c r="U1599" t="s">
        <v>5983</v>
      </c>
      <c r="V1599" t="s">
        <v>5983</v>
      </c>
      <c r="Y1599" t="s">
        <v>6948</v>
      </c>
      <c r="Z1599" t="s">
        <v>6949</v>
      </c>
      <c r="AA1599" t="s">
        <v>6950</v>
      </c>
      <c r="AB1599" t="s">
        <v>6951</v>
      </c>
      <c r="AC1599" t="s">
        <v>6952</v>
      </c>
      <c r="AD1599" t="s">
        <v>6953</v>
      </c>
    </row>
    <row r="1600" spans="1:30">
      <c r="A1600">
        <v>11007024</v>
      </c>
      <c r="B1600" t="s">
        <v>5340</v>
      </c>
      <c r="C1600" t="s">
        <v>1034</v>
      </c>
      <c r="D1600" t="s">
        <v>6170</v>
      </c>
      <c r="E1600" t="s">
        <v>6011</v>
      </c>
      <c r="J1600" t="s">
        <v>6641</v>
      </c>
      <c r="M1600" t="e">
        <v>#N/A</v>
      </c>
      <c r="N1600" t="e">
        <v>#N/A</v>
      </c>
      <c r="O1600" t="e">
        <v>#N/A</v>
      </c>
      <c r="P1600" t="e">
        <v>#N/A</v>
      </c>
      <c r="R1600" t="e">
        <v>#N/A</v>
      </c>
      <c r="T1600" t="s">
        <v>5983</v>
      </c>
      <c r="U1600" t="s">
        <v>5983</v>
      </c>
      <c r="V1600" t="s">
        <v>5983</v>
      </c>
      <c r="Y1600" t="s">
        <v>6948</v>
      </c>
      <c r="Z1600" t="s">
        <v>6949</v>
      </c>
      <c r="AA1600" t="s">
        <v>6950</v>
      </c>
      <c r="AB1600" t="s">
        <v>6951</v>
      </c>
      <c r="AC1600" t="s">
        <v>6952</v>
      </c>
      <c r="AD1600" t="s">
        <v>6953</v>
      </c>
    </row>
    <row r="1601" spans="1:30">
      <c r="A1601">
        <v>11007022</v>
      </c>
      <c r="B1601" t="s">
        <v>5341</v>
      </c>
      <c r="C1601" t="s">
        <v>5876</v>
      </c>
      <c r="D1601" t="s">
        <v>6171</v>
      </c>
      <c r="E1601" t="s">
        <v>6015</v>
      </c>
      <c r="J1601" t="s">
        <v>6643</v>
      </c>
      <c r="M1601" t="e">
        <v>#N/A</v>
      </c>
      <c r="N1601" t="e">
        <v>#N/A</v>
      </c>
      <c r="O1601" t="e">
        <v>#N/A</v>
      </c>
      <c r="P1601" t="e">
        <v>#N/A</v>
      </c>
      <c r="R1601" t="e">
        <v>#N/A</v>
      </c>
      <c r="T1601" t="s">
        <v>5983</v>
      </c>
      <c r="U1601" t="s">
        <v>5983</v>
      </c>
      <c r="V1601" t="s">
        <v>5983</v>
      </c>
      <c r="Y1601" t="s">
        <v>6948</v>
      </c>
      <c r="Z1601" t="s">
        <v>6949</v>
      </c>
      <c r="AA1601" t="s">
        <v>6950</v>
      </c>
      <c r="AB1601" t="s">
        <v>6951</v>
      </c>
      <c r="AC1601" t="s">
        <v>6952</v>
      </c>
      <c r="AD1601" t="s">
        <v>6953</v>
      </c>
    </row>
    <row r="1602" spans="1:30">
      <c r="A1602">
        <v>11007020</v>
      </c>
      <c r="B1602" t="s">
        <v>5342</v>
      </c>
      <c r="C1602" t="s">
        <v>5877</v>
      </c>
      <c r="D1602" t="s">
        <v>6171</v>
      </c>
      <c r="E1602" t="s">
        <v>6015</v>
      </c>
      <c r="J1602" t="s">
        <v>6644</v>
      </c>
      <c r="M1602" t="e">
        <v>#N/A</v>
      </c>
      <c r="N1602" t="e">
        <v>#N/A</v>
      </c>
      <c r="O1602" t="e">
        <v>#N/A</v>
      </c>
      <c r="P1602" t="e">
        <v>#N/A</v>
      </c>
      <c r="R1602" t="e">
        <v>#N/A</v>
      </c>
      <c r="T1602" t="s">
        <v>5983</v>
      </c>
      <c r="U1602" t="s">
        <v>5983</v>
      </c>
      <c r="V1602" t="s">
        <v>5983</v>
      </c>
      <c r="Y1602" t="s">
        <v>6948</v>
      </c>
      <c r="Z1602" t="s">
        <v>6949</v>
      </c>
      <c r="AA1602" t="s">
        <v>6950</v>
      </c>
      <c r="AB1602" t="s">
        <v>6951</v>
      </c>
      <c r="AC1602" t="s">
        <v>6952</v>
      </c>
      <c r="AD1602" t="s">
        <v>6953</v>
      </c>
    </row>
    <row r="1603" spans="1:30">
      <c r="A1603">
        <v>11007018</v>
      </c>
      <c r="B1603" t="s">
        <v>5343</v>
      </c>
      <c r="C1603" t="s">
        <v>1112</v>
      </c>
      <c r="D1603" t="s">
        <v>6171</v>
      </c>
      <c r="E1603" t="s">
        <v>6015</v>
      </c>
      <c r="J1603" t="s">
        <v>6645</v>
      </c>
      <c r="M1603" t="e">
        <v>#N/A</v>
      </c>
      <c r="N1603" t="e">
        <v>#N/A</v>
      </c>
      <c r="O1603" t="e">
        <v>#N/A</v>
      </c>
      <c r="P1603" t="e">
        <v>#N/A</v>
      </c>
      <c r="R1603" t="e">
        <v>#N/A</v>
      </c>
      <c r="T1603" t="s">
        <v>5983</v>
      </c>
      <c r="U1603" t="s">
        <v>5983</v>
      </c>
      <c r="V1603" t="s">
        <v>6946</v>
      </c>
      <c r="Y1603" t="s">
        <v>6948</v>
      </c>
      <c r="Z1603" t="s">
        <v>6949</v>
      </c>
      <c r="AA1603" t="s">
        <v>6950</v>
      </c>
      <c r="AB1603" t="s">
        <v>6951</v>
      </c>
      <c r="AC1603" t="s">
        <v>6952</v>
      </c>
      <c r="AD1603" t="s">
        <v>6953</v>
      </c>
    </row>
    <row r="1604" spans="1:30">
      <c r="A1604" t="s">
        <v>4604</v>
      </c>
      <c r="B1604" t="s">
        <v>5344</v>
      </c>
      <c r="C1604" t="s">
        <v>5733</v>
      </c>
      <c r="D1604" t="s">
        <v>6171</v>
      </c>
      <c r="E1604" t="s">
        <v>6015</v>
      </c>
      <c r="J1604" t="s">
        <v>6865</v>
      </c>
      <c r="M1604" t="e">
        <v>#N/A</v>
      </c>
      <c r="N1604" t="e">
        <v>#N/A</v>
      </c>
      <c r="O1604" t="e">
        <v>#N/A</v>
      </c>
      <c r="P1604" t="e">
        <v>#N/A</v>
      </c>
      <c r="R1604" t="e">
        <v>#N/A</v>
      </c>
      <c r="T1604" t="s">
        <v>5983</v>
      </c>
      <c r="U1604" t="s">
        <v>5983</v>
      </c>
      <c r="V1604" t="s">
        <v>5983</v>
      </c>
      <c r="Y1604" t="s">
        <v>6948</v>
      </c>
      <c r="Z1604" t="s">
        <v>6949</v>
      </c>
      <c r="AA1604" t="s">
        <v>6950</v>
      </c>
      <c r="AB1604" t="s">
        <v>6951</v>
      </c>
      <c r="AC1604" t="s">
        <v>6952</v>
      </c>
      <c r="AD1604" t="s">
        <v>6953</v>
      </c>
    </row>
    <row r="1605" spans="1:30">
      <c r="A1605">
        <v>11007012</v>
      </c>
      <c r="B1605" t="s">
        <v>5345</v>
      </c>
      <c r="C1605" t="s">
        <v>5878</v>
      </c>
      <c r="D1605" t="s">
        <v>6172</v>
      </c>
      <c r="E1605" t="s">
        <v>6019</v>
      </c>
      <c r="J1605" t="s">
        <v>6858</v>
      </c>
      <c r="M1605" t="e">
        <v>#N/A</v>
      </c>
      <c r="N1605" t="e">
        <v>#N/A</v>
      </c>
      <c r="O1605" t="e">
        <v>#N/A</v>
      </c>
      <c r="P1605" t="e">
        <v>#N/A</v>
      </c>
      <c r="R1605" t="e">
        <v>#N/A</v>
      </c>
      <c r="T1605" t="s">
        <v>5983</v>
      </c>
      <c r="U1605" t="s">
        <v>5983</v>
      </c>
      <c r="V1605" t="s">
        <v>5983</v>
      </c>
      <c r="Y1605" t="s">
        <v>6948</v>
      </c>
      <c r="Z1605" t="s">
        <v>6949</v>
      </c>
      <c r="AA1605" t="s">
        <v>6950</v>
      </c>
      <c r="AB1605" t="s">
        <v>6951</v>
      </c>
      <c r="AC1605" t="s">
        <v>6952</v>
      </c>
      <c r="AD1605" t="s">
        <v>6953</v>
      </c>
    </row>
    <row r="1606" spans="1:30">
      <c r="A1606" t="s">
        <v>4604</v>
      </c>
      <c r="B1606" t="s">
        <v>5346</v>
      </c>
      <c r="C1606" t="s">
        <v>5879</v>
      </c>
      <c r="D1606" t="s">
        <v>6172</v>
      </c>
      <c r="E1606" t="s">
        <v>6019</v>
      </c>
      <c r="J1606" t="s">
        <v>6861</v>
      </c>
      <c r="M1606" t="e">
        <v>#N/A</v>
      </c>
      <c r="N1606" t="e">
        <v>#N/A</v>
      </c>
      <c r="O1606" t="e">
        <v>#N/A</v>
      </c>
      <c r="P1606" t="e">
        <v>#N/A</v>
      </c>
      <c r="R1606" t="e">
        <v>#N/A</v>
      </c>
      <c r="T1606" t="s">
        <v>5983</v>
      </c>
      <c r="U1606" t="s">
        <v>5983</v>
      </c>
      <c r="V1606" t="s">
        <v>5983</v>
      </c>
      <c r="Y1606" t="s">
        <v>6948</v>
      </c>
      <c r="Z1606" t="s">
        <v>6949</v>
      </c>
      <c r="AA1606" t="s">
        <v>6950</v>
      </c>
      <c r="AB1606" t="s">
        <v>6951</v>
      </c>
      <c r="AC1606" t="s">
        <v>6952</v>
      </c>
      <c r="AD1606" t="s">
        <v>6953</v>
      </c>
    </row>
    <row r="1607" spans="1:30">
      <c r="A1607">
        <v>11007011</v>
      </c>
      <c r="B1607" t="s">
        <v>5347</v>
      </c>
      <c r="C1607" t="s">
        <v>5880</v>
      </c>
      <c r="D1607" t="s">
        <v>6172</v>
      </c>
      <c r="E1607" t="s">
        <v>6019</v>
      </c>
      <c r="J1607" t="s">
        <v>6651</v>
      </c>
      <c r="M1607" t="e">
        <v>#N/A</v>
      </c>
      <c r="N1607" t="e">
        <v>#N/A</v>
      </c>
      <c r="O1607" t="e">
        <v>#N/A</v>
      </c>
      <c r="P1607" t="e">
        <v>#N/A</v>
      </c>
      <c r="R1607" t="e">
        <v>#N/A</v>
      </c>
      <c r="T1607" t="s">
        <v>5983</v>
      </c>
      <c r="U1607" t="s">
        <v>5983</v>
      </c>
      <c r="V1607" t="s">
        <v>5983</v>
      </c>
      <c r="Y1607" t="s">
        <v>6948</v>
      </c>
      <c r="Z1607" t="s">
        <v>6949</v>
      </c>
      <c r="AA1607" t="s">
        <v>6950</v>
      </c>
      <c r="AB1607" t="s">
        <v>6951</v>
      </c>
      <c r="AC1607" t="s">
        <v>6952</v>
      </c>
      <c r="AD1607" t="s">
        <v>6953</v>
      </c>
    </row>
    <row r="1608" spans="1:30">
      <c r="A1608" t="s">
        <v>4604</v>
      </c>
      <c r="B1608" t="s">
        <v>5348</v>
      </c>
      <c r="C1608" t="s">
        <v>5881</v>
      </c>
      <c r="D1608" t="s">
        <v>6172</v>
      </c>
      <c r="E1608" t="s">
        <v>6019</v>
      </c>
      <c r="J1608" t="s">
        <v>6863</v>
      </c>
      <c r="M1608" t="e">
        <v>#N/A</v>
      </c>
      <c r="N1608" t="e">
        <v>#N/A</v>
      </c>
      <c r="O1608" t="e">
        <v>#N/A</v>
      </c>
      <c r="P1608" t="e">
        <v>#N/A</v>
      </c>
      <c r="R1608" t="e">
        <v>#N/A</v>
      </c>
      <c r="T1608" t="s">
        <v>5983</v>
      </c>
      <c r="U1608" t="s">
        <v>5983</v>
      </c>
      <c r="V1608" t="s">
        <v>5983</v>
      </c>
      <c r="Y1608" t="s">
        <v>6948</v>
      </c>
      <c r="Z1608" t="s">
        <v>6949</v>
      </c>
      <c r="AA1608" t="s">
        <v>6950</v>
      </c>
      <c r="AB1608" t="s">
        <v>6951</v>
      </c>
      <c r="AC1608" t="s">
        <v>6952</v>
      </c>
      <c r="AD1608" t="s">
        <v>6953</v>
      </c>
    </row>
    <row r="1609" spans="1:30">
      <c r="A1609">
        <v>11007010</v>
      </c>
      <c r="B1609" t="s">
        <v>5349</v>
      </c>
      <c r="C1609" t="s">
        <v>5882</v>
      </c>
      <c r="D1609" t="s">
        <v>6173</v>
      </c>
      <c r="E1609" t="s">
        <v>6019</v>
      </c>
      <c r="J1609" t="s">
        <v>6652</v>
      </c>
      <c r="M1609" t="e">
        <v>#N/A</v>
      </c>
      <c r="N1609" t="e">
        <v>#N/A</v>
      </c>
      <c r="O1609" t="e">
        <v>#N/A</v>
      </c>
      <c r="P1609" t="e">
        <v>#N/A</v>
      </c>
      <c r="R1609" t="e">
        <v>#N/A</v>
      </c>
      <c r="T1609" t="s">
        <v>5983</v>
      </c>
      <c r="U1609" t="s">
        <v>5983</v>
      </c>
      <c r="V1609" t="s">
        <v>5983</v>
      </c>
      <c r="Y1609" t="s">
        <v>6948</v>
      </c>
      <c r="Z1609" t="s">
        <v>6949</v>
      </c>
      <c r="AA1609" t="s">
        <v>6950</v>
      </c>
      <c r="AB1609" t="s">
        <v>6951</v>
      </c>
      <c r="AC1609" t="s">
        <v>6952</v>
      </c>
      <c r="AD1609" t="s">
        <v>6953</v>
      </c>
    </row>
    <row r="1610" spans="1:30">
      <c r="A1610" t="s">
        <v>4604</v>
      </c>
      <c r="B1610" t="s">
        <v>5350</v>
      </c>
      <c r="C1610" t="s">
        <v>5883</v>
      </c>
      <c r="D1610" t="s">
        <v>6173</v>
      </c>
      <c r="E1610" t="s">
        <v>6019</v>
      </c>
      <c r="J1610" t="s">
        <v>6872</v>
      </c>
      <c r="M1610" t="e">
        <v>#N/A</v>
      </c>
      <c r="N1610" t="e">
        <v>#N/A</v>
      </c>
      <c r="O1610" t="e">
        <v>#N/A</v>
      </c>
      <c r="P1610" t="e">
        <v>#N/A</v>
      </c>
      <c r="R1610" t="e">
        <v>#N/A</v>
      </c>
      <c r="T1610" t="s">
        <v>5983</v>
      </c>
      <c r="U1610" t="s">
        <v>5983</v>
      </c>
      <c r="V1610" t="s">
        <v>5983</v>
      </c>
      <c r="Y1610" t="s">
        <v>6948</v>
      </c>
      <c r="Z1610" t="s">
        <v>6949</v>
      </c>
      <c r="AA1610" t="s">
        <v>6950</v>
      </c>
      <c r="AB1610" t="s">
        <v>6951</v>
      </c>
      <c r="AC1610" t="s">
        <v>6952</v>
      </c>
      <c r="AD1610" t="s">
        <v>6953</v>
      </c>
    </row>
    <row r="1611" spans="1:30">
      <c r="A1611" t="s">
        <v>4604</v>
      </c>
      <c r="B1611" t="s">
        <v>5351</v>
      </c>
      <c r="C1611" t="s">
        <v>5884</v>
      </c>
      <c r="D1611" t="s">
        <v>6173</v>
      </c>
      <c r="E1611" t="s">
        <v>6019</v>
      </c>
      <c r="J1611" t="s">
        <v>6653</v>
      </c>
      <c r="M1611" t="e">
        <v>#N/A</v>
      </c>
      <c r="N1611" t="e">
        <v>#N/A</v>
      </c>
      <c r="O1611" t="e">
        <v>#N/A</v>
      </c>
      <c r="P1611" t="e">
        <v>#N/A</v>
      </c>
      <c r="R1611" t="e">
        <v>#N/A</v>
      </c>
      <c r="T1611" t="s">
        <v>5983</v>
      </c>
      <c r="U1611" t="s">
        <v>5983</v>
      </c>
      <c r="V1611" t="s">
        <v>5983</v>
      </c>
      <c r="Y1611" t="s">
        <v>6948</v>
      </c>
      <c r="Z1611" t="s">
        <v>6949</v>
      </c>
      <c r="AA1611" t="s">
        <v>6950</v>
      </c>
      <c r="AB1611" t="s">
        <v>6951</v>
      </c>
      <c r="AC1611" t="s">
        <v>6952</v>
      </c>
      <c r="AD1611" t="s">
        <v>6953</v>
      </c>
    </row>
    <row r="1612" spans="1:30">
      <c r="A1612" t="s">
        <v>4604</v>
      </c>
      <c r="B1612" t="s">
        <v>5352</v>
      </c>
      <c r="C1612" t="s">
        <v>5743</v>
      </c>
      <c r="D1612" t="s">
        <v>6173</v>
      </c>
      <c r="E1612" t="s">
        <v>6019</v>
      </c>
      <c r="J1612" t="s">
        <v>6873</v>
      </c>
      <c r="M1612" t="e">
        <v>#N/A</v>
      </c>
      <c r="N1612" t="e">
        <v>#N/A</v>
      </c>
      <c r="O1612" t="e">
        <v>#N/A</v>
      </c>
      <c r="P1612" t="e">
        <v>#N/A</v>
      </c>
      <c r="R1612" t="e">
        <v>#N/A</v>
      </c>
      <c r="T1612" t="s">
        <v>5983</v>
      </c>
      <c r="U1612" t="s">
        <v>5983</v>
      </c>
      <c r="V1612" t="s">
        <v>5983</v>
      </c>
      <c r="Y1612" t="s">
        <v>6948</v>
      </c>
      <c r="Z1612" t="s">
        <v>6949</v>
      </c>
      <c r="AA1612" t="s">
        <v>6950</v>
      </c>
      <c r="AB1612" t="s">
        <v>6951</v>
      </c>
      <c r="AC1612" t="s">
        <v>6952</v>
      </c>
      <c r="AD1612" t="s">
        <v>6953</v>
      </c>
    </row>
    <row r="1613" spans="1:30">
      <c r="A1613">
        <v>11007006</v>
      </c>
      <c r="B1613" t="s">
        <v>5353</v>
      </c>
      <c r="C1613" t="s">
        <v>1311</v>
      </c>
      <c r="D1613" t="s">
        <v>6174</v>
      </c>
      <c r="E1613" t="s">
        <v>6019</v>
      </c>
      <c r="J1613" t="s">
        <v>6654</v>
      </c>
      <c r="M1613" t="e">
        <v>#N/A</v>
      </c>
      <c r="N1613" t="e">
        <v>#N/A</v>
      </c>
      <c r="O1613" t="e">
        <v>#N/A</v>
      </c>
      <c r="P1613" t="e">
        <v>#N/A</v>
      </c>
      <c r="R1613" t="e">
        <v>#N/A</v>
      </c>
      <c r="T1613" t="s">
        <v>5983</v>
      </c>
      <c r="U1613" t="s">
        <v>5983</v>
      </c>
      <c r="V1613" t="s">
        <v>5983</v>
      </c>
      <c r="Y1613" t="s">
        <v>6948</v>
      </c>
      <c r="Z1613" t="s">
        <v>6949</v>
      </c>
      <c r="AA1613" t="s">
        <v>6950</v>
      </c>
      <c r="AB1613" t="s">
        <v>6951</v>
      </c>
      <c r="AC1613" t="s">
        <v>6952</v>
      </c>
      <c r="AD1613" t="s">
        <v>6953</v>
      </c>
    </row>
    <row r="1614" spans="1:30">
      <c r="A1614" t="s">
        <v>4604</v>
      </c>
      <c r="B1614" t="s">
        <v>5354</v>
      </c>
      <c r="C1614" t="s">
        <v>5885</v>
      </c>
      <c r="D1614" t="s">
        <v>6174</v>
      </c>
      <c r="E1614" t="s">
        <v>6019</v>
      </c>
      <c r="J1614" t="s">
        <v>6872</v>
      </c>
      <c r="M1614" t="e">
        <v>#N/A</v>
      </c>
      <c r="N1614" t="e">
        <v>#N/A</v>
      </c>
      <c r="O1614" t="e">
        <v>#N/A</v>
      </c>
      <c r="P1614" t="e">
        <v>#N/A</v>
      </c>
      <c r="R1614" t="e">
        <v>#N/A</v>
      </c>
      <c r="T1614" t="s">
        <v>5983</v>
      </c>
      <c r="U1614" t="s">
        <v>5983</v>
      </c>
      <c r="V1614" t="s">
        <v>5983</v>
      </c>
      <c r="Y1614" t="s">
        <v>6948</v>
      </c>
      <c r="Z1614" t="s">
        <v>6949</v>
      </c>
      <c r="AA1614" t="s">
        <v>6950</v>
      </c>
      <c r="AB1614" t="s">
        <v>6951</v>
      </c>
      <c r="AC1614" t="s">
        <v>6952</v>
      </c>
      <c r="AD1614" t="s">
        <v>6953</v>
      </c>
    </row>
    <row r="1615" spans="1:30">
      <c r="A1615" t="s">
        <v>4604</v>
      </c>
      <c r="B1615" t="s">
        <v>5355</v>
      </c>
      <c r="C1615" t="s">
        <v>1089</v>
      </c>
      <c r="D1615" t="s">
        <v>6174</v>
      </c>
      <c r="E1615" t="s">
        <v>6019</v>
      </c>
      <c r="J1615" t="s">
        <v>6653</v>
      </c>
      <c r="M1615" t="e">
        <v>#N/A</v>
      </c>
      <c r="N1615" t="e">
        <v>#N/A</v>
      </c>
      <c r="O1615" t="e">
        <v>#N/A</v>
      </c>
      <c r="P1615" t="e">
        <v>#N/A</v>
      </c>
      <c r="R1615" t="e">
        <v>#N/A</v>
      </c>
      <c r="T1615" t="s">
        <v>5983</v>
      </c>
      <c r="U1615" t="s">
        <v>5983</v>
      </c>
      <c r="V1615" t="s">
        <v>5983</v>
      </c>
      <c r="Y1615" t="s">
        <v>6948</v>
      </c>
      <c r="Z1615" t="s">
        <v>6949</v>
      </c>
      <c r="AA1615" t="s">
        <v>6950</v>
      </c>
      <c r="AB1615" t="s">
        <v>6951</v>
      </c>
      <c r="AC1615" t="s">
        <v>6952</v>
      </c>
      <c r="AD1615" t="s">
        <v>6953</v>
      </c>
    </row>
    <row r="1616" spans="1:30">
      <c r="A1616" t="s">
        <v>4604</v>
      </c>
      <c r="B1616" t="s">
        <v>5356</v>
      </c>
      <c r="C1616" t="s">
        <v>1194</v>
      </c>
      <c r="D1616" t="s">
        <v>6174</v>
      </c>
      <c r="E1616" t="s">
        <v>6019</v>
      </c>
      <c r="J1616" t="s">
        <v>6873</v>
      </c>
      <c r="M1616" t="e">
        <v>#N/A</v>
      </c>
      <c r="N1616" t="e">
        <v>#N/A</v>
      </c>
      <c r="O1616" t="e">
        <v>#N/A</v>
      </c>
      <c r="P1616" t="e">
        <v>#N/A</v>
      </c>
      <c r="R1616" t="e">
        <v>#N/A</v>
      </c>
      <c r="T1616" t="s">
        <v>5983</v>
      </c>
      <c r="U1616" t="s">
        <v>5983</v>
      </c>
      <c r="V1616" t="s">
        <v>5983</v>
      </c>
      <c r="Y1616" t="s">
        <v>6948</v>
      </c>
      <c r="Z1616" t="s">
        <v>6949</v>
      </c>
      <c r="AA1616" t="s">
        <v>6950</v>
      </c>
      <c r="AB1616" t="s">
        <v>6951</v>
      </c>
      <c r="AC1616" t="s">
        <v>6952</v>
      </c>
      <c r="AD1616" t="s">
        <v>6953</v>
      </c>
    </row>
    <row r="1617" spans="1:30">
      <c r="A1617">
        <v>11007003</v>
      </c>
      <c r="B1617" t="s">
        <v>5357</v>
      </c>
      <c r="C1617" t="s">
        <v>5829</v>
      </c>
      <c r="D1617" t="s">
        <v>6173</v>
      </c>
      <c r="E1617" t="s">
        <v>6019</v>
      </c>
      <c r="J1617" t="s">
        <v>6656</v>
      </c>
      <c r="M1617" t="e">
        <v>#N/A</v>
      </c>
      <c r="N1617" t="e">
        <v>#N/A</v>
      </c>
      <c r="O1617" t="e">
        <v>#N/A</v>
      </c>
      <c r="P1617" t="e">
        <v>#N/A</v>
      </c>
      <c r="R1617" t="e">
        <v>#N/A</v>
      </c>
      <c r="T1617" t="s">
        <v>5983</v>
      </c>
      <c r="U1617" t="s">
        <v>5983</v>
      </c>
      <c r="V1617" t="s">
        <v>5983</v>
      </c>
      <c r="Y1617" t="s">
        <v>6948</v>
      </c>
      <c r="Z1617" t="s">
        <v>6949</v>
      </c>
      <c r="AA1617" t="s">
        <v>6950</v>
      </c>
      <c r="AB1617" t="s">
        <v>6951</v>
      </c>
      <c r="AC1617" t="s">
        <v>6952</v>
      </c>
      <c r="AD1617" t="s">
        <v>6953</v>
      </c>
    </row>
    <row r="1618" spans="1:30">
      <c r="A1618">
        <v>11006999</v>
      </c>
      <c r="B1618" t="s">
        <v>5358</v>
      </c>
      <c r="C1618" t="s">
        <v>1116</v>
      </c>
      <c r="D1618" t="s">
        <v>6175</v>
      </c>
      <c r="E1618" t="s">
        <v>6023</v>
      </c>
      <c r="J1618" t="s">
        <v>6658</v>
      </c>
      <c r="M1618" t="e">
        <v>#N/A</v>
      </c>
      <c r="N1618" t="e">
        <v>#N/A</v>
      </c>
      <c r="O1618" t="e">
        <v>#N/A</v>
      </c>
      <c r="P1618" t="e">
        <v>#N/A</v>
      </c>
      <c r="R1618" t="e">
        <v>#N/A</v>
      </c>
      <c r="T1618" t="s">
        <v>5983</v>
      </c>
      <c r="U1618" t="s">
        <v>5983</v>
      </c>
      <c r="V1618" t="s">
        <v>5983</v>
      </c>
      <c r="Y1618" t="s">
        <v>6948</v>
      </c>
      <c r="Z1618" t="s">
        <v>6949</v>
      </c>
      <c r="AA1618" t="s">
        <v>6950</v>
      </c>
      <c r="AB1618" t="s">
        <v>6951</v>
      </c>
      <c r="AC1618" t="s">
        <v>6952</v>
      </c>
      <c r="AD1618" t="s">
        <v>6953</v>
      </c>
    </row>
    <row r="1619" spans="1:30">
      <c r="A1619" t="s">
        <v>4604</v>
      </c>
      <c r="B1619" t="s">
        <v>5359</v>
      </c>
      <c r="C1619" t="s">
        <v>5886</v>
      </c>
      <c r="D1619" t="s">
        <v>6158</v>
      </c>
      <c r="E1619" t="s">
        <v>5992</v>
      </c>
      <c r="J1619" t="s">
        <v>6866</v>
      </c>
      <c r="M1619" t="e">
        <v>#N/A</v>
      </c>
      <c r="N1619" t="e">
        <v>#N/A</v>
      </c>
      <c r="O1619" t="e">
        <v>#N/A</v>
      </c>
      <c r="P1619" t="e">
        <v>#N/A</v>
      </c>
      <c r="R1619" t="e">
        <v>#N/A</v>
      </c>
      <c r="T1619" t="s">
        <v>5983</v>
      </c>
      <c r="U1619" t="s">
        <v>5983</v>
      </c>
      <c r="V1619" t="s">
        <v>5983</v>
      </c>
      <c r="Y1619" t="s">
        <v>6948</v>
      </c>
      <c r="Z1619" t="s">
        <v>6949</v>
      </c>
      <c r="AA1619" t="s">
        <v>6950</v>
      </c>
      <c r="AB1619" t="s">
        <v>6951</v>
      </c>
      <c r="AC1619" t="s">
        <v>6952</v>
      </c>
      <c r="AD1619" t="s">
        <v>6953</v>
      </c>
    </row>
    <row r="1620" spans="1:30">
      <c r="A1620" t="s">
        <v>4604</v>
      </c>
      <c r="B1620" t="s">
        <v>5360</v>
      </c>
      <c r="C1620" t="s">
        <v>5887</v>
      </c>
      <c r="D1620" t="s">
        <v>6158</v>
      </c>
      <c r="E1620" t="s">
        <v>5992</v>
      </c>
      <c r="J1620" t="s">
        <v>6867</v>
      </c>
      <c r="M1620" t="e">
        <v>#N/A</v>
      </c>
      <c r="N1620" t="e">
        <v>#N/A</v>
      </c>
      <c r="O1620" t="e">
        <v>#N/A</v>
      </c>
      <c r="P1620" t="e">
        <v>#N/A</v>
      </c>
      <c r="R1620" t="e">
        <v>#N/A</v>
      </c>
      <c r="T1620" t="s">
        <v>5983</v>
      </c>
      <c r="U1620" t="s">
        <v>5983</v>
      </c>
      <c r="V1620" t="s">
        <v>5983</v>
      </c>
      <c r="Y1620" t="s">
        <v>6948</v>
      </c>
      <c r="Z1620" t="s">
        <v>6949</v>
      </c>
      <c r="AA1620" t="s">
        <v>6950</v>
      </c>
      <c r="AB1620" t="s">
        <v>6951</v>
      </c>
      <c r="AC1620" t="s">
        <v>6952</v>
      </c>
      <c r="AD1620" t="s">
        <v>6953</v>
      </c>
    </row>
    <row r="1621" spans="1:30">
      <c r="A1621" t="s">
        <v>4604</v>
      </c>
      <c r="B1621" t="s">
        <v>5361</v>
      </c>
      <c r="C1621" t="s">
        <v>5888</v>
      </c>
      <c r="D1621" t="s">
        <v>6173</v>
      </c>
      <c r="E1621" t="s">
        <v>6019</v>
      </c>
      <c r="J1621" t="s">
        <v>6661</v>
      </c>
      <c r="M1621" t="e">
        <v>#N/A</v>
      </c>
      <c r="N1621" t="e">
        <v>#N/A</v>
      </c>
      <c r="O1621" t="e">
        <v>#N/A</v>
      </c>
      <c r="P1621" t="e">
        <v>#N/A</v>
      </c>
      <c r="R1621" t="e">
        <v>#N/A</v>
      </c>
      <c r="T1621" t="s">
        <v>5983</v>
      </c>
      <c r="U1621" t="s">
        <v>5983</v>
      </c>
      <c r="V1621" t="s">
        <v>5983</v>
      </c>
      <c r="Y1621" t="s">
        <v>6948</v>
      </c>
      <c r="Z1621" t="s">
        <v>6949</v>
      </c>
      <c r="AA1621" t="s">
        <v>6950</v>
      </c>
      <c r="AB1621" t="s">
        <v>6951</v>
      </c>
      <c r="AC1621" t="s">
        <v>6952</v>
      </c>
      <c r="AD1621" t="s">
        <v>6953</v>
      </c>
    </row>
    <row r="1622" spans="1:30">
      <c r="A1622" t="s">
        <v>4604</v>
      </c>
      <c r="B1622" t="s">
        <v>5362</v>
      </c>
      <c r="C1622" t="s">
        <v>5888</v>
      </c>
      <c r="D1622" t="s">
        <v>6173</v>
      </c>
      <c r="E1622" t="s">
        <v>6019</v>
      </c>
      <c r="J1622" t="s">
        <v>6662</v>
      </c>
      <c r="M1622" t="e">
        <v>#N/A</v>
      </c>
      <c r="N1622" t="e">
        <v>#N/A</v>
      </c>
      <c r="O1622" t="e">
        <v>#N/A</v>
      </c>
      <c r="P1622" t="e">
        <v>#N/A</v>
      </c>
      <c r="R1622" t="e">
        <v>#N/A</v>
      </c>
      <c r="T1622" t="s">
        <v>5983</v>
      </c>
      <c r="U1622" t="s">
        <v>5983</v>
      </c>
      <c r="V1622" t="s">
        <v>5983</v>
      </c>
      <c r="Y1622" t="s">
        <v>6948</v>
      </c>
      <c r="Z1622" t="s">
        <v>6949</v>
      </c>
      <c r="AA1622" t="s">
        <v>6950</v>
      </c>
      <c r="AB1622" t="s">
        <v>6951</v>
      </c>
      <c r="AC1622" t="s">
        <v>6952</v>
      </c>
      <c r="AD1622" t="s">
        <v>6953</v>
      </c>
    </row>
    <row r="1623" spans="1:30">
      <c r="A1623" t="s">
        <v>4604</v>
      </c>
      <c r="B1623" t="s">
        <v>5363</v>
      </c>
      <c r="C1623" t="s">
        <v>5889</v>
      </c>
      <c r="D1623" t="s">
        <v>6173</v>
      </c>
      <c r="E1623" t="s">
        <v>6019</v>
      </c>
      <c r="J1623" t="s">
        <v>6664</v>
      </c>
      <c r="M1623" t="e">
        <v>#N/A</v>
      </c>
      <c r="N1623" t="e">
        <v>#N/A</v>
      </c>
      <c r="O1623" t="e">
        <v>#N/A</v>
      </c>
      <c r="P1623" t="e">
        <v>#N/A</v>
      </c>
      <c r="R1623" t="e">
        <v>#N/A</v>
      </c>
      <c r="T1623" t="s">
        <v>5983</v>
      </c>
      <c r="U1623" t="s">
        <v>5983</v>
      </c>
      <c r="V1623" t="s">
        <v>5983</v>
      </c>
      <c r="Y1623" t="s">
        <v>6948</v>
      </c>
      <c r="Z1623" t="s">
        <v>6949</v>
      </c>
      <c r="AA1623" t="s">
        <v>6950</v>
      </c>
      <c r="AB1623" t="s">
        <v>6951</v>
      </c>
      <c r="AC1623" t="s">
        <v>6952</v>
      </c>
      <c r="AD1623" t="s">
        <v>6953</v>
      </c>
    </row>
    <row r="1624" spans="1:30">
      <c r="A1624" t="s">
        <v>4604</v>
      </c>
      <c r="B1624" t="s">
        <v>5364</v>
      </c>
      <c r="C1624" t="s">
        <v>1302</v>
      </c>
      <c r="D1624" t="s">
        <v>6172</v>
      </c>
      <c r="E1624" t="s">
        <v>6019</v>
      </c>
      <c r="J1624" t="s">
        <v>6874</v>
      </c>
      <c r="M1624" t="e">
        <v>#N/A</v>
      </c>
      <c r="N1624" t="e">
        <v>#N/A</v>
      </c>
      <c r="O1624" t="e">
        <v>#N/A</v>
      </c>
      <c r="P1624" t="e">
        <v>#N/A</v>
      </c>
      <c r="R1624" t="e">
        <v>#N/A</v>
      </c>
      <c r="T1624" t="s">
        <v>5983</v>
      </c>
      <c r="U1624" t="s">
        <v>5983</v>
      </c>
      <c r="V1624" t="s">
        <v>5983</v>
      </c>
      <c r="Y1624" t="s">
        <v>6948</v>
      </c>
      <c r="Z1624" t="s">
        <v>6949</v>
      </c>
      <c r="AA1624" t="s">
        <v>6950</v>
      </c>
      <c r="AB1624" t="s">
        <v>6951</v>
      </c>
      <c r="AC1624" t="s">
        <v>6952</v>
      </c>
      <c r="AD1624" t="s">
        <v>6953</v>
      </c>
    </row>
    <row r="1625" spans="1:30">
      <c r="A1625" t="s">
        <v>4604</v>
      </c>
      <c r="B1625" t="s">
        <v>5365</v>
      </c>
      <c r="C1625" t="s">
        <v>5890</v>
      </c>
      <c r="D1625" t="s">
        <v>6172</v>
      </c>
      <c r="E1625" t="s">
        <v>6019</v>
      </c>
      <c r="J1625" t="s">
        <v>6668</v>
      </c>
      <c r="M1625" t="e">
        <v>#N/A</v>
      </c>
      <c r="N1625" t="e">
        <v>#N/A</v>
      </c>
      <c r="O1625" t="e">
        <v>#N/A</v>
      </c>
      <c r="P1625" t="e">
        <v>#N/A</v>
      </c>
      <c r="R1625" t="e">
        <v>#N/A</v>
      </c>
      <c r="T1625" t="s">
        <v>5983</v>
      </c>
      <c r="U1625" t="s">
        <v>5983</v>
      </c>
      <c r="V1625" t="s">
        <v>5983</v>
      </c>
      <c r="Y1625" t="s">
        <v>6948</v>
      </c>
      <c r="Z1625" t="s">
        <v>6949</v>
      </c>
      <c r="AA1625" t="s">
        <v>6950</v>
      </c>
      <c r="AB1625" t="s">
        <v>6951</v>
      </c>
      <c r="AC1625" t="s">
        <v>6952</v>
      </c>
      <c r="AD1625" t="s">
        <v>6953</v>
      </c>
    </row>
    <row r="1626" spans="1:30">
      <c r="A1626" t="s">
        <v>4604</v>
      </c>
      <c r="B1626" t="s">
        <v>5366</v>
      </c>
      <c r="C1626" t="s">
        <v>1304</v>
      </c>
      <c r="D1626" t="s">
        <v>6172</v>
      </c>
      <c r="E1626" t="s">
        <v>6019</v>
      </c>
      <c r="J1626" t="s">
        <v>6875</v>
      </c>
      <c r="M1626" t="e">
        <v>#N/A</v>
      </c>
      <c r="N1626" t="e">
        <v>#N/A</v>
      </c>
      <c r="O1626" t="e">
        <v>#N/A</v>
      </c>
      <c r="P1626" t="e">
        <v>#N/A</v>
      </c>
      <c r="R1626" t="e">
        <v>#N/A</v>
      </c>
      <c r="T1626" t="s">
        <v>5983</v>
      </c>
      <c r="U1626" t="s">
        <v>5983</v>
      </c>
      <c r="V1626" t="s">
        <v>5983</v>
      </c>
      <c r="Y1626" t="s">
        <v>6948</v>
      </c>
      <c r="Z1626" t="s">
        <v>6949</v>
      </c>
      <c r="AA1626" t="s">
        <v>6950</v>
      </c>
      <c r="AB1626" t="s">
        <v>6951</v>
      </c>
      <c r="AC1626" t="s">
        <v>6952</v>
      </c>
      <c r="AD1626" t="s">
        <v>6953</v>
      </c>
    </row>
    <row r="1627" spans="1:30">
      <c r="A1627" t="s">
        <v>4604</v>
      </c>
      <c r="B1627" t="s">
        <v>5367</v>
      </c>
      <c r="C1627" t="s">
        <v>5891</v>
      </c>
      <c r="D1627" t="s">
        <v>6167</v>
      </c>
      <c r="E1627" t="s">
        <v>6005</v>
      </c>
      <c r="J1627" t="s">
        <v>6670</v>
      </c>
      <c r="M1627" t="e">
        <v>#N/A</v>
      </c>
      <c r="N1627" t="e">
        <v>#N/A</v>
      </c>
      <c r="O1627" t="e">
        <v>#N/A</v>
      </c>
      <c r="P1627" t="e">
        <v>#N/A</v>
      </c>
      <c r="R1627" t="e">
        <v>#N/A</v>
      </c>
      <c r="T1627" t="s">
        <v>5983</v>
      </c>
      <c r="U1627" t="s">
        <v>5983</v>
      </c>
      <c r="V1627" t="s">
        <v>5983</v>
      </c>
      <c r="Y1627" t="s">
        <v>6948</v>
      </c>
      <c r="Z1627" t="s">
        <v>6949</v>
      </c>
      <c r="AA1627" t="s">
        <v>6950</v>
      </c>
      <c r="AB1627" t="s">
        <v>6951</v>
      </c>
      <c r="AC1627" t="s">
        <v>6952</v>
      </c>
      <c r="AD1627" t="s">
        <v>6953</v>
      </c>
    </row>
    <row r="1628" spans="1:30">
      <c r="A1628" t="s">
        <v>4604</v>
      </c>
      <c r="B1628" t="s">
        <v>5368</v>
      </c>
      <c r="C1628" t="s">
        <v>1182</v>
      </c>
      <c r="D1628" t="s">
        <v>6167</v>
      </c>
      <c r="E1628" t="s">
        <v>6005</v>
      </c>
      <c r="J1628" t="s">
        <v>6671</v>
      </c>
      <c r="M1628" t="e">
        <v>#N/A</v>
      </c>
      <c r="N1628" t="e">
        <v>#N/A</v>
      </c>
      <c r="O1628" t="e">
        <v>#N/A</v>
      </c>
      <c r="P1628" t="e">
        <v>#N/A</v>
      </c>
      <c r="R1628" t="e">
        <v>#N/A</v>
      </c>
      <c r="T1628" t="s">
        <v>5983</v>
      </c>
      <c r="U1628" t="s">
        <v>5983</v>
      </c>
      <c r="V1628" t="s">
        <v>5983</v>
      </c>
      <c r="Y1628" t="s">
        <v>6948</v>
      </c>
      <c r="Z1628" t="s">
        <v>6949</v>
      </c>
      <c r="AA1628" t="s">
        <v>6950</v>
      </c>
      <c r="AB1628" t="s">
        <v>6951</v>
      </c>
      <c r="AC1628" t="s">
        <v>6952</v>
      </c>
      <c r="AD1628" t="s">
        <v>6953</v>
      </c>
    </row>
    <row r="1629" spans="1:30">
      <c r="A1629" t="s">
        <v>4604</v>
      </c>
      <c r="B1629" t="s">
        <v>5369</v>
      </c>
      <c r="C1629" t="s">
        <v>5892</v>
      </c>
      <c r="D1629" t="s">
        <v>6167</v>
      </c>
      <c r="E1629" t="s">
        <v>6005</v>
      </c>
      <c r="J1629" t="s">
        <v>6672</v>
      </c>
      <c r="M1629" t="e">
        <v>#N/A</v>
      </c>
      <c r="N1629" t="e">
        <v>#N/A</v>
      </c>
      <c r="O1629" t="e">
        <v>#N/A</v>
      </c>
      <c r="P1629" t="e">
        <v>#N/A</v>
      </c>
      <c r="R1629" t="e">
        <v>#N/A</v>
      </c>
      <c r="T1629" t="s">
        <v>5983</v>
      </c>
      <c r="U1629" t="s">
        <v>5983</v>
      </c>
      <c r="V1629" t="s">
        <v>5983</v>
      </c>
      <c r="Y1629" t="s">
        <v>6948</v>
      </c>
      <c r="Z1629" t="s">
        <v>6949</v>
      </c>
      <c r="AA1629" t="s">
        <v>6950</v>
      </c>
      <c r="AB1629" t="s">
        <v>6951</v>
      </c>
      <c r="AC1629" t="s">
        <v>6952</v>
      </c>
      <c r="AD1629" t="s">
        <v>6953</v>
      </c>
    </row>
    <row r="1630" spans="1:30">
      <c r="A1630" t="s">
        <v>4604</v>
      </c>
      <c r="B1630" t="s">
        <v>5370</v>
      </c>
      <c r="C1630" t="s">
        <v>5893</v>
      </c>
      <c r="D1630" t="s">
        <v>6167</v>
      </c>
      <c r="E1630" t="s">
        <v>6005</v>
      </c>
      <c r="J1630" t="s">
        <v>6673</v>
      </c>
      <c r="M1630" t="e">
        <v>#N/A</v>
      </c>
      <c r="N1630" t="e">
        <v>#N/A</v>
      </c>
      <c r="O1630" t="e">
        <v>#N/A</v>
      </c>
      <c r="P1630" t="e">
        <v>#N/A</v>
      </c>
      <c r="R1630" t="e">
        <v>#N/A</v>
      </c>
      <c r="T1630" t="s">
        <v>5983</v>
      </c>
      <c r="U1630" t="s">
        <v>5983</v>
      </c>
      <c r="V1630" t="s">
        <v>5983</v>
      </c>
      <c r="Y1630" t="s">
        <v>6948</v>
      </c>
      <c r="Z1630" t="s">
        <v>6949</v>
      </c>
      <c r="AA1630" t="s">
        <v>6950</v>
      </c>
      <c r="AB1630" t="s">
        <v>6951</v>
      </c>
      <c r="AC1630" t="s">
        <v>6952</v>
      </c>
      <c r="AD1630" t="s">
        <v>6953</v>
      </c>
    </row>
    <row r="1631" spans="1:30">
      <c r="A1631">
        <v>11006990</v>
      </c>
      <c r="B1631" t="s">
        <v>5371</v>
      </c>
      <c r="C1631" t="s">
        <v>5894</v>
      </c>
      <c r="D1631" t="s">
        <v>6167</v>
      </c>
      <c r="E1631" t="s">
        <v>6005</v>
      </c>
      <c r="J1631" t="s">
        <v>6674</v>
      </c>
      <c r="M1631" t="e">
        <v>#N/A</v>
      </c>
      <c r="N1631" t="e">
        <v>#N/A</v>
      </c>
      <c r="O1631" t="e">
        <v>#N/A</v>
      </c>
      <c r="P1631" t="e">
        <v>#N/A</v>
      </c>
      <c r="R1631" t="e">
        <v>#N/A</v>
      </c>
      <c r="T1631" t="s">
        <v>5983</v>
      </c>
      <c r="U1631" t="s">
        <v>5983</v>
      </c>
      <c r="V1631" t="s">
        <v>5983</v>
      </c>
      <c r="Y1631" t="s">
        <v>6948</v>
      </c>
      <c r="Z1631" t="s">
        <v>6949</v>
      </c>
      <c r="AA1631" t="s">
        <v>6950</v>
      </c>
      <c r="AB1631" t="s">
        <v>6951</v>
      </c>
      <c r="AC1631" t="s">
        <v>6952</v>
      </c>
      <c r="AD1631" t="s">
        <v>6953</v>
      </c>
    </row>
    <row r="1632" spans="1:30">
      <c r="A1632" t="s">
        <v>4604</v>
      </c>
      <c r="B1632" t="s">
        <v>5372</v>
      </c>
      <c r="C1632" t="s">
        <v>1184</v>
      </c>
      <c r="D1632" t="s">
        <v>6167</v>
      </c>
      <c r="E1632" t="s">
        <v>6005</v>
      </c>
      <c r="J1632" t="s">
        <v>6868</v>
      </c>
      <c r="M1632" t="e">
        <v>#N/A</v>
      </c>
      <c r="N1632" t="e">
        <v>#N/A</v>
      </c>
      <c r="O1632" t="e">
        <v>#N/A</v>
      </c>
      <c r="P1632" t="e">
        <v>#N/A</v>
      </c>
      <c r="R1632" t="e">
        <v>#N/A</v>
      </c>
      <c r="T1632" t="s">
        <v>5983</v>
      </c>
      <c r="U1632" t="s">
        <v>5983</v>
      </c>
      <c r="V1632" t="s">
        <v>5983</v>
      </c>
      <c r="Y1632" t="s">
        <v>6948</v>
      </c>
      <c r="Z1632" t="s">
        <v>6949</v>
      </c>
      <c r="AA1632" t="s">
        <v>6950</v>
      </c>
      <c r="AB1632" t="s">
        <v>6951</v>
      </c>
      <c r="AC1632" t="s">
        <v>6952</v>
      </c>
      <c r="AD1632" t="s">
        <v>6953</v>
      </c>
    </row>
    <row r="1633" spans="1:30">
      <c r="A1633" t="s">
        <v>4604</v>
      </c>
      <c r="B1633" t="s">
        <v>5373</v>
      </c>
      <c r="C1633" t="s">
        <v>5895</v>
      </c>
      <c r="D1633" t="s">
        <v>6168</v>
      </c>
      <c r="E1633" t="s">
        <v>6005</v>
      </c>
      <c r="J1633" t="s">
        <v>6676</v>
      </c>
      <c r="M1633" t="e">
        <v>#N/A</v>
      </c>
      <c r="N1633" t="e">
        <v>#N/A</v>
      </c>
      <c r="O1633" t="e">
        <v>#N/A</v>
      </c>
      <c r="P1633" t="e">
        <v>#N/A</v>
      </c>
      <c r="R1633" t="e">
        <v>#N/A</v>
      </c>
      <c r="T1633" t="s">
        <v>5983</v>
      </c>
      <c r="U1633" t="s">
        <v>5983</v>
      </c>
      <c r="V1633" t="s">
        <v>5983</v>
      </c>
      <c r="Y1633" t="s">
        <v>6948</v>
      </c>
      <c r="Z1633" t="s">
        <v>6949</v>
      </c>
      <c r="AA1633" t="s">
        <v>6950</v>
      </c>
      <c r="AB1633" t="s">
        <v>6951</v>
      </c>
      <c r="AC1633" t="s">
        <v>6952</v>
      </c>
      <c r="AD1633" t="s">
        <v>6953</v>
      </c>
    </row>
    <row r="1634" spans="1:30">
      <c r="A1634" t="s">
        <v>4604</v>
      </c>
      <c r="B1634" t="s">
        <v>5374</v>
      </c>
      <c r="C1634" t="s">
        <v>1186</v>
      </c>
      <c r="D1634" t="s">
        <v>6168</v>
      </c>
      <c r="E1634" t="s">
        <v>6005</v>
      </c>
      <c r="J1634" t="s">
        <v>6876</v>
      </c>
      <c r="M1634" t="e">
        <v>#N/A</v>
      </c>
      <c r="N1634" t="e">
        <v>#N/A</v>
      </c>
      <c r="O1634" t="e">
        <v>#N/A</v>
      </c>
      <c r="P1634" t="e">
        <v>#N/A</v>
      </c>
      <c r="R1634" t="e">
        <v>#N/A</v>
      </c>
      <c r="T1634" t="s">
        <v>5983</v>
      </c>
      <c r="U1634" t="s">
        <v>5983</v>
      </c>
      <c r="V1634" t="s">
        <v>5983</v>
      </c>
      <c r="Y1634" t="s">
        <v>6948</v>
      </c>
      <c r="Z1634" t="s">
        <v>6949</v>
      </c>
      <c r="AA1634" t="s">
        <v>6950</v>
      </c>
      <c r="AB1634" t="s">
        <v>6951</v>
      </c>
      <c r="AC1634" t="s">
        <v>6952</v>
      </c>
      <c r="AD1634" t="s">
        <v>6953</v>
      </c>
    </row>
    <row r="1635" spans="1:30">
      <c r="A1635" t="s">
        <v>4604</v>
      </c>
      <c r="B1635" t="s">
        <v>5375</v>
      </c>
      <c r="C1635" t="s">
        <v>5896</v>
      </c>
      <c r="D1635" t="s">
        <v>6166</v>
      </c>
      <c r="E1635" t="s">
        <v>6003</v>
      </c>
      <c r="J1635" t="s">
        <v>6856</v>
      </c>
      <c r="M1635" t="e">
        <v>#N/A</v>
      </c>
      <c r="N1635" t="e">
        <v>#N/A</v>
      </c>
      <c r="O1635" t="e">
        <v>#N/A</v>
      </c>
      <c r="P1635" t="e">
        <v>#N/A</v>
      </c>
      <c r="R1635" t="e">
        <v>#N/A</v>
      </c>
      <c r="T1635" t="s">
        <v>5983</v>
      </c>
      <c r="U1635" t="s">
        <v>5983</v>
      </c>
      <c r="V1635" t="s">
        <v>5983</v>
      </c>
      <c r="Y1635" t="s">
        <v>6948</v>
      </c>
      <c r="Z1635" t="s">
        <v>6949</v>
      </c>
      <c r="AA1635" t="s">
        <v>6950</v>
      </c>
      <c r="AB1635" t="s">
        <v>6951</v>
      </c>
      <c r="AC1635" t="s">
        <v>6952</v>
      </c>
      <c r="AD1635" t="s">
        <v>6953</v>
      </c>
    </row>
    <row r="1636" spans="1:30">
      <c r="A1636" t="s">
        <v>4604</v>
      </c>
      <c r="B1636" t="s">
        <v>5376</v>
      </c>
      <c r="C1636" t="s">
        <v>5897</v>
      </c>
      <c r="D1636" t="s">
        <v>6166</v>
      </c>
      <c r="E1636" t="s">
        <v>6003</v>
      </c>
      <c r="J1636" t="s">
        <v>6877</v>
      </c>
      <c r="M1636" t="e">
        <v>#N/A</v>
      </c>
      <c r="N1636" t="e">
        <v>#N/A</v>
      </c>
      <c r="O1636" t="e">
        <v>#N/A</v>
      </c>
      <c r="P1636" t="e">
        <v>#N/A</v>
      </c>
      <c r="R1636" t="e">
        <v>#N/A</v>
      </c>
      <c r="T1636" t="s">
        <v>5983</v>
      </c>
      <c r="U1636" t="s">
        <v>5983</v>
      </c>
      <c r="V1636" t="s">
        <v>5983</v>
      </c>
      <c r="Y1636" t="s">
        <v>6948</v>
      </c>
      <c r="Z1636" t="s">
        <v>6949</v>
      </c>
      <c r="AA1636" t="s">
        <v>6950</v>
      </c>
      <c r="AB1636" t="s">
        <v>6951</v>
      </c>
      <c r="AC1636" t="s">
        <v>6952</v>
      </c>
      <c r="AD1636" t="s">
        <v>6953</v>
      </c>
    </row>
    <row r="1637" spans="1:30">
      <c r="A1637">
        <v>11006985</v>
      </c>
      <c r="B1637" t="s">
        <v>5377</v>
      </c>
      <c r="C1637" t="s">
        <v>5898</v>
      </c>
      <c r="D1637" t="s">
        <v>6165</v>
      </c>
      <c r="E1637" t="s">
        <v>6003</v>
      </c>
      <c r="J1637" t="s">
        <v>6857</v>
      </c>
      <c r="M1637" t="e">
        <v>#N/A</v>
      </c>
      <c r="N1637" t="e">
        <v>#N/A</v>
      </c>
      <c r="O1637" t="e">
        <v>#N/A</v>
      </c>
      <c r="P1637" t="e">
        <v>#N/A</v>
      </c>
      <c r="R1637" t="e">
        <v>#N/A</v>
      </c>
      <c r="T1637" t="s">
        <v>5983</v>
      </c>
      <c r="U1637" t="s">
        <v>5983</v>
      </c>
      <c r="V1637" t="s">
        <v>5983</v>
      </c>
      <c r="Y1637" t="s">
        <v>6948</v>
      </c>
      <c r="Z1637" t="s">
        <v>6949</v>
      </c>
      <c r="AA1637" t="s">
        <v>6950</v>
      </c>
      <c r="AB1637" t="s">
        <v>6951</v>
      </c>
      <c r="AC1637" t="s">
        <v>6952</v>
      </c>
      <c r="AD1637" t="s">
        <v>6953</v>
      </c>
    </row>
    <row r="1638" spans="1:30">
      <c r="A1638" t="s">
        <v>4604</v>
      </c>
      <c r="B1638" t="s">
        <v>5378</v>
      </c>
      <c r="C1638" t="s">
        <v>1215</v>
      </c>
      <c r="D1638" t="s">
        <v>6166</v>
      </c>
      <c r="E1638" t="s">
        <v>6003</v>
      </c>
      <c r="J1638" t="s">
        <v>6869</v>
      </c>
      <c r="M1638" t="e">
        <v>#N/A</v>
      </c>
      <c r="N1638" t="e">
        <v>#N/A</v>
      </c>
      <c r="O1638" t="e">
        <v>#N/A</v>
      </c>
      <c r="P1638" t="e">
        <v>#N/A</v>
      </c>
      <c r="R1638" t="e">
        <v>#N/A</v>
      </c>
      <c r="T1638" t="s">
        <v>5983</v>
      </c>
      <c r="U1638" t="s">
        <v>5983</v>
      </c>
      <c r="V1638" t="s">
        <v>5983</v>
      </c>
      <c r="Y1638" t="s">
        <v>6948</v>
      </c>
      <c r="Z1638" t="s">
        <v>6949</v>
      </c>
      <c r="AA1638" t="s">
        <v>6950</v>
      </c>
      <c r="AB1638" t="s">
        <v>6951</v>
      </c>
      <c r="AC1638" t="s">
        <v>6952</v>
      </c>
      <c r="AD1638" t="s">
        <v>6953</v>
      </c>
    </row>
    <row r="1639" spans="1:30">
      <c r="A1639">
        <v>11006983</v>
      </c>
      <c r="B1639" t="s">
        <v>5379</v>
      </c>
      <c r="C1639" t="s">
        <v>5899</v>
      </c>
      <c r="D1639" t="s">
        <v>6175</v>
      </c>
      <c r="E1639" t="s">
        <v>6023</v>
      </c>
      <c r="J1639" t="s">
        <v>6684</v>
      </c>
      <c r="M1639" t="e">
        <v>#N/A</v>
      </c>
      <c r="N1639" t="e">
        <v>#N/A</v>
      </c>
      <c r="O1639" t="e">
        <v>#N/A</v>
      </c>
      <c r="P1639" t="e">
        <v>#N/A</v>
      </c>
      <c r="R1639" t="e">
        <v>#N/A</v>
      </c>
      <c r="T1639" t="s">
        <v>5983</v>
      </c>
      <c r="U1639" t="s">
        <v>5983</v>
      </c>
      <c r="V1639" t="s">
        <v>5983</v>
      </c>
      <c r="Y1639" t="s">
        <v>6948</v>
      </c>
      <c r="Z1639" t="s">
        <v>6949</v>
      </c>
      <c r="AA1639" t="s">
        <v>6950</v>
      </c>
      <c r="AB1639" t="s">
        <v>6951</v>
      </c>
      <c r="AC1639" t="s">
        <v>6952</v>
      </c>
      <c r="AD1639" t="s">
        <v>6953</v>
      </c>
    </row>
    <row r="1640" spans="1:30">
      <c r="A1640" t="s">
        <v>4604</v>
      </c>
      <c r="B1640" t="s">
        <v>5380</v>
      </c>
      <c r="C1640" t="s">
        <v>5847</v>
      </c>
      <c r="D1640" t="s">
        <v>6158</v>
      </c>
      <c r="E1640" t="s">
        <v>5992</v>
      </c>
      <c r="J1640" t="s">
        <v>6595</v>
      </c>
      <c r="M1640" t="e">
        <v>#N/A</v>
      </c>
      <c r="N1640" t="e">
        <v>#N/A</v>
      </c>
      <c r="O1640" t="e">
        <v>#N/A</v>
      </c>
      <c r="P1640" t="e">
        <v>#N/A</v>
      </c>
      <c r="R1640" t="e">
        <v>#N/A</v>
      </c>
      <c r="T1640" t="s">
        <v>5983</v>
      </c>
      <c r="U1640" t="s">
        <v>5983</v>
      </c>
      <c r="V1640" t="s">
        <v>5983</v>
      </c>
      <c r="Y1640" t="s">
        <v>6948</v>
      </c>
      <c r="Z1640" t="s">
        <v>6949</v>
      </c>
      <c r="AA1640" t="s">
        <v>6950</v>
      </c>
      <c r="AB1640" t="s">
        <v>6951</v>
      </c>
      <c r="AC1640" t="s">
        <v>6952</v>
      </c>
      <c r="AD1640" t="s">
        <v>6953</v>
      </c>
    </row>
    <row r="1641" spans="1:30">
      <c r="A1641" t="s">
        <v>4604</v>
      </c>
      <c r="B1641" t="s">
        <v>5381</v>
      </c>
      <c r="C1641" t="s">
        <v>5848</v>
      </c>
      <c r="D1641" t="s">
        <v>6158</v>
      </c>
      <c r="E1641" t="s">
        <v>5992</v>
      </c>
      <c r="J1641" t="s">
        <v>6596</v>
      </c>
      <c r="M1641" t="e">
        <v>#N/A</v>
      </c>
      <c r="N1641" t="e">
        <v>#N/A</v>
      </c>
      <c r="O1641" t="e">
        <v>#N/A</v>
      </c>
      <c r="P1641" t="e">
        <v>#N/A</v>
      </c>
      <c r="R1641" t="e">
        <v>#N/A</v>
      </c>
      <c r="T1641" t="s">
        <v>5983</v>
      </c>
      <c r="U1641" t="s">
        <v>5983</v>
      </c>
      <c r="V1641" t="s">
        <v>5983</v>
      </c>
      <c r="Y1641" t="s">
        <v>6948</v>
      </c>
      <c r="Z1641" t="s">
        <v>6949</v>
      </c>
      <c r="AA1641" t="s">
        <v>6950</v>
      </c>
      <c r="AB1641" t="s">
        <v>6951</v>
      </c>
      <c r="AC1641" t="s">
        <v>6952</v>
      </c>
      <c r="AD1641" t="s">
        <v>6953</v>
      </c>
    </row>
    <row r="1642" spans="1:30">
      <c r="A1642" t="s">
        <v>4604</v>
      </c>
      <c r="B1642" t="s">
        <v>5382</v>
      </c>
      <c r="C1642" t="s">
        <v>5849</v>
      </c>
      <c r="D1642" t="s">
        <v>6158</v>
      </c>
      <c r="E1642" t="s">
        <v>5992</v>
      </c>
      <c r="J1642" t="s">
        <v>6597</v>
      </c>
      <c r="M1642" t="e">
        <v>#N/A</v>
      </c>
      <c r="N1642" t="e">
        <v>#N/A</v>
      </c>
      <c r="O1642" t="e">
        <v>#N/A</v>
      </c>
      <c r="P1642" t="e">
        <v>#N/A</v>
      </c>
      <c r="R1642" t="e">
        <v>#N/A</v>
      </c>
      <c r="T1642" t="s">
        <v>5983</v>
      </c>
      <c r="U1642" t="s">
        <v>5983</v>
      </c>
      <c r="V1642" t="s">
        <v>5983</v>
      </c>
      <c r="Y1642" t="s">
        <v>6948</v>
      </c>
      <c r="Z1642" t="s">
        <v>6949</v>
      </c>
      <c r="AA1642" t="s">
        <v>6950</v>
      </c>
      <c r="AB1642" t="s">
        <v>6951</v>
      </c>
      <c r="AC1642" t="s">
        <v>6952</v>
      </c>
      <c r="AD1642" t="s">
        <v>6953</v>
      </c>
    </row>
    <row r="1643" spans="1:30">
      <c r="A1643" t="s">
        <v>4604</v>
      </c>
      <c r="B1643" t="s">
        <v>5383</v>
      </c>
      <c r="C1643" t="s">
        <v>5850</v>
      </c>
      <c r="D1643" t="s">
        <v>6158</v>
      </c>
      <c r="E1643" t="s">
        <v>5992</v>
      </c>
      <c r="J1643" t="s">
        <v>6598</v>
      </c>
      <c r="M1643" t="e">
        <v>#N/A</v>
      </c>
      <c r="N1643" t="e">
        <v>#N/A</v>
      </c>
      <c r="O1643" t="e">
        <v>#N/A</v>
      </c>
      <c r="P1643" t="e">
        <v>#N/A</v>
      </c>
      <c r="R1643" t="e">
        <v>#N/A</v>
      </c>
      <c r="T1643" t="s">
        <v>5983</v>
      </c>
      <c r="U1643" t="s">
        <v>5983</v>
      </c>
      <c r="V1643" t="s">
        <v>5983</v>
      </c>
      <c r="Y1643" t="s">
        <v>6948</v>
      </c>
      <c r="Z1643" t="s">
        <v>6949</v>
      </c>
      <c r="AA1643" t="s">
        <v>6950</v>
      </c>
      <c r="AB1643" t="s">
        <v>6951</v>
      </c>
      <c r="AC1643" t="s">
        <v>6952</v>
      </c>
      <c r="AD1643" t="s">
        <v>6953</v>
      </c>
    </row>
    <row r="1644" spans="1:30">
      <c r="A1644">
        <v>11007084</v>
      </c>
      <c r="B1644" t="s">
        <v>5384</v>
      </c>
      <c r="C1644" t="s">
        <v>5851</v>
      </c>
      <c r="D1644" t="s">
        <v>6160</v>
      </c>
      <c r="E1644" t="s">
        <v>5995</v>
      </c>
      <c r="J1644" t="s">
        <v>6599</v>
      </c>
      <c r="M1644" t="e">
        <v>#N/A</v>
      </c>
      <c r="N1644" t="e">
        <v>#N/A</v>
      </c>
      <c r="O1644" t="e">
        <v>#N/A</v>
      </c>
      <c r="P1644" t="e">
        <v>#N/A</v>
      </c>
      <c r="R1644" t="e">
        <v>#N/A</v>
      </c>
      <c r="T1644" t="s">
        <v>5983</v>
      </c>
      <c r="U1644" t="s">
        <v>5983</v>
      </c>
      <c r="V1644" t="s">
        <v>5983</v>
      </c>
      <c r="Y1644" t="s">
        <v>6948</v>
      </c>
      <c r="Z1644" t="s">
        <v>6949</v>
      </c>
      <c r="AA1644" t="s">
        <v>6950</v>
      </c>
      <c r="AB1644" t="s">
        <v>6951</v>
      </c>
      <c r="AC1644" t="s">
        <v>6952</v>
      </c>
      <c r="AD1644" t="s">
        <v>6953</v>
      </c>
    </row>
    <row r="1645" spans="1:30">
      <c r="A1645">
        <v>11007082</v>
      </c>
      <c r="B1645" t="s">
        <v>5385</v>
      </c>
      <c r="C1645" t="s">
        <v>1020</v>
      </c>
      <c r="D1645" t="s">
        <v>6160</v>
      </c>
      <c r="E1645" t="s">
        <v>5995</v>
      </c>
      <c r="J1645" t="s">
        <v>6600</v>
      </c>
      <c r="M1645" t="e">
        <v>#N/A</v>
      </c>
      <c r="N1645" t="e">
        <v>#N/A</v>
      </c>
      <c r="O1645" t="e">
        <v>#N/A</v>
      </c>
      <c r="P1645" t="e">
        <v>#N/A</v>
      </c>
      <c r="R1645" t="e">
        <v>#N/A</v>
      </c>
      <c r="T1645" t="s">
        <v>5983</v>
      </c>
      <c r="U1645" t="s">
        <v>5983</v>
      </c>
      <c r="V1645" t="s">
        <v>5983</v>
      </c>
      <c r="Y1645" t="s">
        <v>6948</v>
      </c>
      <c r="Z1645" t="s">
        <v>6949</v>
      </c>
      <c r="AA1645" t="s">
        <v>6950</v>
      </c>
      <c r="AB1645" t="s">
        <v>6951</v>
      </c>
      <c r="AC1645" t="s">
        <v>6952</v>
      </c>
      <c r="AD1645" t="s">
        <v>6953</v>
      </c>
    </row>
    <row r="1646" spans="1:30">
      <c r="A1646">
        <v>11007080</v>
      </c>
      <c r="B1646" t="s">
        <v>5386</v>
      </c>
      <c r="C1646" t="s">
        <v>5852</v>
      </c>
      <c r="D1646" t="s">
        <v>6160</v>
      </c>
      <c r="E1646" t="s">
        <v>5995</v>
      </c>
      <c r="J1646" t="s">
        <v>6601</v>
      </c>
      <c r="M1646" t="e">
        <v>#N/A</v>
      </c>
      <c r="N1646" t="e">
        <v>#N/A</v>
      </c>
      <c r="O1646" t="e">
        <v>#N/A</v>
      </c>
      <c r="P1646" t="e">
        <v>#N/A</v>
      </c>
      <c r="R1646" t="e">
        <v>#N/A</v>
      </c>
      <c r="T1646" t="s">
        <v>5983</v>
      </c>
      <c r="U1646" t="s">
        <v>5983</v>
      </c>
      <c r="V1646" t="s">
        <v>5983</v>
      </c>
      <c r="Y1646" t="s">
        <v>6948</v>
      </c>
      <c r="Z1646" t="s">
        <v>6949</v>
      </c>
      <c r="AA1646" t="s">
        <v>6950</v>
      </c>
      <c r="AB1646" t="s">
        <v>6951</v>
      </c>
      <c r="AC1646" t="s">
        <v>6952</v>
      </c>
      <c r="AD1646" t="s">
        <v>6953</v>
      </c>
    </row>
    <row r="1647" spans="1:30">
      <c r="A1647">
        <v>11007078</v>
      </c>
      <c r="B1647" t="s">
        <v>5387</v>
      </c>
      <c r="C1647" t="s">
        <v>5853</v>
      </c>
      <c r="D1647" t="s">
        <v>6176</v>
      </c>
      <c r="E1647" t="s">
        <v>5997</v>
      </c>
      <c r="J1647" t="s">
        <v>6602</v>
      </c>
      <c r="M1647" t="e">
        <v>#N/A</v>
      </c>
      <c r="N1647" t="e">
        <v>#N/A</v>
      </c>
      <c r="O1647" t="e">
        <v>#N/A</v>
      </c>
      <c r="P1647" t="e">
        <v>#N/A</v>
      </c>
      <c r="R1647" t="e">
        <v>#N/A</v>
      </c>
      <c r="T1647" t="s">
        <v>5983</v>
      </c>
      <c r="U1647" t="s">
        <v>5983</v>
      </c>
      <c r="V1647" t="s">
        <v>5983</v>
      </c>
      <c r="Y1647" t="s">
        <v>6948</v>
      </c>
      <c r="Z1647" t="s">
        <v>6949</v>
      </c>
      <c r="AA1647" t="s">
        <v>6950</v>
      </c>
      <c r="AB1647" t="s">
        <v>6951</v>
      </c>
      <c r="AC1647" t="s">
        <v>6952</v>
      </c>
      <c r="AD1647" t="s">
        <v>6953</v>
      </c>
    </row>
    <row r="1648" spans="1:30">
      <c r="A1648">
        <v>11007076</v>
      </c>
      <c r="B1648" t="s">
        <v>5388</v>
      </c>
      <c r="C1648" t="s">
        <v>5854</v>
      </c>
      <c r="D1648" t="s">
        <v>6161</v>
      </c>
      <c r="E1648" t="s">
        <v>5997</v>
      </c>
      <c r="J1648" t="s">
        <v>6603</v>
      </c>
      <c r="M1648" t="e">
        <v>#N/A</v>
      </c>
      <c r="N1648" t="e">
        <v>#N/A</v>
      </c>
      <c r="O1648" t="e">
        <v>#N/A</v>
      </c>
      <c r="P1648" t="e">
        <v>#N/A</v>
      </c>
      <c r="R1648" t="e">
        <v>#N/A</v>
      </c>
      <c r="T1648" t="s">
        <v>5983</v>
      </c>
      <c r="U1648" t="s">
        <v>5983</v>
      </c>
      <c r="V1648" t="s">
        <v>5983</v>
      </c>
      <c r="Y1648" t="s">
        <v>6948</v>
      </c>
      <c r="Z1648" t="s">
        <v>6949</v>
      </c>
      <c r="AA1648" t="s">
        <v>6950</v>
      </c>
      <c r="AB1648" t="s">
        <v>6951</v>
      </c>
      <c r="AC1648" t="s">
        <v>6952</v>
      </c>
      <c r="AD1648" t="s">
        <v>6953</v>
      </c>
    </row>
    <row r="1649" spans="1:30">
      <c r="A1649">
        <v>11007074</v>
      </c>
      <c r="B1649" t="s">
        <v>5389</v>
      </c>
      <c r="C1649" t="s">
        <v>1138</v>
      </c>
      <c r="D1649" t="s">
        <v>6161</v>
      </c>
      <c r="E1649" t="s">
        <v>5997</v>
      </c>
      <c r="J1649" t="s">
        <v>6604</v>
      </c>
      <c r="M1649" t="e">
        <v>#N/A</v>
      </c>
      <c r="N1649" t="e">
        <v>#N/A</v>
      </c>
      <c r="O1649" t="e">
        <v>#N/A</v>
      </c>
      <c r="P1649" t="e">
        <v>#N/A</v>
      </c>
      <c r="R1649" t="e">
        <v>#N/A</v>
      </c>
      <c r="T1649" t="s">
        <v>5983</v>
      </c>
      <c r="U1649" t="s">
        <v>5983</v>
      </c>
      <c r="V1649" t="s">
        <v>5983</v>
      </c>
      <c r="Y1649" t="s">
        <v>6948</v>
      </c>
      <c r="Z1649" t="s">
        <v>6949</v>
      </c>
      <c r="AA1649" t="s">
        <v>6950</v>
      </c>
      <c r="AB1649" t="s">
        <v>6951</v>
      </c>
      <c r="AC1649" t="s">
        <v>6952</v>
      </c>
      <c r="AD1649" t="s">
        <v>6953</v>
      </c>
    </row>
    <row r="1650" spans="1:30">
      <c r="A1650" t="s">
        <v>4604</v>
      </c>
      <c r="B1650" t="s">
        <v>5390</v>
      </c>
      <c r="C1650" t="s">
        <v>5855</v>
      </c>
      <c r="D1650" t="s">
        <v>6161</v>
      </c>
      <c r="E1650" t="s">
        <v>5997</v>
      </c>
      <c r="J1650" t="s">
        <v>6605</v>
      </c>
      <c r="M1650" t="e">
        <v>#N/A</v>
      </c>
      <c r="N1650" t="e">
        <v>#N/A</v>
      </c>
      <c r="O1650" t="e">
        <v>#N/A</v>
      </c>
      <c r="P1650" t="e">
        <v>#N/A</v>
      </c>
      <c r="R1650" t="e">
        <v>#N/A</v>
      </c>
      <c r="T1650" t="s">
        <v>5983</v>
      </c>
      <c r="U1650" t="s">
        <v>5983</v>
      </c>
      <c r="V1650" t="s">
        <v>5983</v>
      </c>
      <c r="Y1650" t="s">
        <v>6948</v>
      </c>
      <c r="Z1650" t="s">
        <v>6949</v>
      </c>
      <c r="AA1650" t="s">
        <v>6950</v>
      </c>
      <c r="AB1650" t="s">
        <v>6951</v>
      </c>
      <c r="AC1650" t="s">
        <v>6952</v>
      </c>
      <c r="AD1650" t="s">
        <v>6953</v>
      </c>
    </row>
    <row r="1651" spans="1:30">
      <c r="A1651">
        <v>11007070</v>
      </c>
      <c r="B1651" t="s">
        <v>5391</v>
      </c>
      <c r="C1651" t="s">
        <v>5856</v>
      </c>
      <c r="D1651" t="s">
        <v>6162</v>
      </c>
      <c r="E1651" t="s">
        <v>5999</v>
      </c>
      <c r="J1651" t="s">
        <v>6606</v>
      </c>
      <c r="M1651" t="e">
        <v>#N/A</v>
      </c>
      <c r="N1651" t="e">
        <v>#N/A</v>
      </c>
      <c r="O1651" t="e">
        <v>#N/A</v>
      </c>
      <c r="P1651" t="e">
        <v>#N/A</v>
      </c>
      <c r="R1651" t="e">
        <v>#N/A</v>
      </c>
      <c r="T1651" t="s">
        <v>5983</v>
      </c>
      <c r="U1651" t="s">
        <v>5983</v>
      </c>
      <c r="V1651" t="s">
        <v>5983</v>
      </c>
      <c r="Y1651" t="s">
        <v>6948</v>
      </c>
      <c r="Z1651" t="s">
        <v>6949</v>
      </c>
      <c r="AA1651" t="s">
        <v>6950</v>
      </c>
      <c r="AB1651" t="s">
        <v>6951</v>
      </c>
      <c r="AC1651" t="s">
        <v>6952</v>
      </c>
      <c r="AD1651" t="s">
        <v>6953</v>
      </c>
    </row>
    <row r="1652" spans="1:30">
      <c r="A1652" t="s">
        <v>4604</v>
      </c>
      <c r="B1652" t="s">
        <v>5392</v>
      </c>
      <c r="C1652" t="s">
        <v>1086</v>
      </c>
      <c r="D1652" t="s">
        <v>6162</v>
      </c>
      <c r="E1652" t="s">
        <v>5999</v>
      </c>
      <c r="J1652" t="s">
        <v>6607</v>
      </c>
      <c r="M1652" t="e">
        <v>#N/A</v>
      </c>
      <c r="N1652" t="e">
        <v>#N/A</v>
      </c>
      <c r="O1652" t="e">
        <v>#N/A</v>
      </c>
      <c r="P1652" t="e">
        <v>#N/A</v>
      </c>
      <c r="R1652" t="e">
        <v>#N/A</v>
      </c>
      <c r="T1652" t="s">
        <v>5983</v>
      </c>
      <c r="U1652" t="s">
        <v>5983</v>
      </c>
      <c r="V1652" t="s">
        <v>5983</v>
      </c>
      <c r="Y1652" t="s">
        <v>6948</v>
      </c>
      <c r="Z1652" t="s">
        <v>6949</v>
      </c>
      <c r="AA1652" t="s">
        <v>6950</v>
      </c>
      <c r="AB1652" t="s">
        <v>6951</v>
      </c>
      <c r="AC1652" t="s">
        <v>6952</v>
      </c>
      <c r="AD1652" t="s">
        <v>6953</v>
      </c>
    </row>
    <row r="1653" spans="1:30">
      <c r="A1653" t="s">
        <v>4604</v>
      </c>
      <c r="B1653" t="s">
        <v>5393</v>
      </c>
      <c r="C1653" t="s">
        <v>5857</v>
      </c>
      <c r="D1653" t="s">
        <v>6163</v>
      </c>
      <c r="E1653" t="s">
        <v>6001</v>
      </c>
      <c r="J1653" t="s">
        <v>6608</v>
      </c>
      <c r="M1653" t="e">
        <v>#N/A</v>
      </c>
      <c r="N1653" t="e">
        <v>#N/A</v>
      </c>
      <c r="O1653" t="e">
        <v>#N/A</v>
      </c>
      <c r="P1653" t="e">
        <v>#N/A</v>
      </c>
      <c r="R1653" t="e">
        <v>#N/A</v>
      </c>
      <c r="T1653" t="s">
        <v>5983</v>
      </c>
      <c r="U1653" t="s">
        <v>5983</v>
      </c>
      <c r="V1653" t="s">
        <v>5983</v>
      </c>
      <c r="Y1653" t="s">
        <v>6948</v>
      </c>
      <c r="Z1653" t="s">
        <v>6949</v>
      </c>
      <c r="AA1653" t="s">
        <v>6950</v>
      </c>
      <c r="AB1653" t="s">
        <v>6951</v>
      </c>
      <c r="AC1653" t="s">
        <v>6952</v>
      </c>
      <c r="AD1653" t="s">
        <v>6953</v>
      </c>
    </row>
    <row r="1654" spans="1:30">
      <c r="A1654" t="s">
        <v>4604</v>
      </c>
      <c r="B1654" t="s">
        <v>5394</v>
      </c>
      <c r="C1654" t="s">
        <v>5858</v>
      </c>
      <c r="D1654" t="s">
        <v>6163</v>
      </c>
      <c r="E1654" t="s">
        <v>6001</v>
      </c>
      <c r="J1654" t="s">
        <v>6609</v>
      </c>
      <c r="M1654" t="e">
        <v>#N/A</v>
      </c>
      <c r="N1654" t="e">
        <v>#N/A</v>
      </c>
      <c r="O1654" t="e">
        <v>#N/A</v>
      </c>
      <c r="P1654" t="e">
        <v>#N/A</v>
      </c>
      <c r="R1654" t="e">
        <v>#N/A</v>
      </c>
      <c r="T1654" t="s">
        <v>5983</v>
      </c>
      <c r="U1654" t="s">
        <v>5983</v>
      </c>
      <c r="V1654" t="s">
        <v>5983</v>
      </c>
      <c r="Y1654" t="s">
        <v>6948</v>
      </c>
      <c r="Z1654" t="s">
        <v>6949</v>
      </c>
      <c r="AA1654" t="s">
        <v>6950</v>
      </c>
      <c r="AB1654" t="s">
        <v>6951</v>
      </c>
      <c r="AC1654" t="s">
        <v>6952</v>
      </c>
      <c r="AD1654" t="s">
        <v>6953</v>
      </c>
    </row>
    <row r="1655" spans="1:30">
      <c r="A1655" t="s">
        <v>4604</v>
      </c>
      <c r="B1655" t="s">
        <v>5395</v>
      </c>
      <c r="C1655" t="s">
        <v>1209</v>
      </c>
      <c r="D1655" t="s">
        <v>6163</v>
      </c>
      <c r="E1655" t="s">
        <v>6001</v>
      </c>
      <c r="J1655" t="s">
        <v>6859</v>
      </c>
      <c r="M1655" t="e">
        <v>#N/A</v>
      </c>
      <c r="N1655" t="e">
        <v>#N/A</v>
      </c>
      <c r="O1655" t="e">
        <v>#N/A</v>
      </c>
      <c r="P1655" t="e">
        <v>#N/A</v>
      </c>
      <c r="R1655" t="e">
        <v>#N/A</v>
      </c>
      <c r="T1655" t="s">
        <v>5983</v>
      </c>
      <c r="U1655" t="s">
        <v>5983</v>
      </c>
      <c r="V1655" t="s">
        <v>5983</v>
      </c>
      <c r="Y1655" t="s">
        <v>6948</v>
      </c>
      <c r="Z1655" t="s">
        <v>6949</v>
      </c>
      <c r="AA1655" t="s">
        <v>6950</v>
      </c>
      <c r="AB1655" t="s">
        <v>6951</v>
      </c>
      <c r="AC1655" t="s">
        <v>6952</v>
      </c>
      <c r="AD1655" t="s">
        <v>6953</v>
      </c>
    </row>
    <row r="1656" spans="1:30">
      <c r="A1656" t="s">
        <v>4604</v>
      </c>
      <c r="B1656" t="s">
        <v>5396</v>
      </c>
      <c r="C1656" t="s">
        <v>5859</v>
      </c>
      <c r="D1656" t="s">
        <v>6163</v>
      </c>
      <c r="E1656" t="s">
        <v>6001</v>
      </c>
      <c r="J1656" t="s">
        <v>6611</v>
      </c>
      <c r="M1656" t="e">
        <v>#N/A</v>
      </c>
      <c r="N1656" t="e">
        <v>#N/A</v>
      </c>
      <c r="O1656" t="e">
        <v>#N/A</v>
      </c>
      <c r="P1656" t="e">
        <v>#N/A</v>
      </c>
      <c r="R1656" t="e">
        <v>#N/A</v>
      </c>
      <c r="T1656" t="s">
        <v>5983</v>
      </c>
      <c r="U1656" t="s">
        <v>5983</v>
      </c>
      <c r="V1656" t="s">
        <v>5983</v>
      </c>
      <c r="Y1656" t="s">
        <v>6948</v>
      </c>
      <c r="Z1656" t="s">
        <v>6949</v>
      </c>
      <c r="AA1656" t="s">
        <v>6950</v>
      </c>
      <c r="AB1656" t="s">
        <v>6951</v>
      </c>
      <c r="AC1656" t="s">
        <v>6952</v>
      </c>
      <c r="AD1656" t="s">
        <v>6953</v>
      </c>
    </row>
    <row r="1657" spans="1:30">
      <c r="A1657" t="s">
        <v>4604</v>
      </c>
      <c r="B1657" t="s">
        <v>5397</v>
      </c>
      <c r="C1657" t="s">
        <v>5860</v>
      </c>
      <c r="D1657" t="s">
        <v>6163</v>
      </c>
      <c r="E1657" t="s">
        <v>6001</v>
      </c>
      <c r="J1657" t="s">
        <v>6612</v>
      </c>
      <c r="M1657" t="e">
        <v>#N/A</v>
      </c>
      <c r="N1657" t="e">
        <v>#N/A</v>
      </c>
      <c r="O1657" t="e">
        <v>#N/A</v>
      </c>
      <c r="P1657" t="e">
        <v>#N/A</v>
      </c>
      <c r="R1657" t="e">
        <v>#N/A</v>
      </c>
      <c r="T1657" t="s">
        <v>5983</v>
      </c>
      <c r="U1657" t="s">
        <v>5983</v>
      </c>
      <c r="V1657" t="s">
        <v>5983</v>
      </c>
      <c r="Y1657" t="s">
        <v>6948</v>
      </c>
      <c r="Z1657" t="s">
        <v>6949</v>
      </c>
      <c r="AA1657" t="s">
        <v>6950</v>
      </c>
      <c r="AB1657" t="s">
        <v>6951</v>
      </c>
      <c r="AC1657" t="s">
        <v>6952</v>
      </c>
      <c r="AD1657" t="s">
        <v>6953</v>
      </c>
    </row>
    <row r="1658" spans="1:30">
      <c r="A1658" t="s">
        <v>4604</v>
      </c>
      <c r="B1658" t="s">
        <v>5398</v>
      </c>
      <c r="C1658" t="s">
        <v>1212</v>
      </c>
      <c r="D1658" t="s">
        <v>6163</v>
      </c>
      <c r="E1658" t="s">
        <v>6001</v>
      </c>
      <c r="J1658" t="s">
        <v>6613</v>
      </c>
      <c r="M1658" t="e">
        <v>#N/A</v>
      </c>
      <c r="N1658" t="e">
        <v>#N/A</v>
      </c>
      <c r="O1658" t="e">
        <v>#N/A</v>
      </c>
      <c r="P1658" t="e">
        <v>#N/A</v>
      </c>
      <c r="R1658" t="e">
        <v>#N/A</v>
      </c>
      <c r="T1658" t="s">
        <v>5983</v>
      </c>
      <c r="U1658" t="s">
        <v>5983</v>
      </c>
      <c r="V1658" t="s">
        <v>5983</v>
      </c>
      <c r="Y1658" t="s">
        <v>6948</v>
      </c>
      <c r="Z1658" t="s">
        <v>6949</v>
      </c>
      <c r="AA1658" t="s">
        <v>6950</v>
      </c>
      <c r="AB1658" t="s">
        <v>6951</v>
      </c>
      <c r="AC1658" t="s">
        <v>6952</v>
      </c>
      <c r="AD1658" t="s">
        <v>6953</v>
      </c>
    </row>
    <row r="1659" spans="1:30">
      <c r="A1659">
        <v>11007059</v>
      </c>
      <c r="B1659" t="s">
        <v>5399</v>
      </c>
      <c r="C1659" t="s">
        <v>5819</v>
      </c>
      <c r="D1659" t="s">
        <v>6165</v>
      </c>
      <c r="E1659" t="s">
        <v>6003</v>
      </c>
      <c r="J1659" t="s">
        <v>6614</v>
      </c>
      <c r="M1659" t="e">
        <v>#N/A</v>
      </c>
      <c r="N1659" t="e">
        <v>#N/A</v>
      </c>
      <c r="O1659" t="e">
        <v>#N/A</v>
      </c>
      <c r="P1659" t="e">
        <v>#N/A</v>
      </c>
      <c r="R1659" t="e">
        <v>#N/A</v>
      </c>
      <c r="T1659" t="s">
        <v>5983</v>
      </c>
      <c r="U1659" t="s">
        <v>5983</v>
      </c>
      <c r="V1659" t="s">
        <v>5983</v>
      </c>
      <c r="Y1659" t="s">
        <v>6948</v>
      </c>
      <c r="Z1659" t="s">
        <v>6949</v>
      </c>
      <c r="AA1659" t="s">
        <v>6950</v>
      </c>
      <c r="AB1659" t="s">
        <v>6951</v>
      </c>
      <c r="AC1659" t="s">
        <v>6952</v>
      </c>
      <c r="AD1659" t="s">
        <v>6953</v>
      </c>
    </row>
    <row r="1660" spans="1:30">
      <c r="A1660">
        <v>11007057</v>
      </c>
      <c r="B1660" t="s">
        <v>5400</v>
      </c>
      <c r="C1660" t="s">
        <v>5820</v>
      </c>
      <c r="D1660" t="s">
        <v>6165</v>
      </c>
      <c r="E1660" t="s">
        <v>6003</v>
      </c>
      <c r="J1660" t="s">
        <v>6615</v>
      </c>
      <c r="M1660" t="e">
        <v>#N/A</v>
      </c>
      <c r="N1660" t="e">
        <v>#N/A</v>
      </c>
      <c r="O1660" t="e">
        <v>#N/A</v>
      </c>
      <c r="P1660" t="e">
        <v>#N/A</v>
      </c>
      <c r="R1660" t="e">
        <v>#N/A</v>
      </c>
      <c r="T1660" t="s">
        <v>5983</v>
      </c>
      <c r="U1660" t="s">
        <v>5983</v>
      </c>
      <c r="V1660" t="s">
        <v>5983</v>
      </c>
      <c r="Y1660" t="s">
        <v>6948</v>
      </c>
      <c r="Z1660" t="s">
        <v>6949</v>
      </c>
      <c r="AA1660" t="s">
        <v>6950</v>
      </c>
      <c r="AB1660" t="s">
        <v>6951</v>
      </c>
      <c r="AC1660" t="s">
        <v>6952</v>
      </c>
      <c r="AD1660" t="s">
        <v>6953</v>
      </c>
    </row>
    <row r="1661" spans="1:30">
      <c r="A1661">
        <v>11007055</v>
      </c>
      <c r="B1661" t="s">
        <v>5401</v>
      </c>
      <c r="C1661" t="s">
        <v>1024</v>
      </c>
      <c r="D1661" t="s">
        <v>6165</v>
      </c>
      <c r="E1661" t="s">
        <v>6003</v>
      </c>
      <c r="J1661" t="s">
        <v>6616</v>
      </c>
      <c r="M1661" t="e">
        <v>#N/A</v>
      </c>
      <c r="N1661" t="e">
        <v>#N/A</v>
      </c>
      <c r="O1661" t="e">
        <v>#N/A</v>
      </c>
      <c r="P1661" t="e">
        <v>#N/A</v>
      </c>
      <c r="R1661" t="e">
        <v>#N/A</v>
      </c>
      <c r="T1661" t="s">
        <v>5983</v>
      </c>
      <c r="U1661" t="s">
        <v>5983</v>
      </c>
      <c r="V1661" t="s">
        <v>5983</v>
      </c>
      <c r="Y1661" t="s">
        <v>6948</v>
      </c>
      <c r="Z1661" t="s">
        <v>6949</v>
      </c>
      <c r="AA1661" t="s">
        <v>6950</v>
      </c>
      <c r="AB1661" t="s">
        <v>6951</v>
      </c>
      <c r="AC1661" t="s">
        <v>6952</v>
      </c>
      <c r="AD1661" t="s">
        <v>6953</v>
      </c>
    </row>
    <row r="1662" spans="1:30">
      <c r="A1662" t="s">
        <v>4604</v>
      </c>
      <c r="B1662" t="s">
        <v>5402</v>
      </c>
      <c r="C1662" t="s">
        <v>1025</v>
      </c>
      <c r="D1662" t="s">
        <v>6165</v>
      </c>
      <c r="E1662" t="s">
        <v>6003</v>
      </c>
      <c r="J1662" t="s">
        <v>6617</v>
      </c>
      <c r="M1662" t="e">
        <v>#N/A</v>
      </c>
      <c r="N1662" t="e">
        <v>#N/A</v>
      </c>
      <c r="O1662" t="e">
        <v>#N/A</v>
      </c>
      <c r="P1662" t="e">
        <v>#N/A</v>
      </c>
      <c r="R1662" t="e">
        <v>#N/A</v>
      </c>
      <c r="T1662" t="s">
        <v>5983</v>
      </c>
      <c r="U1662" t="s">
        <v>5983</v>
      </c>
      <c r="V1662" t="s">
        <v>5983</v>
      </c>
      <c r="Y1662" t="s">
        <v>6948</v>
      </c>
      <c r="Z1662" t="s">
        <v>6949</v>
      </c>
      <c r="AA1662" t="s">
        <v>6950</v>
      </c>
      <c r="AB1662" t="s">
        <v>6951</v>
      </c>
      <c r="AC1662" t="s">
        <v>6952</v>
      </c>
      <c r="AD1662" t="s">
        <v>6953</v>
      </c>
    </row>
    <row r="1663" spans="1:30">
      <c r="A1663">
        <v>11007052</v>
      </c>
      <c r="B1663" t="s">
        <v>5403</v>
      </c>
      <c r="C1663" t="s">
        <v>5861</v>
      </c>
      <c r="D1663" t="s">
        <v>6167</v>
      </c>
      <c r="E1663" t="s">
        <v>6005</v>
      </c>
      <c r="J1663" t="s">
        <v>6618</v>
      </c>
      <c r="M1663" t="e">
        <v>#N/A</v>
      </c>
      <c r="N1663" t="e">
        <v>#N/A</v>
      </c>
      <c r="O1663" t="e">
        <v>#N/A</v>
      </c>
      <c r="P1663" t="e">
        <v>#N/A</v>
      </c>
      <c r="R1663" t="e">
        <v>#N/A</v>
      </c>
      <c r="T1663" t="s">
        <v>5983</v>
      </c>
      <c r="U1663" t="s">
        <v>5983</v>
      </c>
      <c r="V1663" t="s">
        <v>5983</v>
      </c>
      <c r="Y1663" t="s">
        <v>6948</v>
      </c>
      <c r="Z1663" t="s">
        <v>6949</v>
      </c>
      <c r="AA1663" t="s">
        <v>6950</v>
      </c>
      <c r="AB1663" t="s">
        <v>6951</v>
      </c>
      <c r="AC1663" t="s">
        <v>6952</v>
      </c>
      <c r="AD1663" t="s">
        <v>6953</v>
      </c>
    </row>
    <row r="1664" spans="1:30">
      <c r="A1664" t="s">
        <v>4604</v>
      </c>
      <c r="B1664" t="s">
        <v>5404</v>
      </c>
      <c r="C1664" t="s">
        <v>5821</v>
      </c>
      <c r="D1664" t="s">
        <v>6167</v>
      </c>
      <c r="E1664" t="s">
        <v>6005</v>
      </c>
      <c r="J1664" t="s">
        <v>6619</v>
      </c>
      <c r="M1664" t="e">
        <v>#N/A</v>
      </c>
      <c r="N1664" t="e">
        <v>#N/A</v>
      </c>
      <c r="O1664" t="e">
        <v>#N/A</v>
      </c>
      <c r="P1664" t="e">
        <v>#N/A</v>
      </c>
      <c r="R1664" t="e">
        <v>#N/A</v>
      </c>
      <c r="T1664" t="s">
        <v>5983</v>
      </c>
      <c r="U1664" t="s">
        <v>5983</v>
      </c>
      <c r="V1664" t="s">
        <v>5983</v>
      </c>
      <c r="Y1664" t="s">
        <v>6948</v>
      </c>
      <c r="Z1664" t="s">
        <v>6949</v>
      </c>
      <c r="AA1664" t="s">
        <v>6950</v>
      </c>
      <c r="AB1664" t="s">
        <v>6951</v>
      </c>
      <c r="AC1664" t="s">
        <v>6952</v>
      </c>
      <c r="AD1664" t="s">
        <v>6953</v>
      </c>
    </row>
    <row r="1665" spans="1:30">
      <c r="A1665">
        <v>11007049</v>
      </c>
      <c r="B1665" t="s">
        <v>5405</v>
      </c>
      <c r="C1665" t="s">
        <v>1179</v>
      </c>
      <c r="D1665" t="s">
        <v>6167</v>
      </c>
      <c r="E1665" t="s">
        <v>6005</v>
      </c>
      <c r="J1665" t="s">
        <v>6620</v>
      </c>
      <c r="M1665" t="e">
        <v>#N/A</v>
      </c>
      <c r="N1665" t="e">
        <v>#N/A</v>
      </c>
      <c r="O1665" t="e">
        <v>#N/A</v>
      </c>
      <c r="P1665" t="e">
        <v>#N/A</v>
      </c>
      <c r="R1665" t="e">
        <v>#N/A</v>
      </c>
      <c r="T1665" t="s">
        <v>5983</v>
      </c>
      <c r="U1665" t="s">
        <v>5983</v>
      </c>
      <c r="V1665" t="s">
        <v>5983</v>
      </c>
      <c r="Y1665" t="s">
        <v>6948</v>
      </c>
      <c r="Z1665" t="s">
        <v>6949</v>
      </c>
      <c r="AA1665" t="s">
        <v>6950</v>
      </c>
      <c r="AB1665" t="s">
        <v>6951</v>
      </c>
      <c r="AC1665" t="s">
        <v>6952</v>
      </c>
      <c r="AD1665" t="s">
        <v>6953</v>
      </c>
    </row>
    <row r="1666" spans="1:30">
      <c r="A1666" t="s">
        <v>4604</v>
      </c>
      <c r="B1666" t="s">
        <v>5406</v>
      </c>
      <c r="C1666" t="s">
        <v>5862</v>
      </c>
      <c r="D1666" t="s">
        <v>6167</v>
      </c>
      <c r="E1666" t="s">
        <v>6005</v>
      </c>
      <c r="J1666" t="s">
        <v>6621</v>
      </c>
      <c r="M1666" t="e">
        <v>#N/A</v>
      </c>
      <c r="N1666" t="e">
        <v>#N/A</v>
      </c>
      <c r="O1666" t="e">
        <v>#N/A</v>
      </c>
      <c r="P1666" t="e">
        <v>#N/A</v>
      </c>
      <c r="R1666" t="e">
        <v>#N/A</v>
      </c>
      <c r="T1666" t="s">
        <v>5983</v>
      </c>
      <c r="U1666" t="s">
        <v>5983</v>
      </c>
      <c r="V1666" t="s">
        <v>5983</v>
      </c>
      <c r="Y1666" t="s">
        <v>6948</v>
      </c>
      <c r="Z1666" t="s">
        <v>6949</v>
      </c>
      <c r="AA1666" t="s">
        <v>6950</v>
      </c>
      <c r="AB1666" t="s">
        <v>6951</v>
      </c>
      <c r="AC1666" t="s">
        <v>6952</v>
      </c>
      <c r="AD1666" t="s">
        <v>6953</v>
      </c>
    </row>
    <row r="1667" spans="1:30">
      <c r="A1667" t="s">
        <v>4604</v>
      </c>
      <c r="B1667" t="s">
        <v>5407</v>
      </c>
      <c r="C1667" t="s">
        <v>5863</v>
      </c>
      <c r="D1667" t="s">
        <v>6167</v>
      </c>
      <c r="E1667" t="s">
        <v>6005</v>
      </c>
      <c r="J1667" t="s">
        <v>6622</v>
      </c>
      <c r="M1667" t="e">
        <v>#N/A</v>
      </c>
      <c r="N1667" t="e">
        <v>#N/A</v>
      </c>
      <c r="O1667" t="e">
        <v>#N/A</v>
      </c>
      <c r="P1667" t="e">
        <v>#N/A</v>
      </c>
      <c r="R1667" t="e">
        <v>#N/A</v>
      </c>
      <c r="T1667" t="s">
        <v>5983</v>
      </c>
      <c r="U1667" t="s">
        <v>5983</v>
      </c>
      <c r="V1667" t="s">
        <v>5983</v>
      </c>
      <c r="Y1667" t="s">
        <v>6948</v>
      </c>
      <c r="Z1667" t="s">
        <v>6949</v>
      </c>
      <c r="AA1667" t="s">
        <v>6950</v>
      </c>
      <c r="AB1667" t="s">
        <v>6951</v>
      </c>
      <c r="AC1667" t="s">
        <v>6952</v>
      </c>
      <c r="AD1667" t="s">
        <v>6953</v>
      </c>
    </row>
    <row r="1668" spans="1:30">
      <c r="A1668">
        <v>11007045</v>
      </c>
      <c r="B1668" t="s">
        <v>5408</v>
      </c>
      <c r="C1668" t="s">
        <v>5865</v>
      </c>
      <c r="D1668" t="s">
        <v>6167</v>
      </c>
      <c r="E1668" t="s">
        <v>6005</v>
      </c>
      <c r="J1668" t="s">
        <v>6623</v>
      </c>
      <c r="M1668" t="e">
        <v>#N/A</v>
      </c>
      <c r="N1668" t="e">
        <v>#N/A</v>
      </c>
      <c r="O1668" t="e">
        <v>#N/A</v>
      </c>
      <c r="P1668" t="e">
        <v>#N/A</v>
      </c>
      <c r="R1668" t="e">
        <v>#N/A</v>
      </c>
      <c r="T1668" t="s">
        <v>5983</v>
      </c>
      <c r="U1668" t="s">
        <v>5983</v>
      </c>
      <c r="V1668" t="s">
        <v>5983</v>
      </c>
      <c r="Y1668" t="s">
        <v>6948</v>
      </c>
      <c r="Z1668" t="s">
        <v>6949</v>
      </c>
      <c r="AA1668" t="s">
        <v>6950</v>
      </c>
      <c r="AB1668" t="s">
        <v>6951</v>
      </c>
      <c r="AC1668" t="s">
        <v>6952</v>
      </c>
      <c r="AD1668" t="s">
        <v>6953</v>
      </c>
    </row>
    <row r="1669" spans="1:30">
      <c r="A1669">
        <v>11007043</v>
      </c>
      <c r="B1669" t="s">
        <v>5409</v>
      </c>
      <c r="C1669" t="s">
        <v>1180</v>
      </c>
      <c r="D1669" t="s">
        <v>6167</v>
      </c>
      <c r="E1669" t="s">
        <v>6005</v>
      </c>
      <c r="J1669" t="s">
        <v>6625</v>
      </c>
      <c r="M1669" t="e">
        <v>#N/A</v>
      </c>
      <c r="N1669" t="e">
        <v>#N/A</v>
      </c>
      <c r="O1669" t="e">
        <v>#N/A</v>
      </c>
      <c r="P1669" t="e">
        <v>#N/A</v>
      </c>
      <c r="R1669" t="e">
        <v>#N/A</v>
      </c>
      <c r="T1669" t="s">
        <v>5983</v>
      </c>
      <c r="U1669" t="s">
        <v>5983</v>
      </c>
      <c r="V1669" t="s">
        <v>5983</v>
      </c>
      <c r="Y1669" t="s">
        <v>6948</v>
      </c>
      <c r="Z1669" t="s">
        <v>6949</v>
      </c>
      <c r="AA1669" t="s">
        <v>6950</v>
      </c>
      <c r="AB1669" t="s">
        <v>6951</v>
      </c>
      <c r="AC1669" t="s">
        <v>6952</v>
      </c>
      <c r="AD1669" t="s">
        <v>6953</v>
      </c>
    </row>
    <row r="1670" spans="1:30">
      <c r="A1670">
        <v>11007041</v>
      </c>
      <c r="B1670" t="s">
        <v>5410</v>
      </c>
      <c r="C1670" t="s">
        <v>5866</v>
      </c>
      <c r="D1670" t="s">
        <v>6167</v>
      </c>
      <c r="E1670" t="s">
        <v>6005</v>
      </c>
      <c r="J1670" t="s">
        <v>6626</v>
      </c>
      <c r="M1670" t="e">
        <v>#N/A</v>
      </c>
      <c r="N1670" t="e">
        <v>#N/A</v>
      </c>
      <c r="O1670" t="e">
        <v>#N/A</v>
      </c>
      <c r="P1670" t="e">
        <v>#N/A</v>
      </c>
      <c r="R1670" t="e">
        <v>#N/A</v>
      </c>
      <c r="T1670" t="s">
        <v>5983</v>
      </c>
      <c r="U1670" t="s">
        <v>5983</v>
      </c>
      <c r="V1670" t="s">
        <v>5983</v>
      </c>
      <c r="Y1670" t="s">
        <v>6948</v>
      </c>
      <c r="Z1670" t="s">
        <v>6949</v>
      </c>
      <c r="AA1670" t="s">
        <v>6950</v>
      </c>
      <c r="AB1670" t="s">
        <v>6951</v>
      </c>
      <c r="AC1670" t="s">
        <v>6952</v>
      </c>
      <c r="AD1670" t="s">
        <v>6953</v>
      </c>
    </row>
    <row r="1671" spans="1:30">
      <c r="A1671">
        <v>11007039</v>
      </c>
      <c r="B1671" t="s">
        <v>5411</v>
      </c>
      <c r="C1671" t="s">
        <v>5868</v>
      </c>
      <c r="D1671" t="s">
        <v>6167</v>
      </c>
      <c r="E1671" t="s">
        <v>6005</v>
      </c>
      <c r="J1671" t="s">
        <v>6628</v>
      </c>
      <c r="M1671" t="e">
        <v>#N/A</v>
      </c>
      <c r="N1671" t="e">
        <v>#N/A</v>
      </c>
      <c r="O1671" t="e">
        <v>#N/A</v>
      </c>
      <c r="P1671" t="e">
        <v>#N/A</v>
      </c>
      <c r="R1671" t="e">
        <v>#N/A</v>
      </c>
      <c r="T1671" t="s">
        <v>5983</v>
      </c>
      <c r="U1671" t="s">
        <v>5983</v>
      </c>
      <c r="V1671" t="s">
        <v>5983</v>
      </c>
      <c r="Y1671" t="s">
        <v>6948</v>
      </c>
      <c r="Z1671" t="s">
        <v>6949</v>
      </c>
      <c r="AA1671" t="s">
        <v>6950</v>
      </c>
      <c r="AB1671" t="s">
        <v>6951</v>
      </c>
      <c r="AC1671" t="s">
        <v>6952</v>
      </c>
      <c r="AD1671" t="s">
        <v>6953</v>
      </c>
    </row>
    <row r="1672" spans="1:30">
      <c r="A1672" t="s">
        <v>4604</v>
      </c>
      <c r="B1672" t="s">
        <v>5412</v>
      </c>
      <c r="C1672" t="s">
        <v>1030</v>
      </c>
      <c r="D1672" t="s">
        <v>6167</v>
      </c>
      <c r="E1672" t="s">
        <v>6005</v>
      </c>
      <c r="J1672" t="s">
        <v>6629</v>
      </c>
      <c r="M1672" t="e">
        <v>#N/A</v>
      </c>
      <c r="N1672" t="e">
        <v>#N/A</v>
      </c>
      <c r="O1672" t="e">
        <v>#N/A</v>
      </c>
      <c r="P1672" t="e">
        <v>#N/A</v>
      </c>
      <c r="R1672" t="e">
        <v>#N/A</v>
      </c>
      <c r="T1672" t="s">
        <v>5983</v>
      </c>
      <c r="U1672" t="s">
        <v>5983</v>
      </c>
      <c r="V1672" t="s">
        <v>5983</v>
      </c>
      <c r="Y1672" t="s">
        <v>6948</v>
      </c>
      <c r="Z1672" t="s">
        <v>6949</v>
      </c>
      <c r="AA1672" t="s">
        <v>6950</v>
      </c>
      <c r="AB1672" t="s">
        <v>6951</v>
      </c>
      <c r="AC1672" t="s">
        <v>6952</v>
      </c>
      <c r="AD1672" t="s">
        <v>6953</v>
      </c>
    </row>
    <row r="1673" spans="1:30">
      <c r="A1673" t="s">
        <v>4604</v>
      </c>
      <c r="B1673" t="s">
        <v>5413</v>
      </c>
      <c r="C1673" t="s">
        <v>5869</v>
      </c>
      <c r="D1673" t="s">
        <v>6167</v>
      </c>
      <c r="E1673" t="s">
        <v>6005</v>
      </c>
      <c r="J1673" t="s">
        <v>6862</v>
      </c>
      <c r="M1673" t="e">
        <v>#N/A</v>
      </c>
      <c r="N1673" t="e">
        <v>#N/A</v>
      </c>
      <c r="O1673" t="e">
        <v>#N/A</v>
      </c>
      <c r="P1673" t="e">
        <v>#N/A</v>
      </c>
      <c r="R1673" t="e">
        <v>#N/A</v>
      </c>
      <c r="T1673" t="s">
        <v>5983</v>
      </c>
      <c r="U1673" t="s">
        <v>5983</v>
      </c>
      <c r="V1673" t="s">
        <v>5983</v>
      </c>
      <c r="Y1673" t="s">
        <v>6948</v>
      </c>
      <c r="Z1673" t="s">
        <v>6949</v>
      </c>
      <c r="AA1673" t="s">
        <v>6950</v>
      </c>
      <c r="AB1673" t="s">
        <v>6951</v>
      </c>
      <c r="AC1673" t="s">
        <v>6952</v>
      </c>
      <c r="AD1673" t="s">
        <v>6953</v>
      </c>
    </row>
    <row r="1674" spans="1:30">
      <c r="A1674" t="s">
        <v>4604</v>
      </c>
      <c r="B1674" t="s">
        <v>5414</v>
      </c>
      <c r="C1674" t="s">
        <v>1032</v>
      </c>
      <c r="D1674" t="s">
        <v>6167</v>
      </c>
      <c r="E1674" t="s">
        <v>6005</v>
      </c>
      <c r="J1674" t="s">
        <v>6864</v>
      </c>
      <c r="M1674" t="e">
        <v>#N/A</v>
      </c>
      <c r="N1674" t="e">
        <v>#N/A</v>
      </c>
      <c r="O1674" t="e">
        <v>#N/A</v>
      </c>
      <c r="P1674" t="e">
        <v>#N/A</v>
      </c>
      <c r="R1674" t="e">
        <v>#N/A</v>
      </c>
      <c r="T1674" t="s">
        <v>5983</v>
      </c>
      <c r="U1674" t="s">
        <v>5983</v>
      </c>
      <c r="V1674" t="s">
        <v>5983</v>
      </c>
      <c r="Y1674" t="s">
        <v>6948</v>
      </c>
      <c r="Z1674" t="s">
        <v>6949</v>
      </c>
      <c r="AA1674" t="s">
        <v>6950</v>
      </c>
      <c r="AB1674" t="s">
        <v>6951</v>
      </c>
      <c r="AC1674" t="s">
        <v>6952</v>
      </c>
      <c r="AD1674" t="s">
        <v>6953</v>
      </c>
    </row>
    <row r="1675" spans="1:30">
      <c r="A1675" t="s">
        <v>4604</v>
      </c>
      <c r="B1675" t="s">
        <v>5415</v>
      </c>
      <c r="C1675" t="s">
        <v>5870</v>
      </c>
      <c r="D1675" t="s">
        <v>6177</v>
      </c>
      <c r="E1675" t="s">
        <v>5995</v>
      </c>
      <c r="J1675" t="s">
        <v>6635</v>
      </c>
      <c r="M1675" t="e">
        <v>#N/A</v>
      </c>
      <c r="N1675" t="e">
        <v>#N/A</v>
      </c>
      <c r="O1675" t="e">
        <v>#N/A</v>
      </c>
      <c r="P1675" t="e">
        <v>#N/A</v>
      </c>
      <c r="R1675" t="e">
        <v>#N/A</v>
      </c>
      <c r="T1675" t="s">
        <v>5983</v>
      </c>
      <c r="U1675" t="s">
        <v>5983</v>
      </c>
      <c r="V1675" t="s">
        <v>5983</v>
      </c>
      <c r="Y1675" t="s">
        <v>6948</v>
      </c>
      <c r="Z1675" t="s">
        <v>6949</v>
      </c>
      <c r="AA1675" t="s">
        <v>6950</v>
      </c>
      <c r="AB1675" t="s">
        <v>6951</v>
      </c>
      <c r="AC1675" t="s">
        <v>6952</v>
      </c>
      <c r="AD1675" t="s">
        <v>6953</v>
      </c>
    </row>
    <row r="1676" spans="1:30">
      <c r="A1676" t="s">
        <v>4604</v>
      </c>
      <c r="B1676" t="s">
        <v>5416</v>
      </c>
      <c r="C1676" t="s">
        <v>5871</v>
      </c>
      <c r="D1676" t="s">
        <v>6177</v>
      </c>
      <c r="E1676" t="s">
        <v>6009</v>
      </c>
      <c r="J1676" t="s">
        <v>6636</v>
      </c>
      <c r="M1676" t="e">
        <v>#N/A</v>
      </c>
      <c r="N1676" t="e">
        <v>#N/A</v>
      </c>
      <c r="O1676" t="e">
        <v>#N/A</v>
      </c>
      <c r="P1676" t="e">
        <v>#N/A</v>
      </c>
      <c r="R1676" t="e">
        <v>#N/A</v>
      </c>
      <c r="T1676" t="s">
        <v>5983</v>
      </c>
      <c r="U1676" t="s">
        <v>5983</v>
      </c>
      <c r="V1676" t="s">
        <v>5983</v>
      </c>
      <c r="Y1676" t="s">
        <v>6948</v>
      </c>
      <c r="Z1676" t="s">
        <v>6949</v>
      </c>
      <c r="AA1676" t="s">
        <v>6950</v>
      </c>
      <c r="AB1676" t="s">
        <v>6951</v>
      </c>
      <c r="AC1676" t="s">
        <v>6952</v>
      </c>
      <c r="AD1676" t="s">
        <v>6953</v>
      </c>
    </row>
    <row r="1677" spans="1:30">
      <c r="A1677" t="s">
        <v>4604</v>
      </c>
      <c r="B1677" t="s">
        <v>5417</v>
      </c>
      <c r="C1677" t="s">
        <v>5872</v>
      </c>
      <c r="D1677" t="s">
        <v>6177</v>
      </c>
      <c r="E1677" t="s">
        <v>6009</v>
      </c>
      <c r="J1677" t="s">
        <v>6637</v>
      </c>
      <c r="M1677" t="e">
        <v>#N/A</v>
      </c>
      <c r="N1677" t="e">
        <v>#N/A</v>
      </c>
      <c r="O1677" t="e">
        <v>#N/A</v>
      </c>
      <c r="P1677" t="e">
        <v>#N/A</v>
      </c>
      <c r="R1677" t="e">
        <v>#N/A</v>
      </c>
      <c r="T1677" t="s">
        <v>5983</v>
      </c>
      <c r="U1677" t="s">
        <v>5983</v>
      </c>
      <c r="V1677" t="s">
        <v>5983</v>
      </c>
      <c r="Y1677" t="s">
        <v>6948</v>
      </c>
      <c r="Z1677" t="s">
        <v>6949</v>
      </c>
      <c r="AA1677" t="s">
        <v>6950</v>
      </c>
      <c r="AB1677" t="s">
        <v>6951</v>
      </c>
      <c r="AC1677" t="s">
        <v>6952</v>
      </c>
      <c r="AD1677" t="s">
        <v>6953</v>
      </c>
    </row>
    <row r="1678" spans="1:30">
      <c r="A1678">
        <v>11007028</v>
      </c>
      <c r="B1678" t="s">
        <v>5418</v>
      </c>
      <c r="C1678" t="s">
        <v>5874</v>
      </c>
      <c r="D1678" t="s">
        <v>6170</v>
      </c>
      <c r="E1678" t="s">
        <v>6011</v>
      </c>
      <c r="J1678" t="s">
        <v>6638</v>
      </c>
      <c r="M1678" t="e">
        <v>#N/A</v>
      </c>
      <c r="N1678" t="e">
        <v>#N/A</v>
      </c>
      <c r="O1678" t="e">
        <v>#N/A</v>
      </c>
      <c r="P1678" t="e">
        <v>#N/A</v>
      </c>
      <c r="R1678" t="e">
        <v>#N/A</v>
      </c>
      <c r="T1678" t="s">
        <v>5983</v>
      </c>
      <c r="U1678" t="s">
        <v>5983</v>
      </c>
      <c r="V1678" t="s">
        <v>5983</v>
      </c>
      <c r="Y1678" t="s">
        <v>6948</v>
      </c>
      <c r="Z1678" t="s">
        <v>6949</v>
      </c>
      <c r="AA1678" t="s">
        <v>6950</v>
      </c>
      <c r="AB1678" t="s">
        <v>6951</v>
      </c>
      <c r="AC1678" t="s">
        <v>6952</v>
      </c>
      <c r="AD1678" t="s">
        <v>6953</v>
      </c>
    </row>
    <row r="1679" spans="1:30">
      <c r="A1679">
        <v>11007026</v>
      </c>
      <c r="B1679" t="s">
        <v>5419</v>
      </c>
      <c r="C1679" t="s">
        <v>5875</v>
      </c>
      <c r="D1679" t="s">
        <v>6170</v>
      </c>
      <c r="E1679" t="s">
        <v>6011</v>
      </c>
      <c r="J1679" t="s">
        <v>6639</v>
      </c>
      <c r="M1679" t="e">
        <v>#N/A</v>
      </c>
      <c r="N1679" t="e">
        <v>#N/A</v>
      </c>
      <c r="O1679" t="e">
        <v>#N/A</v>
      </c>
      <c r="P1679" t="e">
        <v>#N/A</v>
      </c>
      <c r="R1679" t="e">
        <v>#N/A</v>
      </c>
      <c r="T1679" t="s">
        <v>5983</v>
      </c>
      <c r="U1679" t="s">
        <v>5983</v>
      </c>
      <c r="V1679" t="s">
        <v>5983</v>
      </c>
      <c r="Y1679" t="s">
        <v>6948</v>
      </c>
      <c r="Z1679" t="s">
        <v>6949</v>
      </c>
      <c r="AA1679" t="s">
        <v>6950</v>
      </c>
      <c r="AB1679" t="s">
        <v>6951</v>
      </c>
      <c r="AC1679" t="s">
        <v>6952</v>
      </c>
      <c r="AD1679" t="s">
        <v>6953</v>
      </c>
    </row>
    <row r="1680" spans="1:30">
      <c r="A1680" t="s">
        <v>4604</v>
      </c>
      <c r="B1680" t="s">
        <v>5420</v>
      </c>
      <c r="C1680" t="s">
        <v>1033</v>
      </c>
      <c r="D1680" t="s">
        <v>6170</v>
      </c>
      <c r="E1680" t="s">
        <v>6011</v>
      </c>
      <c r="J1680" t="s">
        <v>6640</v>
      </c>
      <c r="M1680" t="e">
        <v>#N/A</v>
      </c>
      <c r="N1680" t="e">
        <v>#N/A</v>
      </c>
      <c r="O1680" t="e">
        <v>#N/A</v>
      </c>
      <c r="P1680" t="e">
        <v>#N/A</v>
      </c>
      <c r="R1680" t="e">
        <v>#N/A</v>
      </c>
      <c r="T1680" t="s">
        <v>5983</v>
      </c>
      <c r="U1680" t="s">
        <v>5983</v>
      </c>
      <c r="V1680" t="s">
        <v>5983</v>
      </c>
      <c r="Y1680" t="s">
        <v>6948</v>
      </c>
      <c r="Z1680" t="s">
        <v>6949</v>
      </c>
      <c r="AA1680" t="s">
        <v>6950</v>
      </c>
      <c r="AB1680" t="s">
        <v>6951</v>
      </c>
      <c r="AC1680" t="s">
        <v>6952</v>
      </c>
      <c r="AD1680" t="s">
        <v>6953</v>
      </c>
    </row>
    <row r="1681" spans="1:30">
      <c r="A1681" t="s">
        <v>4604</v>
      </c>
      <c r="B1681" t="s">
        <v>5421</v>
      </c>
      <c r="C1681" t="s">
        <v>1034</v>
      </c>
      <c r="D1681" t="s">
        <v>6170</v>
      </c>
      <c r="E1681" t="s">
        <v>6011</v>
      </c>
      <c r="J1681" t="s">
        <v>6641</v>
      </c>
      <c r="M1681" t="e">
        <v>#N/A</v>
      </c>
      <c r="N1681" t="e">
        <v>#N/A</v>
      </c>
      <c r="O1681" t="e">
        <v>#N/A</v>
      </c>
      <c r="P1681" t="e">
        <v>#N/A</v>
      </c>
      <c r="R1681" t="e">
        <v>#N/A</v>
      </c>
      <c r="T1681" t="s">
        <v>5983</v>
      </c>
      <c r="U1681" t="s">
        <v>5983</v>
      </c>
      <c r="V1681" t="s">
        <v>5983</v>
      </c>
      <c r="Y1681" t="s">
        <v>6948</v>
      </c>
      <c r="Z1681" t="s">
        <v>6949</v>
      </c>
      <c r="AA1681" t="s">
        <v>6950</v>
      </c>
      <c r="AB1681" t="s">
        <v>6951</v>
      </c>
      <c r="AC1681" t="s">
        <v>6952</v>
      </c>
      <c r="AD1681" t="s">
        <v>6953</v>
      </c>
    </row>
    <row r="1682" spans="1:30">
      <c r="A1682">
        <v>11007021</v>
      </c>
      <c r="B1682" t="s">
        <v>5422</v>
      </c>
      <c r="C1682" t="s">
        <v>5876</v>
      </c>
      <c r="D1682" t="s">
        <v>6178</v>
      </c>
      <c r="E1682" t="s">
        <v>6015</v>
      </c>
      <c r="J1682" t="s">
        <v>6643</v>
      </c>
      <c r="M1682" t="e">
        <v>#N/A</v>
      </c>
      <c r="N1682" t="e">
        <v>#N/A</v>
      </c>
      <c r="O1682" t="e">
        <v>#N/A</v>
      </c>
      <c r="P1682" t="e">
        <v>#N/A</v>
      </c>
      <c r="R1682" t="e">
        <v>#N/A</v>
      </c>
      <c r="T1682" t="s">
        <v>5983</v>
      </c>
      <c r="U1682" t="s">
        <v>5983</v>
      </c>
      <c r="V1682" t="s">
        <v>5983</v>
      </c>
      <c r="Y1682" t="s">
        <v>6948</v>
      </c>
      <c r="Z1682" t="s">
        <v>6949</v>
      </c>
      <c r="AA1682" t="s">
        <v>6950</v>
      </c>
      <c r="AB1682" t="s">
        <v>6951</v>
      </c>
      <c r="AC1682" t="s">
        <v>6952</v>
      </c>
      <c r="AD1682" t="s">
        <v>6953</v>
      </c>
    </row>
    <row r="1683" spans="1:30">
      <c r="A1683">
        <v>11007019</v>
      </c>
      <c r="B1683" t="s">
        <v>5423</v>
      </c>
      <c r="C1683" t="s">
        <v>5877</v>
      </c>
      <c r="D1683" t="s">
        <v>6171</v>
      </c>
      <c r="E1683" t="s">
        <v>6015</v>
      </c>
      <c r="J1683" t="s">
        <v>6644</v>
      </c>
      <c r="M1683" t="e">
        <v>#N/A</v>
      </c>
      <c r="N1683" t="e">
        <v>#N/A</v>
      </c>
      <c r="O1683" t="e">
        <v>#N/A</v>
      </c>
      <c r="P1683" t="e">
        <v>#N/A</v>
      </c>
      <c r="R1683" t="e">
        <v>#N/A</v>
      </c>
      <c r="T1683" t="s">
        <v>5983</v>
      </c>
      <c r="U1683" t="s">
        <v>5983</v>
      </c>
      <c r="V1683" t="s">
        <v>5983</v>
      </c>
      <c r="Y1683" t="s">
        <v>6948</v>
      </c>
      <c r="Z1683" t="s">
        <v>6949</v>
      </c>
      <c r="AA1683" t="s">
        <v>6950</v>
      </c>
      <c r="AB1683" t="s">
        <v>6951</v>
      </c>
      <c r="AC1683" t="s">
        <v>6952</v>
      </c>
      <c r="AD1683" t="s">
        <v>6953</v>
      </c>
    </row>
    <row r="1684" spans="1:30">
      <c r="A1684">
        <v>11007017</v>
      </c>
      <c r="B1684" t="s">
        <v>5424</v>
      </c>
      <c r="C1684" t="s">
        <v>1112</v>
      </c>
      <c r="D1684" t="s">
        <v>6171</v>
      </c>
      <c r="E1684" t="s">
        <v>6015</v>
      </c>
      <c r="J1684" t="s">
        <v>6645</v>
      </c>
      <c r="M1684" t="e">
        <v>#N/A</v>
      </c>
      <c r="N1684" t="e">
        <v>#N/A</v>
      </c>
      <c r="O1684" t="e">
        <v>#N/A</v>
      </c>
      <c r="P1684" t="e">
        <v>#N/A</v>
      </c>
      <c r="R1684" t="e">
        <v>#N/A</v>
      </c>
      <c r="T1684" t="s">
        <v>5983</v>
      </c>
      <c r="U1684" t="s">
        <v>5983</v>
      </c>
      <c r="V1684" t="s">
        <v>5983</v>
      </c>
      <c r="Y1684" t="s">
        <v>6948</v>
      </c>
      <c r="Z1684" t="s">
        <v>6949</v>
      </c>
      <c r="AA1684" t="s">
        <v>6950</v>
      </c>
      <c r="AB1684" t="s">
        <v>6951</v>
      </c>
      <c r="AC1684" t="s">
        <v>6952</v>
      </c>
      <c r="AD1684" t="s">
        <v>6953</v>
      </c>
    </row>
    <row r="1685" spans="1:30">
      <c r="A1685" t="s">
        <v>4604</v>
      </c>
      <c r="B1685" t="s">
        <v>5425</v>
      </c>
      <c r="C1685" t="s">
        <v>5733</v>
      </c>
      <c r="D1685" t="s">
        <v>6171</v>
      </c>
      <c r="E1685" t="s">
        <v>6015</v>
      </c>
      <c r="J1685" t="s">
        <v>6865</v>
      </c>
      <c r="M1685" t="e">
        <v>#N/A</v>
      </c>
      <c r="N1685" t="e">
        <v>#N/A</v>
      </c>
      <c r="O1685" t="e">
        <v>#N/A</v>
      </c>
      <c r="P1685" t="e">
        <v>#N/A</v>
      </c>
      <c r="R1685" t="e">
        <v>#N/A</v>
      </c>
      <c r="T1685" t="s">
        <v>5983</v>
      </c>
      <c r="U1685" t="s">
        <v>5983</v>
      </c>
      <c r="V1685" t="s">
        <v>5983</v>
      </c>
      <c r="Y1685" t="s">
        <v>6948</v>
      </c>
      <c r="Z1685" t="s">
        <v>6949</v>
      </c>
      <c r="AA1685" t="s">
        <v>6950</v>
      </c>
      <c r="AB1685" t="s">
        <v>6951</v>
      </c>
      <c r="AC1685" t="s">
        <v>6952</v>
      </c>
      <c r="AD1685" t="s">
        <v>6953</v>
      </c>
    </row>
    <row r="1686" spans="1:30">
      <c r="A1686" t="s">
        <v>4604</v>
      </c>
      <c r="B1686" t="s">
        <v>5426</v>
      </c>
      <c r="C1686" t="s">
        <v>5878</v>
      </c>
      <c r="D1686" t="s">
        <v>6173</v>
      </c>
      <c r="E1686" t="s">
        <v>6019</v>
      </c>
      <c r="J1686" t="s">
        <v>6858</v>
      </c>
      <c r="M1686" t="e">
        <v>#N/A</v>
      </c>
      <c r="N1686" t="e">
        <v>#N/A</v>
      </c>
      <c r="O1686" t="e">
        <v>#N/A</v>
      </c>
      <c r="P1686" t="e">
        <v>#N/A</v>
      </c>
      <c r="R1686" t="e">
        <v>#N/A</v>
      </c>
      <c r="T1686" t="s">
        <v>5983</v>
      </c>
      <c r="U1686" t="s">
        <v>5983</v>
      </c>
      <c r="V1686" t="s">
        <v>5983</v>
      </c>
      <c r="Y1686" t="s">
        <v>6948</v>
      </c>
      <c r="Z1686" t="s">
        <v>6949</v>
      </c>
      <c r="AA1686" t="s">
        <v>6950</v>
      </c>
      <c r="AB1686" t="s">
        <v>6951</v>
      </c>
      <c r="AC1686" t="s">
        <v>6952</v>
      </c>
      <c r="AD1686" t="s">
        <v>6953</v>
      </c>
    </row>
    <row r="1687" spans="1:30">
      <c r="A1687" t="s">
        <v>4604</v>
      </c>
      <c r="B1687" t="s">
        <v>5427</v>
      </c>
      <c r="C1687" t="s">
        <v>5879</v>
      </c>
      <c r="D1687" t="s">
        <v>6173</v>
      </c>
      <c r="E1687" t="s">
        <v>6019</v>
      </c>
      <c r="J1687" t="s">
        <v>6863</v>
      </c>
      <c r="M1687" t="e">
        <v>#N/A</v>
      </c>
      <c r="N1687" t="e">
        <v>#N/A</v>
      </c>
      <c r="O1687" t="e">
        <v>#N/A</v>
      </c>
      <c r="P1687" t="e">
        <v>#N/A</v>
      </c>
      <c r="R1687" t="e">
        <v>#N/A</v>
      </c>
      <c r="T1687" t="s">
        <v>5983</v>
      </c>
      <c r="U1687" t="s">
        <v>5983</v>
      </c>
      <c r="V1687" t="s">
        <v>5983</v>
      </c>
      <c r="Y1687" t="s">
        <v>6948</v>
      </c>
      <c r="Z1687" t="s">
        <v>6949</v>
      </c>
      <c r="AA1687" t="s">
        <v>6950</v>
      </c>
      <c r="AB1687" t="s">
        <v>6951</v>
      </c>
      <c r="AC1687" t="s">
        <v>6952</v>
      </c>
      <c r="AD1687" t="s">
        <v>6953</v>
      </c>
    </row>
    <row r="1688" spans="1:30">
      <c r="A1688" t="s">
        <v>4604</v>
      </c>
      <c r="B1688" t="s">
        <v>5428</v>
      </c>
      <c r="C1688" t="s">
        <v>5880</v>
      </c>
      <c r="D1688" t="s">
        <v>6173</v>
      </c>
      <c r="E1688" t="s">
        <v>6019</v>
      </c>
      <c r="J1688" t="s">
        <v>6651</v>
      </c>
      <c r="M1688" t="e">
        <v>#N/A</v>
      </c>
      <c r="N1688" t="e">
        <v>#N/A</v>
      </c>
      <c r="O1688" t="e">
        <v>#N/A</v>
      </c>
      <c r="P1688" t="e">
        <v>#N/A</v>
      </c>
      <c r="R1688" t="e">
        <v>#N/A</v>
      </c>
      <c r="T1688" t="s">
        <v>5983</v>
      </c>
      <c r="U1688" t="s">
        <v>5983</v>
      </c>
      <c r="V1688" t="s">
        <v>5983</v>
      </c>
      <c r="Y1688" t="s">
        <v>6948</v>
      </c>
      <c r="Z1688" t="s">
        <v>6949</v>
      </c>
      <c r="AA1688" t="s">
        <v>6950</v>
      </c>
      <c r="AB1688" t="s">
        <v>6951</v>
      </c>
      <c r="AC1688" t="s">
        <v>6952</v>
      </c>
      <c r="AD1688" t="s">
        <v>6953</v>
      </c>
    </row>
    <row r="1689" spans="1:30">
      <c r="A1689">
        <v>11007009</v>
      </c>
      <c r="B1689" t="s">
        <v>5429</v>
      </c>
      <c r="C1689" t="s">
        <v>5882</v>
      </c>
      <c r="D1689" t="s">
        <v>6173</v>
      </c>
      <c r="E1689" t="s">
        <v>6019</v>
      </c>
      <c r="J1689" t="s">
        <v>6652</v>
      </c>
      <c r="M1689" t="e">
        <v>#N/A</v>
      </c>
      <c r="N1689" t="e">
        <v>#N/A</v>
      </c>
      <c r="O1689" t="e">
        <v>#N/A</v>
      </c>
      <c r="P1689" t="e">
        <v>#N/A</v>
      </c>
      <c r="R1689" t="e">
        <v>#N/A</v>
      </c>
      <c r="T1689" t="s">
        <v>5983</v>
      </c>
      <c r="U1689" t="s">
        <v>5983</v>
      </c>
      <c r="V1689" t="s">
        <v>5983</v>
      </c>
      <c r="Y1689" t="s">
        <v>6948</v>
      </c>
      <c r="Z1689" t="s">
        <v>6949</v>
      </c>
      <c r="AA1689" t="s">
        <v>6950</v>
      </c>
      <c r="AB1689" t="s">
        <v>6951</v>
      </c>
      <c r="AC1689" t="s">
        <v>6952</v>
      </c>
      <c r="AD1689" t="s">
        <v>6953</v>
      </c>
    </row>
    <row r="1690" spans="1:30">
      <c r="A1690" t="s">
        <v>4604</v>
      </c>
      <c r="B1690" t="s">
        <v>5430</v>
      </c>
      <c r="C1690" t="s">
        <v>5884</v>
      </c>
      <c r="D1690" t="s">
        <v>6173</v>
      </c>
      <c r="E1690" t="s">
        <v>6019</v>
      </c>
      <c r="J1690" t="s">
        <v>6653</v>
      </c>
      <c r="M1690" t="e">
        <v>#N/A</v>
      </c>
      <c r="N1690" t="e">
        <v>#N/A</v>
      </c>
      <c r="O1690" t="e">
        <v>#N/A</v>
      </c>
      <c r="P1690" t="e">
        <v>#N/A</v>
      </c>
      <c r="R1690" t="e">
        <v>#N/A</v>
      </c>
      <c r="T1690" t="s">
        <v>5983</v>
      </c>
      <c r="U1690" t="s">
        <v>5983</v>
      </c>
      <c r="V1690" t="s">
        <v>5983</v>
      </c>
      <c r="Y1690" t="s">
        <v>6948</v>
      </c>
      <c r="Z1690" t="s">
        <v>6949</v>
      </c>
      <c r="AA1690" t="s">
        <v>6950</v>
      </c>
      <c r="AB1690" t="s">
        <v>6951</v>
      </c>
      <c r="AC1690" t="s">
        <v>6952</v>
      </c>
      <c r="AD1690" t="s">
        <v>6953</v>
      </c>
    </row>
    <row r="1691" spans="1:30">
      <c r="A1691">
        <v>11007005</v>
      </c>
      <c r="B1691" t="s">
        <v>5431</v>
      </c>
      <c r="C1691" t="s">
        <v>1311</v>
      </c>
      <c r="D1691" t="s">
        <v>6173</v>
      </c>
      <c r="E1691" t="s">
        <v>6019</v>
      </c>
      <c r="J1691" t="s">
        <v>6654</v>
      </c>
      <c r="M1691" t="e">
        <v>#N/A</v>
      </c>
      <c r="N1691" t="e">
        <v>#N/A</v>
      </c>
      <c r="O1691" t="e">
        <v>#N/A</v>
      </c>
      <c r="P1691" t="e">
        <v>#N/A</v>
      </c>
      <c r="R1691" t="e">
        <v>#N/A</v>
      </c>
      <c r="T1691" t="s">
        <v>5983</v>
      </c>
      <c r="U1691" t="s">
        <v>5983</v>
      </c>
      <c r="V1691" t="s">
        <v>5983</v>
      </c>
      <c r="Y1691" t="s">
        <v>6948</v>
      </c>
      <c r="Z1691" t="s">
        <v>6949</v>
      </c>
      <c r="AA1691" t="s">
        <v>6950</v>
      </c>
      <c r="AB1691" t="s">
        <v>6951</v>
      </c>
      <c r="AC1691" t="s">
        <v>6952</v>
      </c>
      <c r="AD1691" t="s">
        <v>6953</v>
      </c>
    </row>
    <row r="1692" spans="1:30">
      <c r="A1692" t="s">
        <v>4604</v>
      </c>
      <c r="B1692" t="s">
        <v>5432</v>
      </c>
      <c r="C1692" t="s">
        <v>1089</v>
      </c>
      <c r="D1692" t="s">
        <v>6173</v>
      </c>
      <c r="E1692" t="s">
        <v>6019</v>
      </c>
      <c r="J1692" t="s">
        <v>6655</v>
      </c>
      <c r="M1692" t="e">
        <v>#N/A</v>
      </c>
      <c r="N1692" t="e">
        <v>#N/A</v>
      </c>
      <c r="O1692" t="e">
        <v>#N/A</v>
      </c>
      <c r="P1692" t="e">
        <v>#N/A</v>
      </c>
      <c r="R1692" t="e">
        <v>#N/A</v>
      </c>
      <c r="T1692" t="s">
        <v>5983</v>
      </c>
      <c r="U1692" t="s">
        <v>5983</v>
      </c>
      <c r="V1692" t="s">
        <v>5983</v>
      </c>
      <c r="Y1692" t="s">
        <v>6948</v>
      </c>
      <c r="Z1692" t="s">
        <v>6949</v>
      </c>
      <c r="AA1692" t="s">
        <v>6950</v>
      </c>
      <c r="AB1692" t="s">
        <v>6951</v>
      </c>
      <c r="AC1692" t="s">
        <v>6952</v>
      </c>
      <c r="AD1692" t="s">
        <v>6953</v>
      </c>
    </row>
    <row r="1693" spans="1:30">
      <c r="A1693">
        <v>11007002</v>
      </c>
      <c r="B1693" t="s">
        <v>5433</v>
      </c>
      <c r="C1693" t="s">
        <v>5829</v>
      </c>
      <c r="D1693" t="s">
        <v>6173</v>
      </c>
      <c r="E1693" t="s">
        <v>6019</v>
      </c>
      <c r="J1693" t="s">
        <v>6656</v>
      </c>
      <c r="M1693" t="e">
        <v>#N/A</v>
      </c>
      <c r="N1693" t="e">
        <v>#N/A</v>
      </c>
      <c r="O1693" t="e">
        <v>#N/A</v>
      </c>
      <c r="P1693" t="e">
        <v>#N/A</v>
      </c>
      <c r="R1693" t="e">
        <v>#N/A</v>
      </c>
      <c r="T1693" t="s">
        <v>5983</v>
      </c>
      <c r="U1693" t="s">
        <v>5983</v>
      </c>
      <c r="V1693" t="s">
        <v>5983</v>
      </c>
      <c r="Y1693" t="s">
        <v>6948</v>
      </c>
      <c r="Z1693" t="s">
        <v>6949</v>
      </c>
      <c r="AA1693" t="s">
        <v>6950</v>
      </c>
      <c r="AB1693" t="s">
        <v>6951</v>
      </c>
      <c r="AC1693" t="s">
        <v>6952</v>
      </c>
      <c r="AD1693" t="s">
        <v>6953</v>
      </c>
    </row>
    <row r="1694" spans="1:30">
      <c r="A1694">
        <v>11006998</v>
      </c>
      <c r="B1694" t="s">
        <v>5434</v>
      </c>
      <c r="C1694" t="s">
        <v>1116</v>
      </c>
      <c r="D1694" t="s">
        <v>6175</v>
      </c>
      <c r="E1694" t="s">
        <v>6023</v>
      </c>
      <c r="J1694" t="s">
        <v>6658</v>
      </c>
      <c r="M1694" t="e">
        <v>#N/A</v>
      </c>
      <c r="N1694" t="e">
        <v>#N/A</v>
      </c>
      <c r="O1694" t="e">
        <v>#N/A</v>
      </c>
      <c r="P1694" t="e">
        <v>#N/A</v>
      </c>
      <c r="R1694" t="e">
        <v>#N/A</v>
      </c>
      <c r="T1694" t="s">
        <v>5983</v>
      </c>
      <c r="U1694" t="s">
        <v>5983</v>
      </c>
      <c r="V1694" t="s">
        <v>5983</v>
      </c>
      <c r="Y1694" t="s">
        <v>6948</v>
      </c>
      <c r="Z1694" t="s">
        <v>6949</v>
      </c>
      <c r="AA1694" t="s">
        <v>6950</v>
      </c>
      <c r="AB1694" t="s">
        <v>6951</v>
      </c>
      <c r="AC1694" t="s">
        <v>6952</v>
      </c>
      <c r="AD1694" t="s">
        <v>6953</v>
      </c>
    </row>
    <row r="1695" spans="1:30">
      <c r="A1695" t="s">
        <v>4604</v>
      </c>
      <c r="B1695" t="s">
        <v>5435</v>
      </c>
      <c r="C1695" t="s">
        <v>5886</v>
      </c>
      <c r="D1695" t="s">
        <v>6158</v>
      </c>
      <c r="E1695" t="s">
        <v>5992</v>
      </c>
      <c r="J1695" t="s">
        <v>6866</v>
      </c>
      <c r="M1695" t="e">
        <v>#N/A</v>
      </c>
      <c r="N1695" t="e">
        <v>#N/A</v>
      </c>
      <c r="O1695" t="e">
        <v>#N/A</v>
      </c>
      <c r="P1695" t="e">
        <v>#N/A</v>
      </c>
      <c r="R1695" t="e">
        <v>#N/A</v>
      </c>
      <c r="T1695" t="s">
        <v>5983</v>
      </c>
      <c r="U1695" t="s">
        <v>5983</v>
      </c>
      <c r="V1695" t="s">
        <v>5983</v>
      </c>
      <c r="Y1695" t="s">
        <v>6948</v>
      </c>
      <c r="Z1695" t="s">
        <v>6949</v>
      </c>
      <c r="AA1695" t="s">
        <v>6950</v>
      </c>
      <c r="AB1695" t="s">
        <v>6951</v>
      </c>
      <c r="AC1695" t="s">
        <v>6952</v>
      </c>
      <c r="AD1695" t="s">
        <v>6953</v>
      </c>
    </row>
    <row r="1696" spans="1:30">
      <c r="A1696" t="s">
        <v>4604</v>
      </c>
      <c r="B1696" t="s">
        <v>5436</v>
      </c>
      <c r="C1696" t="s">
        <v>5887</v>
      </c>
      <c r="D1696" t="s">
        <v>6158</v>
      </c>
      <c r="E1696" t="s">
        <v>5992</v>
      </c>
      <c r="J1696" t="s">
        <v>6867</v>
      </c>
      <c r="M1696" t="e">
        <v>#N/A</v>
      </c>
      <c r="N1696" t="e">
        <v>#N/A</v>
      </c>
      <c r="O1696" t="e">
        <v>#N/A</v>
      </c>
      <c r="P1696" t="e">
        <v>#N/A</v>
      </c>
      <c r="R1696" t="e">
        <v>#N/A</v>
      </c>
      <c r="T1696" t="s">
        <v>5983</v>
      </c>
      <c r="U1696" t="s">
        <v>5983</v>
      </c>
      <c r="V1696" t="s">
        <v>5983</v>
      </c>
      <c r="Y1696" t="s">
        <v>6948</v>
      </c>
      <c r="Z1696" t="s">
        <v>6949</v>
      </c>
      <c r="AA1696" t="s">
        <v>6950</v>
      </c>
      <c r="AB1696" t="s">
        <v>6951</v>
      </c>
      <c r="AC1696" t="s">
        <v>6952</v>
      </c>
      <c r="AD1696" t="s">
        <v>6953</v>
      </c>
    </row>
    <row r="1697" spans="1:30">
      <c r="A1697" t="s">
        <v>4604</v>
      </c>
      <c r="B1697" t="s">
        <v>5437</v>
      </c>
      <c r="C1697" t="s">
        <v>5888</v>
      </c>
      <c r="D1697" t="s">
        <v>6173</v>
      </c>
      <c r="E1697" t="s">
        <v>6019</v>
      </c>
      <c r="J1697" t="s">
        <v>6661</v>
      </c>
      <c r="M1697" t="e">
        <v>#N/A</v>
      </c>
      <c r="N1697" t="e">
        <v>#N/A</v>
      </c>
      <c r="O1697" t="e">
        <v>#N/A</v>
      </c>
      <c r="P1697" t="e">
        <v>#N/A</v>
      </c>
      <c r="R1697" t="e">
        <v>#N/A</v>
      </c>
      <c r="T1697" t="s">
        <v>5983</v>
      </c>
      <c r="U1697" t="s">
        <v>5983</v>
      </c>
      <c r="V1697" t="s">
        <v>5985</v>
      </c>
      <c r="Y1697" t="s">
        <v>6948</v>
      </c>
      <c r="Z1697" t="s">
        <v>6949</v>
      </c>
      <c r="AA1697" t="s">
        <v>6950</v>
      </c>
      <c r="AB1697" t="s">
        <v>6951</v>
      </c>
      <c r="AC1697" t="s">
        <v>6952</v>
      </c>
      <c r="AD1697" t="s">
        <v>6953</v>
      </c>
    </row>
    <row r="1698" spans="1:30">
      <c r="A1698" t="s">
        <v>4604</v>
      </c>
      <c r="B1698" t="s">
        <v>5438</v>
      </c>
      <c r="C1698" t="s">
        <v>5888</v>
      </c>
      <c r="D1698" t="s">
        <v>6173</v>
      </c>
      <c r="E1698" t="s">
        <v>6019</v>
      </c>
      <c r="J1698" t="s">
        <v>6878</v>
      </c>
      <c r="M1698" t="e">
        <v>#N/A</v>
      </c>
      <c r="N1698" t="e">
        <v>#N/A</v>
      </c>
      <c r="O1698" t="e">
        <v>#N/A</v>
      </c>
      <c r="P1698" t="e">
        <v>#N/A</v>
      </c>
      <c r="R1698" t="e">
        <v>#N/A</v>
      </c>
      <c r="T1698" t="s">
        <v>5983</v>
      </c>
      <c r="U1698" t="s">
        <v>5983</v>
      </c>
      <c r="V1698" t="s">
        <v>5983</v>
      </c>
      <c r="Y1698" t="s">
        <v>6948</v>
      </c>
      <c r="Z1698" t="s">
        <v>6949</v>
      </c>
      <c r="AA1698" t="s">
        <v>6950</v>
      </c>
      <c r="AB1698" t="s">
        <v>6951</v>
      </c>
      <c r="AC1698" t="s">
        <v>6952</v>
      </c>
      <c r="AD1698" t="s">
        <v>6953</v>
      </c>
    </row>
    <row r="1699" spans="1:30">
      <c r="A1699" t="s">
        <v>4604</v>
      </c>
      <c r="B1699" t="s">
        <v>5439</v>
      </c>
      <c r="C1699" t="s">
        <v>5889</v>
      </c>
      <c r="D1699" t="s">
        <v>6173</v>
      </c>
      <c r="E1699" t="s">
        <v>6019</v>
      </c>
      <c r="J1699" t="s">
        <v>6664</v>
      </c>
      <c r="M1699" t="e">
        <v>#N/A</v>
      </c>
      <c r="N1699" t="e">
        <v>#N/A</v>
      </c>
      <c r="O1699" t="e">
        <v>#N/A</v>
      </c>
      <c r="P1699" t="e">
        <v>#N/A</v>
      </c>
      <c r="R1699" t="e">
        <v>#N/A</v>
      </c>
      <c r="T1699" t="s">
        <v>5983</v>
      </c>
      <c r="U1699" t="s">
        <v>5983</v>
      </c>
      <c r="V1699" t="s">
        <v>5983</v>
      </c>
      <c r="Y1699" t="s">
        <v>6948</v>
      </c>
      <c r="Z1699" t="s">
        <v>6949</v>
      </c>
      <c r="AA1699" t="s">
        <v>6950</v>
      </c>
      <c r="AB1699" t="s">
        <v>6951</v>
      </c>
      <c r="AC1699" t="s">
        <v>6952</v>
      </c>
      <c r="AD1699" t="s">
        <v>6953</v>
      </c>
    </row>
    <row r="1700" spans="1:30">
      <c r="A1700" t="s">
        <v>4604</v>
      </c>
      <c r="B1700" t="s">
        <v>5440</v>
      </c>
      <c r="C1700" t="s">
        <v>1302</v>
      </c>
      <c r="D1700" t="s">
        <v>6173</v>
      </c>
      <c r="E1700" t="s">
        <v>6019</v>
      </c>
      <c r="J1700" t="s">
        <v>6666</v>
      </c>
      <c r="M1700" t="e">
        <v>#N/A</v>
      </c>
      <c r="N1700" t="e">
        <v>#N/A</v>
      </c>
      <c r="O1700" t="e">
        <v>#N/A</v>
      </c>
      <c r="P1700" t="e">
        <v>#N/A</v>
      </c>
      <c r="R1700" t="e">
        <v>#N/A</v>
      </c>
      <c r="T1700" t="s">
        <v>5983</v>
      </c>
      <c r="U1700" t="s">
        <v>5983</v>
      </c>
      <c r="V1700" t="s">
        <v>5983</v>
      </c>
      <c r="Y1700" t="s">
        <v>6948</v>
      </c>
      <c r="Z1700" t="s">
        <v>6949</v>
      </c>
      <c r="AA1700" t="s">
        <v>6950</v>
      </c>
      <c r="AB1700" t="s">
        <v>6951</v>
      </c>
      <c r="AC1700" t="s">
        <v>6952</v>
      </c>
      <c r="AD1700" t="s">
        <v>6953</v>
      </c>
    </row>
    <row r="1701" spans="1:30">
      <c r="A1701" t="s">
        <v>4604</v>
      </c>
      <c r="B1701" t="s">
        <v>5441</v>
      </c>
      <c r="C1701" t="s">
        <v>5890</v>
      </c>
      <c r="D1701" t="s">
        <v>6173</v>
      </c>
      <c r="E1701" t="s">
        <v>6019</v>
      </c>
      <c r="J1701" t="s">
        <v>6668</v>
      </c>
      <c r="M1701" t="e">
        <v>#N/A</v>
      </c>
      <c r="N1701" t="e">
        <v>#N/A</v>
      </c>
      <c r="O1701" t="e">
        <v>#N/A</v>
      </c>
      <c r="P1701" t="e">
        <v>#N/A</v>
      </c>
      <c r="R1701" t="e">
        <v>#N/A</v>
      </c>
      <c r="T1701" t="s">
        <v>5983</v>
      </c>
      <c r="U1701" t="s">
        <v>5985</v>
      </c>
      <c r="V1701" t="s">
        <v>5985</v>
      </c>
      <c r="Y1701" t="s">
        <v>6948</v>
      </c>
      <c r="Z1701" t="s">
        <v>6949</v>
      </c>
      <c r="AA1701" t="s">
        <v>6950</v>
      </c>
      <c r="AB1701" t="s">
        <v>6951</v>
      </c>
      <c r="AC1701" t="s">
        <v>6952</v>
      </c>
      <c r="AD1701" t="s">
        <v>6953</v>
      </c>
    </row>
    <row r="1702" spans="1:30">
      <c r="A1702" t="s">
        <v>4604</v>
      </c>
      <c r="B1702" t="s">
        <v>5442</v>
      </c>
      <c r="C1702" t="s">
        <v>5891</v>
      </c>
      <c r="D1702" t="s">
        <v>6167</v>
      </c>
      <c r="E1702" t="s">
        <v>6005</v>
      </c>
      <c r="J1702" t="s">
        <v>6670</v>
      </c>
      <c r="M1702" t="e">
        <v>#N/A</v>
      </c>
      <c r="N1702" t="e">
        <v>#N/A</v>
      </c>
      <c r="O1702" t="e">
        <v>#N/A</v>
      </c>
      <c r="P1702" t="e">
        <v>#N/A</v>
      </c>
      <c r="R1702" t="e">
        <v>#N/A</v>
      </c>
      <c r="T1702" t="s">
        <v>5983</v>
      </c>
      <c r="U1702" t="s">
        <v>5985</v>
      </c>
      <c r="V1702" t="s">
        <v>5985</v>
      </c>
      <c r="Y1702" t="s">
        <v>6948</v>
      </c>
      <c r="Z1702" t="s">
        <v>6949</v>
      </c>
      <c r="AA1702" t="s">
        <v>6950</v>
      </c>
      <c r="AB1702" t="s">
        <v>6951</v>
      </c>
      <c r="AC1702" t="s">
        <v>6952</v>
      </c>
      <c r="AD1702" t="s">
        <v>6953</v>
      </c>
    </row>
    <row r="1703" spans="1:30">
      <c r="A1703" t="s">
        <v>4604</v>
      </c>
      <c r="B1703" t="s">
        <v>5443</v>
      </c>
      <c r="C1703" t="s">
        <v>1182</v>
      </c>
      <c r="D1703" t="s">
        <v>6167</v>
      </c>
      <c r="E1703" t="s">
        <v>6005</v>
      </c>
      <c r="J1703" t="s">
        <v>6671</v>
      </c>
      <c r="M1703" t="e">
        <v>#N/A</v>
      </c>
      <c r="N1703" t="e">
        <v>#N/A</v>
      </c>
      <c r="O1703" t="e">
        <v>#N/A</v>
      </c>
      <c r="P1703" t="e">
        <v>#N/A</v>
      </c>
      <c r="R1703" t="e">
        <v>#N/A</v>
      </c>
      <c r="T1703" t="s">
        <v>5983</v>
      </c>
      <c r="U1703" t="s">
        <v>5985</v>
      </c>
      <c r="V1703" t="s">
        <v>5985</v>
      </c>
      <c r="Y1703" t="s">
        <v>6948</v>
      </c>
      <c r="Z1703" t="s">
        <v>6949</v>
      </c>
      <c r="AA1703" t="s">
        <v>6950</v>
      </c>
      <c r="AB1703" t="s">
        <v>6951</v>
      </c>
      <c r="AC1703" t="s">
        <v>6952</v>
      </c>
      <c r="AD1703" t="s">
        <v>6953</v>
      </c>
    </row>
    <row r="1704" spans="1:30">
      <c r="A1704" t="s">
        <v>4604</v>
      </c>
      <c r="B1704" t="s">
        <v>5444</v>
      </c>
      <c r="C1704" t="s">
        <v>5892</v>
      </c>
      <c r="D1704" t="s">
        <v>6167</v>
      </c>
      <c r="E1704" t="s">
        <v>6005</v>
      </c>
      <c r="J1704" t="s">
        <v>6672</v>
      </c>
      <c r="M1704" t="e">
        <v>#N/A</v>
      </c>
      <c r="N1704" t="e">
        <v>#N/A</v>
      </c>
      <c r="O1704" t="e">
        <v>#N/A</v>
      </c>
      <c r="P1704" t="e">
        <v>#N/A</v>
      </c>
      <c r="R1704" t="e">
        <v>#N/A</v>
      </c>
      <c r="T1704" t="s">
        <v>5983</v>
      </c>
      <c r="U1704" t="s">
        <v>5985</v>
      </c>
      <c r="V1704" t="s">
        <v>5985</v>
      </c>
      <c r="Y1704" t="s">
        <v>6948</v>
      </c>
      <c r="Z1704" t="s">
        <v>6949</v>
      </c>
      <c r="AA1704" t="s">
        <v>6950</v>
      </c>
      <c r="AB1704" t="s">
        <v>6951</v>
      </c>
      <c r="AC1704" t="s">
        <v>6952</v>
      </c>
      <c r="AD1704" t="s">
        <v>6953</v>
      </c>
    </row>
    <row r="1705" spans="1:30">
      <c r="A1705" t="s">
        <v>4604</v>
      </c>
      <c r="B1705" t="s">
        <v>5445</v>
      </c>
      <c r="C1705" t="s">
        <v>5893</v>
      </c>
      <c r="D1705" t="s">
        <v>6167</v>
      </c>
      <c r="E1705" t="s">
        <v>6005</v>
      </c>
      <c r="J1705" t="s">
        <v>6673</v>
      </c>
      <c r="M1705" t="e">
        <v>#N/A</v>
      </c>
      <c r="N1705" t="e">
        <v>#N/A</v>
      </c>
      <c r="O1705" t="e">
        <v>#N/A</v>
      </c>
      <c r="P1705" t="e">
        <v>#N/A</v>
      </c>
      <c r="R1705" t="e">
        <v>#N/A</v>
      </c>
      <c r="T1705" t="s">
        <v>5983</v>
      </c>
      <c r="U1705" t="s">
        <v>5985</v>
      </c>
      <c r="V1705" t="s">
        <v>5985</v>
      </c>
      <c r="Y1705" t="s">
        <v>6948</v>
      </c>
      <c r="Z1705" t="s">
        <v>6949</v>
      </c>
      <c r="AA1705" t="s">
        <v>6950</v>
      </c>
      <c r="AB1705" t="s">
        <v>6951</v>
      </c>
      <c r="AC1705" t="s">
        <v>6952</v>
      </c>
      <c r="AD1705" t="s">
        <v>6953</v>
      </c>
    </row>
    <row r="1706" spans="1:30">
      <c r="A1706" t="s">
        <v>4604</v>
      </c>
      <c r="B1706" t="s">
        <v>5446</v>
      </c>
      <c r="C1706" t="s">
        <v>5894</v>
      </c>
      <c r="D1706" t="s">
        <v>6167</v>
      </c>
      <c r="E1706" t="s">
        <v>6005</v>
      </c>
      <c r="J1706" t="s">
        <v>6674</v>
      </c>
      <c r="M1706" t="e">
        <v>#N/A</v>
      </c>
      <c r="N1706" t="e">
        <v>#N/A</v>
      </c>
      <c r="O1706" t="e">
        <v>#N/A</v>
      </c>
      <c r="P1706" t="e">
        <v>#N/A</v>
      </c>
      <c r="R1706" t="e">
        <v>#N/A</v>
      </c>
      <c r="T1706" t="s">
        <v>5983</v>
      </c>
      <c r="U1706" t="s">
        <v>5985</v>
      </c>
      <c r="V1706" t="s">
        <v>5985</v>
      </c>
      <c r="Y1706" t="s">
        <v>6948</v>
      </c>
      <c r="Z1706" t="s">
        <v>6949</v>
      </c>
      <c r="AA1706" t="s">
        <v>6950</v>
      </c>
      <c r="AB1706" t="s">
        <v>6951</v>
      </c>
      <c r="AC1706" t="s">
        <v>6952</v>
      </c>
      <c r="AD1706" t="s">
        <v>6953</v>
      </c>
    </row>
    <row r="1707" spans="1:30">
      <c r="A1707" t="s">
        <v>4604</v>
      </c>
      <c r="B1707" t="s">
        <v>5447</v>
      </c>
      <c r="C1707" t="s">
        <v>1184</v>
      </c>
      <c r="D1707" t="s">
        <v>6167</v>
      </c>
      <c r="E1707" t="s">
        <v>6005</v>
      </c>
      <c r="J1707" t="s">
        <v>6868</v>
      </c>
      <c r="M1707" t="e">
        <v>#N/A</v>
      </c>
      <c r="N1707" t="e">
        <v>#N/A</v>
      </c>
      <c r="O1707" t="e">
        <v>#N/A</v>
      </c>
      <c r="P1707" t="e">
        <v>#N/A</v>
      </c>
      <c r="R1707" t="e">
        <v>#N/A</v>
      </c>
      <c r="T1707" t="s">
        <v>5983</v>
      </c>
      <c r="U1707" t="s">
        <v>5985</v>
      </c>
      <c r="V1707" t="s">
        <v>5985</v>
      </c>
      <c r="Y1707" t="s">
        <v>6948</v>
      </c>
      <c r="Z1707" t="s">
        <v>6949</v>
      </c>
      <c r="AA1707" t="s">
        <v>6950</v>
      </c>
      <c r="AB1707" t="s">
        <v>6951</v>
      </c>
      <c r="AC1707" t="s">
        <v>6952</v>
      </c>
      <c r="AD1707" t="s">
        <v>6953</v>
      </c>
    </row>
    <row r="1708" spans="1:30">
      <c r="A1708" t="s">
        <v>4604</v>
      </c>
      <c r="B1708" t="s">
        <v>5448</v>
      </c>
      <c r="C1708" t="s">
        <v>5895</v>
      </c>
      <c r="D1708" t="s">
        <v>6167</v>
      </c>
      <c r="E1708" t="s">
        <v>6005</v>
      </c>
      <c r="J1708" t="s">
        <v>6676</v>
      </c>
      <c r="M1708" t="e">
        <v>#N/A</v>
      </c>
      <c r="N1708" t="e">
        <v>#N/A</v>
      </c>
      <c r="O1708" t="e">
        <v>#N/A</v>
      </c>
      <c r="P1708" t="e">
        <v>#N/A</v>
      </c>
      <c r="R1708" t="e">
        <v>#N/A</v>
      </c>
      <c r="T1708" t="s">
        <v>5983</v>
      </c>
      <c r="U1708" t="s">
        <v>5985</v>
      </c>
      <c r="V1708" t="s">
        <v>6947</v>
      </c>
      <c r="Y1708" t="s">
        <v>6948</v>
      </c>
      <c r="Z1708" t="s">
        <v>6949</v>
      </c>
      <c r="AA1708" t="s">
        <v>6950</v>
      </c>
      <c r="AB1708" t="s">
        <v>6951</v>
      </c>
      <c r="AC1708" t="s">
        <v>6952</v>
      </c>
      <c r="AD1708" t="s">
        <v>6953</v>
      </c>
    </row>
    <row r="1709" spans="1:30">
      <c r="A1709" t="s">
        <v>4604</v>
      </c>
      <c r="B1709" t="s">
        <v>5449</v>
      </c>
      <c r="C1709" t="s">
        <v>5896</v>
      </c>
      <c r="D1709" t="s">
        <v>6165</v>
      </c>
      <c r="E1709" t="s">
        <v>6003</v>
      </c>
      <c r="J1709" t="s">
        <v>6679</v>
      </c>
      <c r="M1709" t="e">
        <v>#N/A</v>
      </c>
      <c r="N1709" t="e">
        <v>#N/A</v>
      </c>
      <c r="O1709" t="e">
        <v>#N/A</v>
      </c>
      <c r="P1709" t="e">
        <v>#N/A</v>
      </c>
      <c r="R1709" t="e">
        <v>#N/A</v>
      </c>
      <c r="T1709" t="s">
        <v>5983</v>
      </c>
      <c r="U1709" t="s">
        <v>5985</v>
      </c>
      <c r="V1709" t="s">
        <v>6947</v>
      </c>
      <c r="Y1709" t="s">
        <v>6948</v>
      </c>
      <c r="Z1709" t="s">
        <v>6949</v>
      </c>
      <c r="AA1709" t="s">
        <v>6950</v>
      </c>
      <c r="AB1709" t="s">
        <v>6951</v>
      </c>
      <c r="AC1709" t="s">
        <v>6952</v>
      </c>
      <c r="AD1709" t="s">
        <v>6953</v>
      </c>
    </row>
    <row r="1710" spans="1:30">
      <c r="A1710" t="s">
        <v>4604</v>
      </c>
      <c r="B1710" t="s">
        <v>5450</v>
      </c>
      <c r="C1710" t="s">
        <v>5897</v>
      </c>
      <c r="D1710" t="s">
        <v>6165</v>
      </c>
      <c r="E1710" t="s">
        <v>6003</v>
      </c>
      <c r="J1710" t="s">
        <v>6681</v>
      </c>
      <c r="M1710" t="e">
        <v>#N/A</v>
      </c>
      <c r="N1710" t="e">
        <v>#N/A</v>
      </c>
      <c r="O1710" t="e">
        <v>#N/A</v>
      </c>
      <c r="P1710" t="e">
        <v>#N/A</v>
      </c>
      <c r="R1710" t="e">
        <v>#N/A</v>
      </c>
      <c r="T1710" t="s">
        <v>5983</v>
      </c>
      <c r="U1710" t="s">
        <v>5985</v>
      </c>
      <c r="V1710" t="s">
        <v>6947</v>
      </c>
      <c r="Y1710" t="s">
        <v>6948</v>
      </c>
      <c r="Z1710" t="s">
        <v>6949</v>
      </c>
      <c r="AA1710" t="s">
        <v>6950</v>
      </c>
      <c r="AB1710" t="s">
        <v>6951</v>
      </c>
      <c r="AC1710" t="s">
        <v>6952</v>
      </c>
      <c r="AD1710" t="s">
        <v>6953</v>
      </c>
    </row>
    <row r="1711" spans="1:30">
      <c r="A1711" t="s">
        <v>4604</v>
      </c>
      <c r="B1711" t="s">
        <v>5451</v>
      </c>
      <c r="C1711" t="s">
        <v>5898</v>
      </c>
      <c r="D1711" t="s">
        <v>6165</v>
      </c>
      <c r="E1711" t="s">
        <v>6003</v>
      </c>
      <c r="J1711" t="s">
        <v>6857</v>
      </c>
      <c r="M1711" t="e">
        <v>#N/A</v>
      </c>
      <c r="N1711" t="e">
        <v>#N/A</v>
      </c>
      <c r="O1711" t="e">
        <v>#N/A</v>
      </c>
      <c r="P1711" t="e">
        <v>#N/A</v>
      </c>
      <c r="R1711" t="e">
        <v>#N/A</v>
      </c>
      <c r="T1711" t="s">
        <v>5983</v>
      </c>
      <c r="U1711" t="s">
        <v>5985</v>
      </c>
      <c r="V1711" t="s">
        <v>6947</v>
      </c>
      <c r="Y1711" t="s">
        <v>6948</v>
      </c>
      <c r="Z1711" t="s">
        <v>6949</v>
      </c>
      <c r="AA1711" t="s">
        <v>6950</v>
      </c>
      <c r="AB1711" t="s">
        <v>6951</v>
      </c>
      <c r="AC1711" t="s">
        <v>6952</v>
      </c>
      <c r="AD1711" t="s">
        <v>6953</v>
      </c>
    </row>
    <row r="1712" spans="1:30">
      <c r="A1712">
        <v>11006984</v>
      </c>
      <c r="B1712" t="s">
        <v>5452</v>
      </c>
      <c r="C1712" t="s">
        <v>1215</v>
      </c>
      <c r="D1712" t="s">
        <v>6165</v>
      </c>
      <c r="E1712" t="s">
        <v>6003</v>
      </c>
      <c r="J1712" t="s">
        <v>6869</v>
      </c>
      <c r="M1712" t="e">
        <v>#N/A</v>
      </c>
      <c r="N1712" t="e">
        <v>#N/A</v>
      </c>
      <c r="O1712" t="e">
        <v>#N/A</v>
      </c>
      <c r="P1712" t="e">
        <v>#N/A</v>
      </c>
      <c r="R1712" t="e">
        <v>#N/A</v>
      </c>
      <c r="T1712" t="s">
        <v>5983</v>
      </c>
      <c r="U1712" t="s">
        <v>5985</v>
      </c>
      <c r="V1712" t="s">
        <v>6947</v>
      </c>
      <c r="Y1712" t="s">
        <v>6948</v>
      </c>
      <c r="Z1712" t="s">
        <v>6949</v>
      </c>
      <c r="AA1712" t="s">
        <v>6950</v>
      </c>
      <c r="AB1712" t="s">
        <v>6951</v>
      </c>
      <c r="AC1712" t="s">
        <v>6952</v>
      </c>
      <c r="AD1712" t="s">
        <v>6953</v>
      </c>
    </row>
    <row r="1713" spans="1:30">
      <c r="A1713">
        <v>11006982</v>
      </c>
      <c r="B1713" t="s">
        <v>5453</v>
      </c>
      <c r="C1713" t="s">
        <v>5899</v>
      </c>
      <c r="D1713" t="s">
        <v>6175</v>
      </c>
      <c r="E1713" t="s">
        <v>6023</v>
      </c>
      <c r="J1713" t="s">
        <v>6684</v>
      </c>
      <c r="M1713" t="e">
        <v>#N/A</v>
      </c>
      <c r="N1713" t="e">
        <v>#N/A</v>
      </c>
      <c r="O1713" t="e">
        <v>#N/A</v>
      </c>
      <c r="P1713" t="e">
        <v>#N/A</v>
      </c>
      <c r="R1713" t="e">
        <v>#N/A</v>
      </c>
      <c r="T1713" t="s">
        <v>5983</v>
      </c>
      <c r="U1713" t="s">
        <v>5985</v>
      </c>
      <c r="V1713" t="s">
        <v>6947</v>
      </c>
      <c r="Y1713" t="s">
        <v>6948</v>
      </c>
      <c r="Z1713" t="s">
        <v>6949</v>
      </c>
      <c r="AA1713" t="s">
        <v>6950</v>
      </c>
      <c r="AB1713" t="s">
        <v>6951</v>
      </c>
      <c r="AC1713" t="s">
        <v>6952</v>
      </c>
      <c r="AD1713" t="s">
        <v>6953</v>
      </c>
    </row>
    <row r="1714" spans="1:30">
      <c r="A1714" t="s">
        <v>4604</v>
      </c>
      <c r="B1714" t="s">
        <v>5454</v>
      </c>
      <c r="C1714" t="s">
        <v>5881</v>
      </c>
      <c r="D1714" t="s">
        <v>6173</v>
      </c>
      <c r="E1714" t="s">
        <v>6019</v>
      </c>
      <c r="J1714" t="s">
        <v>6863</v>
      </c>
      <c r="M1714" t="e">
        <v>#N/A</v>
      </c>
      <c r="N1714" t="e">
        <v>#N/A</v>
      </c>
      <c r="O1714" t="e">
        <v>#N/A</v>
      </c>
      <c r="P1714" t="e">
        <v>#N/A</v>
      </c>
      <c r="R1714" t="e">
        <v>#N/A</v>
      </c>
      <c r="T1714" t="s">
        <v>5983</v>
      </c>
      <c r="U1714" t="s">
        <v>5985</v>
      </c>
      <c r="V1714" t="s">
        <v>5985</v>
      </c>
      <c r="Y1714" t="s">
        <v>6948</v>
      </c>
      <c r="Z1714" t="s">
        <v>6949</v>
      </c>
      <c r="AA1714" t="s">
        <v>6950</v>
      </c>
      <c r="AB1714" t="s">
        <v>6951</v>
      </c>
      <c r="AC1714" t="s">
        <v>6952</v>
      </c>
      <c r="AD1714" t="s">
        <v>6953</v>
      </c>
    </row>
    <row r="1715" spans="1:30">
      <c r="A1715" t="s">
        <v>4604</v>
      </c>
      <c r="B1715" t="s">
        <v>5455</v>
      </c>
      <c r="C1715" t="s">
        <v>1195</v>
      </c>
      <c r="D1715" t="s">
        <v>5951</v>
      </c>
      <c r="E1715" t="s">
        <v>5952</v>
      </c>
      <c r="J1715" t="s">
        <v>6522</v>
      </c>
      <c r="M1715" t="e">
        <v>#N/A</v>
      </c>
      <c r="N1715" t="e">
        <v>#N/A</v>
      </c>
      <c r="O1715" t="e">
        <v>#N/A</v>
      </c>
      <c r="P1715" t="e">
        <v>#N/A</v>
      </c>
      <c r="R1715" t="e">
        <v>#N/A</v>
      </c>
      <c r="T1715" t="s">
        <v>6924</v>
      </c>
      <c r="U1715" t="s">
        <v>6936</v>
      </c>
      <c r="V1715" t="s">
        <v>5985</v>
      </c>
      <c r="Y1715" t="s">
        <v>6948</v>
      </c>
      <c r="Z1715" t="s">
        <v>6949</v>
      </c>
      <c r="AA1715" t="s">
        <v>6950</v>
      </c>
      <c r="AB1715" t="s">
        <v>6951</v>
      </c>
      <c r="AC1715" t="s">
        <v>6952</v>
      </c>
      <c r="AD1715" t="s">
        <v>6953</v>
      </c>
    </row>
    <row r="1716" spans="1:30">
      <c r="A1716">
        <v>11007527</v>
      </c>
      <c r="B1716" t="s">
        <v>5456</v>
      </c>
      <c r="C1716" t="s">
        <v>1196</v>
      </c>
      <c r="D1716" t="s">
        <v>6179</v>
      </c>
      <c r="E1716" t="s">
        <v>5952</v>
      </c>
      <c r="J1716" t="s">
        <v>6523</v>
      </c>
      <c r="M1716" t="e">
        <v>#N/A</v>
      </c>
      <c r="N1716" t="e">
        <v>#N/A</v>
      </c>
      <c r="O1716" t="e">
        <v>#N/A</v>
      </c>
      <c r="P1716" t="e">
        <v>#N/A</v>
      </c>
      <c r="R1716" t="e">
        <v>#N/A</v>
      </c>
      <c r="T1716" t="s">
        <v>6925</v>
      </c>
      <c r="U1716" t="s">
        <v>6937</v>
      </c>
      <c r="V1716" t="s">
        <v>5985</v>
      </c>
      <c r="Y1716" t="s">
        <v>6948</v>
      </c>
      <c r="Z1716" t="s">
        <v>6949</v>
      </c>
      <c r="AA1716" t="s">
        <v>6950</v>
      </c>
      <c r="AB1716" t="s">
        <v>6951</v>
      </c>
      <c r="AC1716" t="s">
        <v>6952</v>
      </c>
      <c r="AD1716" t="s">
        <v>6953</v>
      </c>
    </row>
    <row r="1717" spans="1:30">
      <c r="A1717">
        <v>11007525</v>
      </c>
      <c r="B1717" t="s">
        <v>5457</v>
      </c>
      <c r="C1717" t="s">
        <v>1177</v>
      </c>
      <c r="D1717" t="s">
        <v>5953</v>
      </c>
      <c r="E1717" t="s">
        <v>5952</v>
      </c>
      <c r="J1717" t="s">
        <v>6524</v>
      </c>
      <c r="M1717" t="e">
        <v>#N/A</v>
      </c>
      <c r="N1717" t="e">
        <v>#N/A</v>
      </c>
      <c r="O1717" t="e">
        <v>#N/A</v>
      </c>
      <c r="P1717" t="e">
        <v>#N/A</v>
      </c>
      <c r="R1717" t="e">
        <v>#N/A</v>
      </c>
      <c r="T1717" t="s">
        <v>6926</v>
      </c>
      <c r="U1717" t="s">
        <v>6938</v>
      </c>
      <c r="V1717" t="s">
        <v>5985</v>
      </c>
      <c r="Y1717" t="s">
        <v>6948</v>
      </c>
      <c r="Z1717" t="s">
        <v>6949</v>
      </c>
      <c r="AA1717" t="s">
        <v>6950</v>
      </c>
      <c r="AB1717" t="s">
        <v>6951</v>
      </c>
      <c r="AC1717" t="s">
        <v>6952</v>
      </c>
      <c r="AD1717" t="s">
        <v>6953</v>
      </c>
    </row>
    <row r="1718" spans="1:30">
      <c r="A1718">
        <v>11007522</v>
      </c>
      <c r="B1718" t="s">
        <v>5458</v>
      </c>
      <c r="C1718" t="s">
        <v>1081</v>
      </c>
      <c r="D1718" t="s">
        <v>5953</v>
      </c>
      <c r="E1718" t="s">
        <v>5952</v>
      </c>
      <c r="J1718" t="s">
        <v>6525</v>
      </c>
      <c r="M1718" t="e">
        <v>#N/A</v>
      </c>
      <c r="N1718" t="e">
        <v>#N/A</v>
      </c>
      <c r="O1718" t="e">
        <v>#N/A</v>
      </c>
      <c r="P1718" t="e">
        <v>#N/A</v>
      </c>
      <c r="R1718" t="e">
        <v>#N/A</v>
      </c>
      <c r="T1718" t="s">
        <v>6927</v>
      </c>
      <c r="U1718" t="s">
        <v>6939</v>
      </c>
      <c r="V1718" t="s">
        <v>5985</v>
      </c>
      <c r="Y1718" t="s">
        <v>6948</v>
      </c>
      <c r="Z1718" t="s">
        <v>6949</v>
      </c>
      <c r="AA1718" t="s">
        <v>6950</v>
      </c>
      <c r="AB1718" t="s">
        <v>6951</v>
      </c>
      <c r="AC1718" t="s">
        <v>6952</v>
      </c>
      <c r="AD1718" t="s">
        <v>6953</v>
      </c>
    </row>
    <row r="1719" spans="1:30">
      <c r="A1719" t="s">
        <v>4604</v>
      </c>
      <c r="B1719" t="s">
        <v>5459</v>
      </c>
      <c r="C1719" t="s">
        <v>5900</v>
      </c>
      <c r="D1719" t="s">
        <v>5954</v>
      </c>
      <c r="E1719" t="s">
        <v>5952</v>
      </c>
      <c r="J1719" t="s">
        <v>6526</v>
      </c>
      <c r="M1719" t="e">
        <v>#N/A</v>
      </c>
      <c r="N1719" t="e">
        <v>#N/A</v>
      </c>
      <c r="O1719" t="e">
        <v>#N/A</v>
      </c>
      <c r="P1719" t="e">
        <v>#N/A</v>
      </c>
      <c r="R1719" t="e">
        <v>#N/A</v>
      </c>
      <c r="T1719" t="s">
        <v>6928</v>
      </c>
      <c r="U1719" t="s">
        <v>6940</v>
      </c>
      <c r="V1719" t="s">
        <v>5985</v>
      </c>
      <c r="Y1719" t="s">
        <v>6948</v>
      </c>
      <c r="Z1719" t="s">
        <v>6949</v>
      </c>
      <c r="AA1719" t="s">
        <v>6950</v>
      </c>
      <c r="AB1719" t="s">
        <v>6951</v>
      </c>
      <c r="AC1719" t="s">
        <v>6952</v>
      </c>
      <c r="AD1719" t="s">
        <v>6953</v>
      </c>
    </row>
    <row r="1720" spans="1:30">
      <c r="A1720">
        <v>11007517</v>
      </c>
      <c r="B1720" t="s">
        <v>5460</v>
      </c>
      <c r="C1720" t="s">
        <v>5901</v>
      </c>
      <c r="D1720" t="s">
        <v>5954</v>
      </c>
      <c r="E1720" t="s">
        <v>5952</v>
      </c>
      <c r="J1720" t="s">
        <v>6527</v>
      </c>
      <c r="M1720" t="e">
        <v>#N/A</v>
      </c>
      <c r="N1720" t="e">
        <v>#N/A</v>
      </c>
      <c r="O1720" t="e">
        <v>#N/A</v>
      </c>
      <c r="P1720" t="e">
        <v>#N/A</v>
      </c>
      <c r="R1720" t="e">
        <v>#N/A</v>
      </c>
      <c r="T1720" t="s">
        <v>6929</v>
      </c>
      <c r="U1720" t="s">
        <v>6941</v>
      </c>
      <c r="V1720" t="s">
        <v>5985</v>
      </c>
      <c r="Y1720" t="s">
        <v>6948</v>
      </c>
      <c r="Z1720" t="s">
        <v>6949</v>
      </c>
      <c r="AA1720" t="s">
        <v>6950</v>
      </c>
      <c r="AB1720" t="s">
        <v>6951</v>
      </c>
      <c r="AC1720" t="s">
        <v>6952</v>
      </c>
      <c r="AD1720" t="s">
        <v>6953</v>
      </c>
    </row>
    <row r="1721" spans="1:30">
      <c r="A1721" t="s">
        <v>4604</v>
      </c>
      <c r="B1721" t="s">
        <v>5461</v>
      </c>
      <c r="C1721" t="s">
        <v>1223</v>
      </c>
      <c r="D1721" t="s">
        <v>6051</v>
      </c>
      <c r="E1721" t="s">
        <v>6052</v>
      </c>
      <c r="J1721" t="s">
        <v>6746</v>
      </c>
      <c r="M1721" t="e">
        <v>#N/A</v>
      </c>
      <c r="N1721" t="e">
        <v>#N/A</v>
      </c>
      <c r="O1721" t="e">
        <v>#N/A</v>
      </c>
      <c r="P1721" t="e">
        <v>#N/A</v>
      </c>
      <c r="R1721" t="e">
        <v>#N/A</v>
      </c>
      <c r="T1721" t="s">
        <v>6930</v>
      </c>
      <c r="U1721" t="s">
        <v>6942</v>
      </c>
      <c r="V1721" t="s">
        <v>5985</v>
      </c>
      <c r="Y1721" t="s">
        <v>6948</v>
      </c>
      <c r="Z1721" t="s">
        <v>6949</v>
      </c>
      <c r="AA1721" t="s">
        <v>6950</v>
      </c>
      <c r="AB1721" t="s">
        <v>6951</v>
      </c>
      <c r="AC1721" t="s">
        <v>6952</v>
      </c>
      <c r="AD1721" t="s">
        <v>6953</v>
      </c>
    </row>
    <row r="1722" spans="1:30">
      <c r="A1722">
        <v>11006220</v>
      </c>
      <c r="B1722" t="s">
        <v>5462</v>
      </c>
      <c r="C1722" t="s">
        <v>1224</v>
      </c>
      <c r="D1722" t="s">
        <v>6051</v>
      </c>
      <c r="E1722" t="s">
        <v>6052</v>
      </c>
      <c r="J1722" t="s">
        <v>6747</v>
      </c>
      <c r="M1722" t="e">
        <v>#N/A</v>
      </c>
      <c r="N1722" t="e">
        <v>#N/A</v>
      </c>
      <c r="O1722" t="e">
        <v>#N/A</v>
      </c>
      <c r="P1722" t="e">
        <v>#N/A</v>
      </c>
      <c r="R1722" t="e">
        <v>#N/A</v>
      </c>
      <c r="T1722" t="s">
        <v>6931</v>
      </c>
      <c r="U1722" t="s">
        <v>6943</v>
      </c>
      <c r="V1722" t="s">
        <v>5985</v>
      </c>
      <c r="Y1722" t="s">
        <v>6948</v>
      </c>
      <c r="Z1722" t="s">
        <v>6949</v>
      </c>
      <c r="AA1722" t="s">
        <v>6950</v>
      </c>
      <c r="AB1722" t="s">
        <v>6951</v>
      </c>
      <c r="AC1722" t="s">
        <v>6952</v>
      </c>
      <c r="AD1722" t="s">
        <v>6953</v>
      </c>
    </row>
    <row r="1723" spans="1:30">
      <c r="A1723">
        <v>11006218</v>
      </c>
      <c r="B1723" t="s">
        <v>5463</v>
      </c>
      <c r="C1723" t="s">
        <v>1269</v>
      </c>
      <c r="D1723" t="s">
        <v>6053</v>
      </c>
      <c r="E1723" t="s">
        <v>6054</v>
      </c>
      <c r="J1723" t="s">
        <v>6748</v>
      </c>
      <c r="M1723" t="e">
        <v>#N/A</v>
      </c>
      <c r="N1723" t="e">
        <v>#N/A</v>
      </c>
      <c r="O1723" t="e">
        <v>#N/A</v>
      </c>
      <c r="P1723" t="e">
        <v>#N/A</v>
      </c>
      <c r="R1723" t="e">
        <v>#N/A</v>
      </c>
      <c r="T1723" t="s">
        <v>6932</v>
      </c>
      <c r="U1723" t="s">
        <v>6944</v>
      </c>
      <c r="V1723" t="s">
        <v>5985</v>
      </c>
      <c r="Y1723" t="s">
        <v>6948</v>
      </c>
      <c r="Z1723" t="s">
        <v>6949</v>
      </c>
      <c r="AA1723" t="s">
        <v>6950</v>
      </c>
      <c r="AB1723" t="s">
        <v>6951</v>
      </c>
      <c r="AC1723" t="s">
        <v>6952</v>
      </c>
      <c r="AD1723" t="s">
        <v>6953</v>
      </c>
    </row>
    <row r="1724" spans="1:30">
      <c r="A1724">
        <v>11006216</v>
      </c>
      <c r="B1724" t="s">
        <v>5464</v>
      </c>
      <c r="C1724" t="s">
        <v>5902</v>
      </c>
      <c r="D1724" t="s">
        <v>6053</v>
      </c>
      <c r="E1724" t="s">
        <v>6054</v>
      </c>
      <c r="J1724" t="s">
        <v>6749</v>
      </c>
      <c r="M1724" t="e">
        <v>#N/A</v>
      </c>
      <c r="N1724" t="e">
        <v>#N/A</v>
      </c>
      <c r="O1724" t="e">
        <v>#N/A</v>
      </c>
      <c r="P1724" t="e">
        <v>#N/A</v>
      </c>
      <c r="R1724" t="e">
        <v>#N/A</v>
      </c>
      <c r="T1724" t="s">
        <v>6933</v>
      </c>
      <c r="U1724" t="s">
        <v>6945</v>
      </c>
      <c r="V1724" t="s">
        <v>5985</v>
      </c>
      <c r="Y1724" t="s">
        <v>6948</v>
      </c>
      <c r="Z1724" t="s">
        <v>6949</v>
      </c>
      <c r="AA1724" t="s">
        <v>6950</v>
      </c>
      <c r="AB1724" t="s">
        <v>6951</v>
      </c>
      <c r="AC1724" t="s">
        <v>6952</v>
      </c>
      <c r="AD1724" t="s">
        <v>6953</v>
      </c>
    </row>
    <row r="1725" spans="1:30">
      <c r="A1725" t="s">
        <v>4604</v>
      </c>
      <c r="B1725" t="s">
        <v>5465</v>
      </c>
      <c r="C1725" t="s">
        <v>1195</v>
      </c>
      <c r="D1725" t="s">
        <v>5951</v>
      </c>
      <c r="E1725" t="s">
        <v>5952</v>
      </c>
      <c r="J1725" t="s">
        <v>6522</v>
      </c>
      <c r="M1725" t="e">
        <v>#N/A</v>
      </c>
      <c r="N1725" t="e">
        <v>#N/A</v>
      </c>
      <c r="O1725" t="e">
        <v>#N/A</v>
      </c>
      <c r="P1725" t="e">
        <v>#N/A</v>
      </c>
      <c r="R1725" t="e">
        <v>#N/A</v>
      </c>
      <c r="T1725" t="s">
        <v>6924</v>
      </c>
      <c r="U1725" t="s">
        <v>6936</v>
      </c>
      <c r="V1725" t="s">
        <v>5985</v>
      </c>
      <c r="Y1725" t="s">
        <v>6948</v>
      </c>
      <c r="Z1725" t="s">
        <v>6949</v>
      </c>
      <c r="AA1725" t="s">
        <v>6950</v>
      </c>
      <c r="AB1725" t="s">
        <v>6951</v>
      </c>
      <c r="AC1725" t="s">
        <v>6952</v>
      </c>
      <c r="AD1725" t="s">
        <v>6953</v>
      </c>
    </row>
    <row r="1726" spans="1:30">
      <c r="A1726" t="s">
        <v>4604</v>
      </c>
      <c r="B1726" t="s">
        <v>5466</v>
      </c>
      <c r="C1726" t="s">
        <v>1196</v>
      </c>
      <c r="D1726" t="s">
        <v>5951</v>
      </c>
      <c r="E1726" t="s">
        <v>5952</v>
      </c>
      <c r="J1726" t="s">
        <v>6523</v>
      </c>
      <c r="M1726" t="e">
        <v>#N/A</v>
      </c>
      <c r="N1726" t="e">
        <v>#N/A</v>
      </c>
      <c r="O1726" t="e">
        <v>#N/A</v>
      </c>
      <c r="P1726" t="e">
        <v>#N/A</v>
      </c>
      <c r="R1726" t="e">
        <v>#N/A</v>
      </c>
      <c r="T1726" t="s">
        <v>6925</v>
      </c>
      <c r="U1726" t="s">
        <v>6937</v>
      </c>
      <c r="V1726" t="s">
        <v>5985</v>
      </c>
      <c r="Y1726" t="s">
        <v>6948</v>
      </c>
      <c r="Z1726" t="s">
        <v>6949</v>
      </c>
      <c r="AA1726" t="s">
        <v>6950</v>
      </c>
      <c r="AB1726" t="s">
        <v>6951</v>
      </c>
      <c r="AC1726" t="s">
        <v>6952</v>
      </c>
      <c r="AD1726" t="s">
        <v>6953</v>
      </c>
    </row>
    <row r="1727" spans="1:30">
      <c r="A1727">
        <v>11007524</v>
      </c>
      <c r="B1727" t="s">
        <v>5467</v>
      </c>
      <c r="C1727" t="s">
        <v>1177</v>
      </c>
      <c r="D1727" t="s">
        <v>5953</v>
      </c>
      <c r="E1727" t="s">
        <v>5952</v>
      </c>
      <c r="J1727" t="s">
        <v>6524</v>
      </c>
      <c r="M1727" t="e">
        <v>#N/A</v>
      </c>
      <c r="N1727" t="e">
        <v>#N/A</v>
      </c>
      <c r="O1727" t="e">
        <v>#N/A</v>
      </c>
      <c r="P1727" t="e">
        <v>#N/A</v>
      </c>
      <c r="R1727" t="e">
        <v>#N/A</v>
      </c>
      <c r="T1727" t="s">
        <v>6926</v>
      </c>
      <c r="U1727" t="s">
        <v>6938</v>
      </c>
      <c r="V1727" t="s">
        <v>5985</v>
      </c>
      <c r="Y1727" t="s">
        <v>6948</v>
      </c>
      <c r="Z1727" t="s">
        <v>6949</v>
      </c>
      <c r="AA1727" t="s">
        <v>6950</v>
      </c>
      <c r="AB1727" t="s">
        <v>6951</v>
      </c>
      <c r="AC1727" t="s">
        <v>6952</v>
      </c>
      <c r="AD1727" t="s">
        <v>6953</v>
      </c>
    </row>
    <row r="1728" spans="1:30">
      <c r="A1728">
        <v>11007521</v>
      </c>
      <c r="B1728" t="s">
        <v>5468</v>
      </c>
      <c r="C1728" t="s">
        <v>1081</v>
      </c>
      <c r="D1728" t="s">
        <v>5953</v>
      </c>
      <c r="E1728" t="s">
        <v>5952</v>
      </c>
      <c r="J1728" t="s">
        <v>6525</v>
      </c>
      <c r="M1728" t="e">
        <v>#N/A</v>
      </c>
      <c r="N1728" t="e">
        <v>#N/A</v>
      </c>
      <c r="O1728" t="e">
        <v>#N/A</v>
      </c>
      <c r="P1728" t="e">
        <v>#N/A</v>
      </c>
      <c r="R1728" t="e">
        <v>#N/A</v>
      </c>
      <c r="T1728" t="s">
        <v>6927</v>
      </c>
      <c r="U1728" t="s">
        <v>6939</v>
      </c>
      <c r="V1728" t="s">
        <v>5985</v>
      </c>
      <c r="Y1728" t="s">
        <v>6948</v>
      </c>
      <c r="Z1728" t="s">
        <v>6949</v>
      </c>
      <c r="AA1728" t="s">
        <v>6950</v>
      </c>
      <c r="AB1728" t="s">
        <v>6951</v>
      </c>
      <c r="AC1728" t="s">
        <v>6952</v>
      </c>
      <c r="AD1728" t="s">
        <v>6953</v>
      </c>
    </row>
    <row r="1729" spans="1:30">
      <c r="A1729" t="s">
        <v>4604</v>
      </c>
      <c r="B1729" t="s">
        <v>5469</v>
      </c>
      <c r="C1729" t="s">
        <v>5900</v>
      </c>
      <c r="D1729" t="s">
        <v>5954</v>
      </c>
      <c r="E1729" t="s">
        <v>5952</v>
      </c>
      <c r="J1729" t="s">
        <v>6526</v>
      </c>
      <c r="M1729" t="e">
        <v>#N/A</v>
      </c>
      <c r="N1729" t="e">
        <v>#N/A</v>
      </c>
      <c r="O1729" t="e">
        <v>#N/A</v>
      </c>
      <c r="P1729" t="e">
        <v>#N/A</v>
      </c>
      <c r="R1729" t="e">
        <v>#N/A</v>
      </c>
      <c r="T1729" t="s">
        <v>6928</v>
      </c>
      <c r="U1729" t="s">
        <v>6940</v>
      </c>
      <c r="V1729" t="s">
        <v>5985</v>
      </c>
      <c r="Y1729" t="s">
        <v>6948</v>
      </c>
      <c r="Z1729" t="s">
        <v>6949</v>
      </c>
      <c r="AA1729" t="s">
        <v>6950</v>
      </c>
      <c r="AB1729" t="s">
        <v>6951</v>
      </c>
      <c r="AC1729" t="s">
        <v>6952</v>
      </c>
      <c r="AD1729" t="s">
        <v>6953</v>
      </c>
    </row>
    <row r="1730" spans="1:30">
      <c r="A1730" t="s">
        <v>4604</v>
      </c>
      <c r="B1730" t="s">
        <v>5470</v>
      </c>
      <c r="C1730" t="s">
        <v>5901</v>
      </c>
      <c r="D1730" t="s">
        <v>5954</v>
      </c>
      <c r="E1730" t="s">
        <v>5952</v>
      </c>
      <c r="J1730" t="s">
        <v>6527</v>
      </c>
      <c r="M1730" t="e">
        <v>#N/A</v>
      </c>
      <c r="N1730" t="e">
        <v>#N/A</v>
      </c>
      <c r="O1730" t="e">
        <v>#N/A</v>
      </c>
      <c r="P1730" t="e">
        <v>#N/A</v>
      </c>
      <c r="R1730" t="e">
        <v>#N/A</v>
      </c>
      <c r="T1730" t="s">
        <v>6929</v>
      </c>
      <c r="U1730" t="s">
        <v>6941</v>
      </c>
      <c r="V1730" t="s">
        <v>5985</v>
      </c>
      <c r="Y1730" t="s">
        <v>6948</v>
      </c>
      <c r="Z1730" t="s">
        <v>6949</v>
      </c>
      <c r="AA1730" t="s">
        <v>6950</v>
      </c>
      <c r="AB1730" t="s">
        <v>6951</v>
      </c>
      <c r="AC1730" t="s">
        <v>6952</v>
      </c>
      <c r="AD1730" t="s">
        <v>6953</v>
      </c>
    </row>
    <row r="1731" spans="1:30">
      <c r="A1731" t="s">
        <v>4604</v>
      </c>
      <c r="B1731" t="s">
        <v>5471</v>
      </c>
      <c r="C1731" t="s">
        <v>1223</v>
      </c>
      <c r="D1731" t="s">
        <v>6051</v>
      </c>
      <c r="E1731" t="s">
        <v>6052</v>
      </c>
      <c r="J1731" t="s">
        <v>6746</v>
      </c>
      <c r="M1731" t="e">
        <v>#N/A</v>
      </c>
      <c r="N1731" t="e">
        <v>#N/A</v>
      </c>
      <c r="O1731" t="e">
        <v>#N/A</v>
      </c>
      <c r="P1731" t="e">
        <v>#N/A</v>
      </c>
      <c r="R1731" t="e">
        <v>#N/A</v>
      </c>
      <c r="T1731" t="s">
        <v>6930</v>
      </c>
      <c r="U1731" t="s">
        <v>6942</v>
      </c>
      <c r="V1731" t="s">
        <v>5985</v>
      </c>
      <c r="Y1731" t="s">
        <v>6948</v>
      </c>
      <c r="Z1731" t="s">
        <v>6949</v>
      </c>
      <c r="AA1731" t="s">
        <v>6950</v>
      </c>
      <c r="AB1731" t="s">
        <v>6951</v>
      </c>
      <c r="AC1731" t="s">
        <v>6952</v>
      </c>
      <c r="AD1731" t="s">
        <v>6953</v>
      </c>
    </row>
    <row r="1732" spans="1:30">
      <c r="A1732" t="s">
        <v>4604</v>
      </c>
      <c r="B1732" t="s">
        <v>5472</v>
      </c>
      <c r="C1732" t="s">
        <v>1224</v>
      </c>
      <c r="D1732" t="s">
        <v>6051</v>
      </c>
      <c r="E1732" t="s">
        <v>6052</v>
      </c>
      <c r="J1732" t="s">
        <v>6747</v>
      </c>
      <c r="M1732" t="e">
        <v>#N/A</v>
      </c>
      <c r="N1732" t="e">
        <v>#N/A</v>
      </c>
      <c r="O1732" t="e">
        <v>#N/A</v>
      </c>
      <c r="P1732" t="e">
        <v>#N/A</v>
      </c>
      <c r="R1732" t="e">
        <v>#N/A</v>
      </c>
      <c r="T1732" t="s">
        <v>6931</v>
      </c>
      <c r="U1732" t="s">
        <v>6943</v>
      </c>
      <c r="V1732" t="s">
        <v>5985</v>
      </c>
      <c r="Y1732" t="s">
        <v>6948</v>
      </c>
      <c r="Z1732" t="s">
        <v>6949</v>
      </c>
      <c r="AA1732" t="s">
        <v>6950</v>
      </c>
      <c r="AB1732" t="s">
        <v>6951</v>
      </c>
      <c r="AC1732" t="s">
        <v>6952</v>
      </c>
      <c r="AD1732" t="s">
        <v>6953</v>
      </c>
    </row>
    <row r="1733" spans="1:30">
      <c r="A1733" t="s">
        <v>4604</v>
      </c>
      <c r="B1733" t="s">
        <v>5473</v>
      </c>
      <c r="C1733" t="s">
        <v>1269</v>
      </c>
      <c r="D1733" t="s">
        <v>6053</v>
      </c>
      <c r="E1733" t="s">
        <v>6054</v>
      </c>
      <c r="J1733" t="s">
        <v>6748</v>
      </c>
      <c r="M1733" t="e">
        <v>#N/A</v>
      </c>
      <c r="N1733" t="e">
        <v>#N/A</v>
      </c>
      <c r="O1733" t="e">
        <v>#N/A</v>
      </c>
      <c r="P1733" t="e">
        <v>#N/A</v>
      </c>
      <c r="R1733" t="e">
        <v>#N/A</v>
      </c>
      <c r="T1733" t="s">
        <v>6932</v>
      </c>
      <c r="U1733" t="s">
        <v>6944</v>
      </c>
      <c r="V1733" t="s">
        <v>5985</v>
      </c>
      <c r="Y1733" t="s">
        <v>6948</v>
      </c>
      <c r="Z1733" t="s">
        <v>6949</v>
      </c>
      <c r="AA1733" t="s">
        <v>6950</v>
      </c>
      <c r="AB1733" t="s">
        <v>6951</v>
      </c>
      <c r="AC1733" t="s">
        <v>6952</v>
      </c>
      <c r="AD1733" t="s">
        <v>6953</v>
      </c>
    </row>
    <row r="1734" spans="1:30">
      <c r="A1734" t="s">
        <v>4604</v>
      </c>
      <c r="B1734" t="s">
        <v>5474</v>
      </c>
      <c r="C1734" t="s">
        <v>5902</v>
      </c>
      <c r="D1734" t="s">
        <v>6053</v>
      </c>
      <c r="E1734" t="s">
        <v>6054</v>
      </c>
      <c r="J1734" t="s">
        <v>6749</v>
      </c>
      <c r="M1734" t="e">
        <v>#N/A</v>
      </c>
      <c r="N1734" t="e">
        <v>#N/A</v>
      </c>
      <c r="O1734" t="e">
        <v>#N/A</v>
      </c>
      <c r="P1734" t="e">
        <v>#N/A</v>
      </c>
      <c r="R1734" t="e">
        <v>#N/A</v>
      </c>
      <c r="T1734" t="s">
        <v>6933</v>
      </c>
      <c r="U1734" t="s">
        <v>6945</v>
      </c>
      <c r="V1734" t="s">
        <v>5985</v>
      </c>
      <c r="Y1734" t="s">
        <v>6948</v>
      </c>
      <c r="Z1734" t="s">
        <v>6949</v>
      </c>
      <c r="AA1734" t="s">
        <v>6950</v>
      </c>
      <c r="AB1734" t="s">
        <v>6951</v>
      </c>
      <c r="AC1734" t="s">
        <v>6952</v>
      </c>
      <c r="AD1734" t="s">
        <v>6953</v>
      </c>
    </row>
    <row r="1735" spans="1:30">
      <c r="A1735">
        <v>11006857</v>
      </c>
      <c r="B1735" t="s">
        <v>5475</v>
      </c>
      <c r="C1735" t="s">
        <v>5903</v>
      </c>
      <c r="D1735" t="e">
        <v>#N/A</v>
      </c>
      <c r="E1735" t="e">
        <v>#N/A</v>
      </c>
      <c r="J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R1735" t="e">
        <v>#N/A</v>
      </c>
      <c r="T1735" t="e">
        <v>#N/A</v>
      </c>
      <c r="U1735" t="e">
        <v>#N/A</v>
      </c>
      <c r="V1735" t="e">
        <v>#N/A</v>
      </c>
      <c r="Y1735" t="s">
        <v>6948</v>
      </c>
      <c r="Z1735" t="s">
        <v>6949</v>
      </c>
      <c r="AA1735" t="s">
        <v>6950</v>
      </c>
      <c r="AB1735" t="s">
        <v>6951</v>
      </c>
      <c r="AC1735" t="s">
        <v>6952</v>
      </c>
      <c r="AD1735" t="s">
        <v>6953</v>
      </c>
    </row>
    <row r="1736" spans="1:30">
      <c r="A1736">
        <v>11001681</v>
      </c>
      <c r="B1736" t="s">
        <v>5476</v>
      </c>
      <c r="C1736" t="s">
        <v>1217</v>
      </c>
      <c r="D1736" t="s">
        <v>6180</v>
      </c>
      <c r="E1736" t="s">
        <v>6181</v>
      </c>
      <c r="J1736" t="s">
        <v>6879</v>
      </c>
      <c r="M1736" t="e">
        <v>#N/A</v>
      </c>
      <c r="N1736" t="e">
        <v>#N/A</v>
      </c>
      <c r="O1736" t="e">
        <v>#N/A</v>
      </c>
      <c r="P1736" t="e">
        <v>#N/A</v>
      </c>
      <c r="R1736" t="e">
        <v>#N/A</v>
      </c>
      <c r="T1736" t="s">
        <v>5985</v>
      </c>
      <c r="U1736" t="s">
        <v>5985</v>
      </c>
      <c r="V1736" t="s">
        <v>5985</v>
      </c>
      <c r="Y1736" t="s">
        <v>6948</v>
      </c>
      <c r="Z1736" t="s">
        <v>6949</v>
      </c>
      <c r="AA1736" t="s">
        <v>6950</v>
      </c>
      <c r="AB1736" t="s">
        <v>6951</v>
      </c>
      <c r="AC1736" t="s">
        <v>6952</v>
      </c>
      <c r="AD1736" t="s">
        <v>6953</v>
      </c>
    </row>
    <row r="1737" spans="1:30">
      <c r="A1737">
        <v>11001667</v>
      </c>
      <c r="B1737" t="s">
        <v>5477</v>
      </c>
      <c r="C1737" t="s">
        <v>1149</v>
      </c>
      <c r="D1737" t="s">
        <v>6182</v>
      </c>
      <c r="E1737" t="s">
        <v>6183</v>
      </c>
      <c r="J1737" t="s">
        <v>2684</v>
      </c>
      <c r="M1737" t="e">
        <v>#N/A</v>
      </c>
      <c r="N1737" t="e">
        <v>#N/A</v>
      </c>
      <c r="O1737" t="e">
        <v>#N/A</v>
      </c>
      <c r="P1737" t="e">
        <v>#N/A</v>
      </c>
      <c r="R1737" t="e">
        <v>#N/A</v>
      </c>
      <c r="T1737" t="s">
        <v>5985</v>
      </c>
      <c r="U1737" t="s">
        <v>5985</v>
      </c>
      <c r="V1737" t="s">
        <v>5985</v>
      </c>
      <c r="Y1737" t="s">
        <v>6948</v>
      </c>
      <c r="Z1737" t="s">
        <v>6949</v>
      </c>
      <c r="AA1737" t="s">
        <v>6950</v>
      </c>
      <c r="AB1737" t="s">
        <v>6951</v>
      </c>
      <c r="AC1737" t="s">
        <v>6952</v>
      </c>
      <c r="AD1737" t="s">
        <v>6953</v>
      </c>
    </row>
    <row r="1738" spans="1:30">
      <c r="A1738">
        <v>11009554</v>
      </c>
      <c r="B1738" t="s">
        <v>5478</v>
      </c>
      <c r="C1738" t="s">
        <v>5904</v>
      </c>
      <c r="D1738" t="s">
        <v>6184</v>
      </c>
      <c r="E1738" t="s">
        <v>6185</v>
      </c>
      <c r="J1738" t="s">
        <v>6880</v>
      </c>
      <c r="M1738" t="e">
        <v>#N/A</v>
      </c>
      <c r="N1738" t="e">
        <v>#N/A</v>
      </c>
      <c r="O1738" t="e">
        <v>#N/A</v>
      </c>
      <c r="P1738" t="e">
        <v>#N/A</v>
      </c>
      <c r="R1738" t="e">
        <v>#N/A</v>
      </c>
      <c r="T1738" t="s">
        <v>5985</v>
      </c>
      <c r="U1738" t="s">
        <v>5985</v>
      </c>
      <c r="V1738" t="s">
        <v>5985</v>
      </c>
      <c r="Y1738" t="s">
        <v>6948</v>
      </c>
      <c r="Z1738" t="s">
        <v>6949</v>
      </c>
      <c r="AA1738" t="s">
        <v>6950</v>
      </c>
      <c r="AB1738" t="s">
        <v>6951</v>
      </c>
      <c r="AC1738" t="s">
        <v>6952</v>
      </c>
      <c r="AD1738" t="s">
        <v>6953</v>
      </c>
    </row>
    <row r="1739" spans="1:30">
      <c r="A1739">
        <v>11006232</v>
      </c>
      <c r="B1739" t="s">
        <v>5479</v>
      </c>
      <c r="C1739" t="s">
        <v>5905</v>
      </c>
      <c r="D1739" t="s">
        <v>6186</v>
      </c>
      <c r="E1739" t="s">
        <v>6187</v>
      </c>
      <c r="J1739" t="s">
        <v>6881</v>
      </c>
      <c r="M1739" t="e">
        <v>#N/A</v>
      </c>
      <c r="N1739" t="e">
        <v>#N/A</v>
      </c>
      <c r="O1739" t="e">
        <v>#N/A</v>
      </c>
      <c r="P1739" t="e">
        <v>#N/A</v>
      </c>
      <c r="R1739" t="e">
        <v>#N/A</v>
      </c>
      <c r="T1739" t="s">
        <v>5985</v>
      </c>
      <c r="U1739" t="s">
        <v>5985</v>
      </c>
      <c r="V1739" t="s">
        <v>5985</v>
      </c>
      <c r="Y1739" t="s">
        <v>6948</v>
      </c>
      <c r="Z1739" t="s">
        <v>6949</v>
      </c>
      <c r="AA1739" t="s">
        <v>6950</v>
      </c>
      <c r="AB1739" t="s">
        <v>6951</v>
      </c>
      <c r="AC1739" t="s">
        <v>6952</v>
      </c>
      <c r="AD1739" t="s">
        <v>6953</v>
      </c>
    </row>
    <row r="1740" spans="1:30">
      <c r="A1740">
        <v>11006228</v>
      </c>
      <c r="B1740" t="s">
        <v>5480</v>
      </c>
      <c r="C1740" t="s">
        <v>5817</v>
      </c>
      <c r="D1740" t="s">
        <v>6049</v>
      </c>
      <c r="E1740" t="s">
        <v>6050</v>
      </c>
      <c r="J1740" t="s">
        <v>6744</v>
      </c>
      <c r="M1740" t="e">
        <v>#N/A</v>
      </c>
      <c r="N1740" t="e">
        <v>#N/A</v>
      </c>
      <c r="O1740" t="e">
        <v>#N/A</v>
      </c>
      <c r="P1740" t="e">
        <v>#N/A</v>
      </c>
      <c r="R1740" t="e">
        <v>#N/A</v>
      </c>
      <c r="T1740" t="s">
        <v>5985</v>
      </c>
      <c r="U1740" t="s">
        <v>5985</v>
      </c>
      <c r="V1740" t="s">
        <v>5985</v>
      </c>
      <c r="Y1740" t="s">
        <v>6948</v>
      </c>
      <c r="Z1740" t="s">
        <v>6949</v>
      </c>
      <c r="AA1740" t="s">
        <v>6950</v>
      </c>
      <c r="AB1740" t="s">
        <v>6951</v>
      </c>
      <c r="AC1740" t="s">
        <v>6952</v>
      </c>
      <c r="AD1740" t="s">
        <v>6953</v>
      </c>
    </row>
    <row r="1741" spans="1:30">
      <c r="A1741">
        <v>11006224</v>
      </c>
      <c r="B1741" t="s">
        <v>5481</v>
      </c>
      <c r="C1741" t="s">
        <v>1308</v>
      </c>
      <c r="D1741" t="s">
        <v>6049</v>
      </c>
      <c r="E1741" t="s">
        <v>6050</v>
      </c>
      <c r="J1741" t="s">
        <v>6745</v>
      </c>
      <c r="M1741" t="e">
        <v>#N/A</v>
      </c>
      <c r="N1741" t="e">
        <v>#N/A</v>
      </c>
      <c r="O1741" t="e">
        <v>#N/A</v>
      </c>
      <c r="P1741" t="e">
        <v>#N/A</v>
      </c>
      <c r="R1741" t="e">
        <v>#N/A</v>
      </c>
      <c r="T1741" t="s">
        <v>5985</v>
      </c>
      <c r="U1741" t="s">
        <v>5985</v>
      </c>
      <c r="V1741" t="s">
        <v>5985</v>
      </c>
      <c r="Y1741" t="s">
        <v>6948</v>
      </c>
      <c r="Z1741" t="s">
        <v>6949</v>
      </c>
      <c r="AA1741" t="s">
        <v>6950</v>
      </c>
      <c r="AB1741" t="s">
        <v>6951</v>
      </c>
      <c r="AC1741" t="s">
        <v>6952</v>
      </c>
      <c r="AD1741" t="s">
        <v>6953</v>
      </c>
    </row>
    <row r="1742" spans="1:30">
      <c r="A1742">
        <v>11005604</v>
      </c>
      <c r="B1742" t="s">
        <v>5482</v>
      </c>
      <c r="C1742" t="s">
        <v>5906</v>
      </c>
      <c r="D1742" t="s">
        <v>6094</v>
      </c>
      <c r="E1742" t="s">
        <v>6095</v>
      </c>
      <c r="J1742" t="s">
        <v>6793</v>
      </c>
      <c r="M1742" t="e">
        <v>#N/A</v>
      </c>
      <c r="N1742" t="e">
        <v>#N/A</v>
      </c>
      <c r="O1742" t="e">
        <v>#N/A</v>
      </c>
      <c r="P1742" t="e">
        <v>#N/A</v>
      </c>
      <c r="R1742" t="e">
        <v>#N/A</v>
      </c>
      <c r="T1742" t="s">
        <v>5985</v>
      </c>
      <c r="U1742" t="s">
        <v>5985</v>
      </c>
      <c r="V1742" t="s">
        <v>5985</v>
      </c>
      <c r="Y1742" t="s">
        <v>6948</v>
      </c>
      <c r="Z1742" t="s">
        <v>6949</v>
      </c>
      <c r="AA1742" t="s">
        <v>6950</v>
      </c>
      <c r="AB1742" t="s">
        <v>6951</v>
      </c>
      <c r="AC1742" t="s">
        <v>6952</v>
      </c>
      <c r="AD1742" t="s">
        <v>6953</v>
      </c>
    </row>
    <row r="1743" spans="1:30">
      <c r="A1743">
        <v>11005599</v>
      </c>
      <c r="B1743" t="s">
        <v>5483</v>
      </c>
      <c r="C1743" t="s">
        <v>5907</v>
      </c>
      <c r="D1743" t="s">
        <v>6096</v>
      </c>
      <c r="E1743" t="s">
        <v>6097</v>
      </c>
      <c r="J1743" t="s">
        <v>6794</v>
      </c>
      <c r="M1743" t="e">
        <v>#N/A</v>
      </c>
      <c r="N1743" t="e">
        <v>#N/A</v>
      </c>
      <c r="O1743" t="e">
        <v>#N/A</v>
      </c>
      <c r="P1743" t="e">
        <v>#N/A</v>
      </c>
      <c r="R1743" t="e">
        <v>#N/A</v>
      </c>
      <c r="T1743" t="s">
        <v>5985</v>
      </c>
      <c r="U1743" t="s">
        <v>5985</v>
      </c>
      <c r="V1743" t="s">
        <v>5985</v>
      </c>
      <c r="Y1743" t="s">
        <v>6948</v>
      </c>
      <c r="Z1743" t="s">
        <v>6949</v>
      </c>
      <c r="AA1743" t="s">
        <v>6950</v>
      </c>
      <c r="AB1743" t="s">
        <v>6951</v>
      </c>
      <c r="AC1743" t="s">
        <v>6952</v>
      </c>
      <c r="AD1743" t="s">
        <v>6953</v>
      </c>
    </row>
    <row r="1744" spans="1:30">
      <c r="A1744">
        <v>11005594</v>
      </c>
      <c r="B1744" t="s">
        <v>5484</v>
      </c>
      <c r="C1744" t="s">
        <v>5908</v>
      </c>
      <c r="D1744" t="s">
        <v>6098</v>
      </c>
      <c r="E1744" t="s">
        <v>6099</v>
      </c>
      <c r="J1744" t="s">
        <v>6795</v>
      </c>
      <c r="M1744" t="e">
        <v>#N/A</v>
      </c>
      <c r="N1744" t="e">
        <v>#N/A</v>
      </c>
      <c r="O1744" t="e">
        <v>#N/A</v>
      </c>
      <c r="P1744" t="e">
        <v>#N/A</v>
      </c>
      <c r="R1744" t="e">
        <v>#N/A</v>
      </c>
      <c r="T1744" t="s">
        <v>6935</v>
      </c>
      <c r="U1744" t="s">
        <v>5985</v>
      </c>
      <c r="V1744" t="s">
        <v>5985</v>
      </c>
      <c r="Y1744" t="s">
        <v>6948</v>
      </c>
      <c r="Z1744" t="s">
        <v>6949</v>
      </c>
      <c r="AA1744" t="s">
        <v>6950</v>
      </c>
      <c r="AB1744" t="s">
        <v>6951</v>
      </c>
      <c r="AC1744" t="s">
        <v>6952</v>
      </c>
      <c r="AD1744" t="s">
        <v>6953</v>
      </c>
    </row>
    <row r="1745" spans="1:30">
      <c r="A1745" t="s">
        <v>4604</v>
      </c>
      <c r="B1745" t="s">
        <v>5485</v>
      </c>
      <c r="C1745" t="s">
        <v>5909</v>
      </c>
      <c r="D1745" t="s">
        <v>6100</v>
      </c>
      <c r="E1745" t="s">
        <v>6101</v>
      </c>
      <c r="J1745" t="s">
        <v>6796</v>
      </c>
      <c r="M1745" t="e">
        <v>#N/A</v>
      </c>
      <c r="N1745" t="e">
        <v>#N/A</v>
      </c>
      <c r="O1745" t="e">
        <v>#N/A</v>
      </c>
      <c r="P1745" t="e">
        <v>#N/A</v>
      </c>
      <c r="R1745" t="e">
        <v>#N/A</v>
      </c>
      <c r="T1745" t="s">
        <v>5985</v>
      </c>
      <c r="U1745" t="s">
        <v>5985</v>
      </c>
      <c r="V1745" t="s">
        <v>5985</v>
      </c>
      <c r="Y1745" t="s">
        <v>6948</v>
      </c>
      <c r="Z1745" t="s">
        <v>6949</v>
      </c>
      <c r="AA1745" t="s">
        <v>6950</v>
      </c>
      <c r="AB1745" t="s">
        <v>6951</v>
      </c>
      <c r="AC1745" t="s">
        <v>6952</v>
      </c>
      <c r="AD1745" t="s">
        <v>6953</v>
      </c>
    </row>
    <row r="1746" spans="1:30">
      <c r="A1746">
        <v>11005587</v>
      </c>
      <c r="B1746" t="s">
        <v>5486</v>
      </c>
      <c r="C1746" t="s">
        <v>5910</v>
      </c>
      <c r="D1746" t="s">
        <v>6094</v>
      </c>
      <c r="E1746" t="s">
        <v>6095</v>
      </c>
      <c r="J1746" t="s">
        <v>6797</v>
      </c>
      <c r="M1746" t="e">
        <v>#N/A</v>
      </c>
      <c r="N1746" t="e">
        <v>#N/A</v>
      </c>
      <c r="O1746" t="e">
        <v>#N/A</v>
      </c>
      <c r="P1746" t="e">
        <v>#N/A</v>
      </c>
      <c r="R1746" t="e">
        <v>#N/A</v>
      </c>
      <c r="T1746" t="s">
        <v>5985</v>
      </c>
      <c r="U1746" t="s">
        <v>5985</v>
      </c>
      <c r="V1746" t="s">
        <v>5985</v>
      </c>
      <c r="Y1746" t="s">
        <v>6948</v>
      </c>
      <c r="Z1746" t="s">
        <v>6949</v>
      </c>
      <c r="AA1746" t="s">
        <v>6950</v>
      </c>
      <c r="AB1746" t="s">
        <v>6951</v>
      </c>
      <c r="AC1746" t="s">
        <v>6952</v>
      </c>
      <c r="AD1746" t="s">
        <v>6953</v>
      </c>
    </row>
    <row r="1747" spans="1:30">
      <c r="A1747">
        <v>11005586</v>
      </c>
      <c r="B1747" t="s">
        <v>5487</v>
      </c>
      <c r="C1747" t="s">
        <v>1130</v>
      </c>
      <c r="D1747" t="s">
        <v>6188</v>
      </c>
      <c r="E1747" t="s">
        <v>6189</v>
      </c>
      <c r="J1747" t="s">
        <v>6882</v>
      </c>
      <c r="M1747" t="e">
        <v>#N/A</v>
      </c>
      <c r="N1747" t="e">
        <v>#N/A</v>
      </c>
      <c r="O1747" t="e">
        <v>#N/A</v>
      </c>
      <c r="P1747" t="e">
        <v>#N/A</v>
      </c>
      <c r="R1747" t="e">
        <v>#N/A</v>
      </c>
      <c r="T1747" t="s">
        <v>5985</v>
      </c>
      <c r="U1747" t="s">
        <v>5985</v>
      </c>
      <c r="V1747" t="s">
        <v>5985</v>
      </c>
      <c r="Y1747" t="s">
        <v>6948</v>
      </c>
      <c r="Z1747" t="s">
        <v>6949</v>
      </c>
      <c r="AA1747" t="s">
        <v>6950</v>
      </c>
      <c r="AB1747" t="s">
        <v>6951</v>
      </c>
      <c r="AC1747" t="s">
        <v>6952</v>
      </c>
      <c r="AD1747" t="s">
        <v>6953</v>
      </c>
    </row>
    <row r="1748" spans="1:30">
      <c r="A1748" t="s">
        <v>4604</v>
      </c>
      <c r="B1748" t="s">
        <v>5488</v>
      </c>
      <c r="C1748" t="s">
        <v>5829</v>
      </c>
      <c r="D1748" t="s">
        <v>6190</v>
      </c>
      <c r="E1748" t="s">
        <v>6191</v>
      </c>
      <c r="J1748" t="s">
        <v>6883</v>
      </c>
      <c r="M1748" t="e">
        <v>#N/A</v>
      </c>
      <c r="N1748" t="e">
        <v>#N/A</v>
      </c>
      <c r="O1748" t="e">
        <v>#N/A</v>
      </c>
      <c r="P1748" t="e">
        <v>#N/A</v>
      </c>
      <c r="R1748" t="e">
        <v>#N/A</v>
      </c>
      <c r="T1748" t="s">
        <v>5985</v>
      </c>
      <c r="U1748" t="s">
        <v>5985</v>
      </c>
      <c r="V1748" t="s">
        <v>5985</v>
      </c>
      <c r="Y1748" t="s">
        <v>6948</v>
      </c>
      <c r="Z1748" t="s">
        <v>6949</v>
      </c>
      <c r="AA1748" t="s">
        <v>6950</v>
      </c>
      <c r="AB1748" t="s">
        <v>6951</v>
      </c>
      <c r="AC1748" t="s">
        <v>6952</v>
      </c>
      <c r="AD1748" t="s">
        <v>6953</v>
      </c>
    </row>
    <row r="1749" spans="1:30">
      <c r="A1749">
        <v>11007180</v>
      </c>
      <c r="B1749" t="s">
        <v>5489</v>
      </c>
      <c r="C1749" t="s">
        <v>5911</v>
      </c>
      <c r="D1749" t="s">
        <v>6190</v>
      </c>
      <c r="E1749" t="s">
        <v>6191</v>
      </c>
      <c r="J1749" t="s">
        <v>6884</v>
      </c>
      <c r="M1749" t="e">
        <v>#N/A</v>
      </c>
      <c r="N1749" t="e">
        <v>#N/A</v>
      </c>
      <c r="O1749" t="e">
        <v>#N/A</v>
      </c>
      <c r="P1749" t="e">
        <v>#N/A</v>
      </c>
      <c r="R1749" t="e">
        <v>#N/A</v>
      </c>
      <c r="T1749" t="s">
        <v>5985</v>
      </c>
      <c r="U1749" t="s">
        <v>5985</v>
      </c>
      <c r="V1749" t="s">
        <v>5985</v>
      </c>
      <c r="Y1749" t="s">
        <v>6948</v>
      </c>
      <c r="Z1749" t="s">
        <v>6949</v>
      </c>
      <c r="AA1749" t="s">
        <v>6950</v>
      </c>
      <c r="AB1749" t="s">
        <v>6951</v>
      </c>
      <c r="AC1749" t="s">
        <v>6952</v>
      </c>
      <c r="AD1749" t="s">
        <v>6953</v>
      </c>
    </row>
    <row r="1750" spans="1:30">
      <c r="A1750">
        <v>11006260</v>
      </c>
      <c r="B1750" t="s">
        <v>5490</v>
      </c>
      <c r="C1750" t="s">
        <v>5802</v>
      </c>
      <c r="D1750" t="s">
        <v>6041</v>
      </c>
      <c r="E1750" t="s">
        <v>6042</v>
      </c>
      <c r="J1750" t="s">
        <v>6721</v>
      </c>
      <c r="M1750" t="e">
        <v>#N/A</v>
      </c>
      <c r="N1750" t="e">
        <v>#N/A</v>
      </c>
      <c r="O1750" t="e">
        <v>#N/A</v>
      </c>
      <c r="P1750" t="e">
        <v>#N/A</v>
      </c>
      <c r="R1750" t="e">
        <v>#N/A</v>
      </c>
      <c r="T1750" t="s">
        <v>5985</v>
      </c>
      <c r="U1750" t="s">
        <v>5985</v>
      </c>
      <c r="V1750" t="s">
        <v>5985</v>
      </c>
      <c r="Y1750" t="s">
        <v>6948</v>
      </c>
      <c r="Z1750" t="s">
        <v>6949</v>
      </c>
      <c r="AA1750" t="s">
        <v>6950</v>
      </c>
      <c r="AB1750" t="s">
        <v>6951</v>
      </c>
      <c r="AC1750" t="s">
        <v>6952</v>
      </c>
      <c r="AD1750" t="s">
        <v>6953</v>
      </c>
    </row>
    <row r="1751" spans="1:30">
      <c r="A1751">
        <v>11005199</v>
      </c>
      <c r="B1751" t="s">
        <v>5491</v>
      </c>
      <c r="C1751" t="s">
        <v>965</v>
      </c>
      <c r="D1751" t="s">
        <v>6192</v>
      </c>
      <c r="E1751" t="s">
        <v>6109</v>
      </c>
      <c r="J1751" t="s">
        <v>6804</v>
      </c>
      <c r="M1751" t="e">
        <v>#N/A</v>
      </c>
      <c r="N1751" t="e">
        <v>#N/A</v>
      </c>
      <c r="O1751" t="e">
        <v>#N/A</v>
      </c>
      <c r="P1751" t="e">
        <v>#N/A</v>
      </c>
      <c r="R1751" t="e">
        <v>#N/A</v>
      </c>
      <c r="T1751" t="s">
        <v>5985</v>
      </c>
      <c r="U1751" t="s">
        <v>5985</v>
      </c>
      <c r="V1751" t="s">
        <v>5985</v>
      </c>
      <c r="Y1751" t="s">
        <v>6948</v>
      </c>
      <c r="Z1751" t="s">
        <v>6949</v>
      </c>
      <c r="AA1751" t="s">
        <v>6950</v>
      </c>
      <c r="AB1751" t="s">
        <v>6951</v>
      </c>
      <c r="AC1751" t="s">
        <v>6952</v>
      </c>
      <c r="AD1751" t="s">
        <v>6953</v>
      </c>
    </row>
    <row r="1752" spans="1:30">
      <c r="A1752" t="s">
        <v>4604</v>
      </c>
      <c r="B1752" t="s">
        <v>5492</v>
      </c>
      <c r="C1752" t="s">
        <v>1019</v>
      </c>
      <c r="D1752" t="e">
        <v>#N/A</v>
      </c>
      <c r="E1752" t="e">
        <v>#N/A</v>
      </c>
      <c r="J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R1752" t="e">
        <v>#N/A</v>
      </c>
      <c r="T1752" t="e">
        <v>#N/A</v>
      </c>
      <c r="U1752" t="e">
        <v>#N/A</v>
      </c>
      <c r="V1752" t="e">
        <v>#N/A</v>
      </c>
      <c r="Y1752" t="s">
        <v>6948</v>
      </c>
      <c r="Z1752" t="s">
        <v>6949</v>
      </c>
      <c r="AA1752" t="s">
        <v>6950</v>
      </c>
      <c r="AB1752" t="s">
        <v>6951</v>
      </c>
      <c r="AC1752" t="s">
        <v>6952</v>
      </c>
      <c r="AD1752" t="s">
        <v>6953</v>
      </c>
    </row>
    <row r="1753" spans="1:30">
      <c r="A1753">
        <v>11003205</v>
      </c>
      <c r="B1753" t="s">
        <v>5493</v>
      </c>
      <c r="C1753" t="s">
        <v>1054</v>
      </c>
      <c r="D1753" t="s">
        <v>6193</v>
      </c>
      <c r="E1753" t="s">
        <v>6194</v>
      </c>
      <c r="J1753" t="s">
        <v>3844</v>
      </c>
      <c r="M1753" t="e">
        <v>#N/A</v>
      </c>
      <c r="N1753" t="e">
        <v>#N/A</v>
      </c>
      <c r="O1753" t="e">
        <v>#N/A</v>
      </c>
      <c r="P1753" t="e">
        <v>#N/A</v>
      </c>
      <c r="R1753" t="e">
        <v>#N/A</v>
      </c>
      <c r="T1753" t="s">
        <v>5985</v>
      </c>
      <c r="U1753" t="s">
        <v>5985</v>
      </c>
      <c r="V1753" t="s">
        <v>5985</v>
      </c>
      <c r="Y1753" t="s">
        <v>6948</v>
      </c>
      <c r="Z1753" t="s">
        <v>6949</v>
      </c>
      <c r="AA1753" t="s">
        <v>6950</v>
      </c>
      <c r="AB1753" t="s">
        <v>6951</v>
      </c>
      <c r="AC1753" t="s">
        <v>6952</v>
      </c>
      <c r="AD1753" t="s">
        <v>6953</v>
      </c>
    </row>
    <row r="1754" spans="1:30">
      <c r="A1754" t="s">
        <v>4604</v>
      </c>
      <c r="B1754" t="s">
        <v>5494</v>
      </c>
      <c r="C1754" t="s">
        <v>5857</v>
      </c>
      <c r="D1754" t="e">
        <v>#N/A</v>
      </c>
      <c r="E1754" t="e">
        <v>#N/A</v>
      </c>
      <c r="J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R1754" t="e">
        <v>#N/A</v>
      </c>
      <c r="T1754" t="e">
        <v>#N/A</v>
      </c>
      <c r="U1754" t="e">
        <v>#N/A</v>
      </c>
      <c r="V1754" t="e">
        <v>#N/A</v>
      </c>
      <c r="Y1754" t="s">
        <v>6948</v>
      </c>
      <c r="Z1754" t="s">
        <v>6949</v>
      </c>
      <c r="AA1754" t="s">
        <v>6950</v>
      </c>
      <c r="AB1754" t="s">
        <v>6951</v>
      </c>
      <c r="AC1754" t="s">
        <v>6952</v>
      </c>
      <c r="AD1754" t="s">
        <v>6953</v>
      </c>
    </row>
    <row r="1755" spans="1:30">
      <c r="A1755" t="s">
        <v>4604</v>
      </c>
      <c r="B1755" t="s">
        <v>5495</v>
      </c>
      <c r="C1755" t="s">
        <v>1310</v>
      </c>
      <c r="D1755" t="s">
        <v>6195</v>
      </c>
      <c r="E1755" t="s">
        <v>6196</v>
      </c>
      <c r="J1755" t="s">
        <v>6885</v>
      </c>
      <c r="M1755" t="e">
        <v>#N/A</v>
      </c>
      <c r="N1755" t="e">
        <v>#N/A</v>
      </c>
      <c r="O1755" t="e">
        <v>#N/A</v>
      </c>
      <c r="P1755" t="e">
        <v>#N/A</v>
      </c>
      <c r="R1755" t="e">
        <v>#N/A</v>
      </c>
      <c r="T1755" t="s">
        <v>5985</v>
      </c>
      <c r="U1755" t="s">
        <v>5985</v>
      </c>
      <c r="V1755" t="s">
        <v>5985</v>
      </c>
      <c r="Y1755" t="s">
        <v>6948</v>
      </c>
      <c r="Z1755" t="s">
        <v>6949</v>
      </c>
      <c r="AA1755" t="s">
        <v>6950</v>
      </c>
      <c r="AB1755" t="s">
        <v>6951</v>
      </c>
      <c r="AC1755" t="s">
        <v>6952</v>
      </c>
      <c r="AD1755" t="s">
        <v>6953</v>
      </c>
    </row>
    <row r="1756" spans="1:30">
      <c r="A1756">
        <v>11009492</v>
      </c>
      <c r="B1756" t="s">
        <v>5496</v>
      </c>
      <c r="C1756" t="s">
        <v>989</v>
      </c>
      <c r="D1756" t="s">
        <v>6081</v>
      </c>
      <c r="E1756" t="s">
        <v>6082</v>
      </c>
      <c r="J1756" t="s">
        <v>6886</v>
      </c>
      <c r="M1756" t="e">
        <v>#N/A</v>
      </c>
      <c r="N1756" t="e">
        <v>#N/A</v>
      </c>
      <c r="O1756" t="e">
        <v>#N/A</v>
      </c>
      <c r="P1756" t="e">
        <v>#N/A</v>
      </c>
      <c r="R1756" t="e">
        <v>#N/A</v>
      </c>
      <c r="T1756" t="s">
        <v>5983</v>
      </c>
      <c r="U1756" t="s">
        <v>5985</v>
      </c>
      <c r="V1756" t="s">
        <v>5985</v>
      </c>
      <c r="Y1756" t="s">
        <v>6948</v>
      </c>
      <c r="Z1756" t="s">
        <v>6949</v>
      </c>
      <c r="AA1756" t="s">
        <v>6950</v>
      </c>
      <c r="AB1756" t="s">
        <v>6951</v>
      </c>
      <c r="AC1756" t="s">
        <v>6952</v>
      </c>
      <c r="AD1756" t="s">
        <v>6953</v>
      </c>
    </row>
    <row r="1757" spans="1:30">
      <c r="A1757">
        <v>11005789</v>
      </c>
      <c r="B1757" t="s">
        <v>5497</v>
      </c>
      <c r="C1757" t="s">
        <v>982</v>
      </c>
      <c r="D1757" t="s">
        <v>6081</v>
      </c>
      <c r="E1757" t="s">
        <v>6082</v>
      </c>
      <c r="J1757" t="s">
        <v>6887</v>
      </c>
      <c r="M1757" t="e">
        <v>#N/A</v>
      </c>
      <c r="N1757" t="e">
        <v>#N/A</v>
      </c>
      <c r="O1757" t="e">
        <v>#N/A</v>
      </c>
      <c r="P1757" t="e">
        <v>#N/A</v>
      </c>
      <c r="R1757" t="e">
        <v>#N/A</v>
      </c>
      <c r="T1757" t="s">
        <v>5983</v>
      </c>
      <c r="U1757" t="s">
        <v>5985</v>
      </c>
      <c r="V1757" t="s">
        <v>5985</v>
      </c>
      <c r="Y1757" t="s">
        <v>6948</v>
      </c>
      <c r="Z1757" t="s">
        <v>6949</v>
      </c>
      <c r="AA1757" t="s">
        <v>6950</v>
      </c>
      <c r="AB1757" t="s">
        <v>6951</v>
      </c>
      <c r="AC1757" t="s">
        <v>6952</v>
      </c>
      <c r="AD1757" t="s">
        <v>6953</v>
      </c>
    </row>
    <row r="1758" spans="1:30">
      <c r="A1758">
        <v>11005787</v>
      </c>
      <c r="B1758" t="s">
        <v>5498</v>
      </c>
      <c r="C1758" t="s">
        <v>1202</v>
      </c>
      <c r="D1758" t="s">
        <v>6085</v>
      </c>
      <c r="E1758" t="s">
        <v>6086</v>
      </c>
      <c r="J1758" t="s">
        <v>6787</v>
      </c>
      <c r="M1758" t="e">
        <v>#N/A</v>
      </c>
      <c r="N1758" t="e">
        <v>#N/A</v>
      </c>
      <c r="O1758" t="e">
        <v>#N/A</v>
      </c>
      <c r="P1758" t="e">
        <v>#N/A</v>
      </c>
      <c r="R1758" t="e">
        <v>#N/A</v>
      </c>
      <c r="T1758" t="s">
        <v>5983</v>
      </c>
      <c r="U1758" t="s">
        <v>5983</v>
      </c>
      <c r="V1758" t="s">
        <v>5983</v>
      </c>
      <c r="Y1758" t="s">
        <v>6948</v>
      </c>
      <c r="Z1758" t="s">
        <v>6949</v>
      </c>
      <c r="AA1758" t="s">
        <v>6950</v>
      </c>
      <c r="AB1758" t="s">
        <v>6951</v>
      </c>
      <c r="AC1758" t="s">
        <v>6952</v>
      </c>
      <c r="AD1758" t="s">
        <v>6953</v>
      </c>
    </row>
    <row r="1759" spans="1:30">
      <c r="A1759">
        <v>11009490</v>
      </c>
      <c r="B1759" t="s">
        <v>5499</v>
      </c>
      <c r="C1759" t="s">
        <v>5912</v>
      </c>
      <c r="D1759" t="s">
        <v>6081</v>
      </c>
      <c r="E1759" t="s">
        <v>6082</v>
      </c>
      <c r="J1759" t="s">
        <v>6888</v>
      </c>
      <c r="M1759" t="e">
        <v>#N/A</v>
      </c>
      <c r="N1759" t="e">
        <v>#N/A</v>
      </c>
      <c r="O1759" t="e">
        <v>#N/A</v>
      </c>
      <c r="P1759" t="e">
        <v>#N/A</v>
      </c>
      <c r="R1759" t="e">
        <v>#N/A</v>
      </c>
      <c r="T1759" t="s">
        <v>5983</v>
      </c>
      <c r="U1759" t="s">
        <v>5985</v>
      </c>
      <c r="V1759" t="s">
        <v>5985</v>
      </c>
      <c r="Y1759" t="s">
        <v>6948</v>
      </c>
      <c r="Z1759" t="s">
        <v>6949</v>
      </c>
      <c r="AA1759" t="s">
        <v>6950</v>
      </c>
      <c r="AB1759" t="s">
        <v>6951</v>
      </c>
      <c r="AC1759" t="s">
        <v>6952</v>
      </c>
      <c r="AD1759" t="s">
        <v>6953</v>
      </c>
    </row>
    <row r="1760" spans="1:30">
      <c r="A1760">
        <v>11005782</v>
      </c>
      <c r="B1760" t="s">
        <v>5500</v>
      </c>
      <c r="C1760" t="s">
        <v>5913</v>
      </c>
      <c r="D1760" t="s">
        <v>6081</v>
      </c>
      <c r="E1760" t="s">
        <v>6082</v>
      </c>
      <c r="J1760" t="s">
        <v>6889</v>
      </c>
      <c r="M1760" t="e">
        <v>#N/A</v>
      </c>
      <c r="N1760" t="e">
        <v>#N/A</v>
      </c>
      <c r="O1760" t="e">
        <v>#N/A</v>
      </c>
      <c r="P1760" t="e">
        <v>#N/A</v>
      </c>
      <c r="R1760" t="e">
        <v>#N/A</v>
      </c>
      <c r="T1760" t="s">
        <v>5983</v>
      </c>
      <c r="U1760" t="s">
        <v>5985</v>
      </c>
      <c r="V1760" t="s">
        <v>5985</v>
      </c>
      <c r="Y1760" t="s">
        <v>6948</v>
      </c>
      <c r="Z1760" t="s">
        <v>6949</v>
      </c>
      <c r="AA1760" t="s">
        <v>6950</v>
      </c>
      <c r="AB1760" t="s">
        <v>6951</v>
      </c>
      <c r="AC1760" t="s">
        <v>6952</v>
      </c>
      <c r="AD1760" t="s">
        <v>6953</v>
      </c>
    </row>
    <row r="1761" spans="1:30">
      <c r="A1761">
        <v>11005780</v>
      </c>
      <c r="B1761" t="s">
        <v>5501</v>
      </c>
      <c r="C1761" t="s">
        <v>996</v>
      </c>
      <c r="D1761" t="s">
        <v>6197</v>
      </c>
      <c r="E1761" t="s">
        <v>6198</v>
      </c>
      <c r="J1761" t="s">
        <v>6890</v>
      </c>
      <c r="M1761" t="e">
        <v>#N/A</v>
      </c>
      <c r="N1761" t="e">
        <v>#N/A</v>
      </c>
      <c r="O1761" t="e">
        <v>#N/A</v>
      </c>
      <c r="P1761" t="e">
        <v>#N/A</v>
      </c>
      <c r="R1761" t="e">
        <v>#N/A</v>
      </c>
      <c r="T1761" t="s">
        <v>5983</v>
      </c>
      <c r="U1761" t="s">
        <v>5985</v>
      </c>
      <c r="V1761" t="s">
        <v>5983</v>
      </c>
      <c r="Y1761" t="s">
        <v>6948</v>
      </c>
      <c r="Z1761" t="s">
        <v>6949</v>
      </c>
      <c r="AA1761" t="s">
        <v>6950</v>
      </c>
      <c r="AB1761" t="s">
        <v>6951</v>
      </c>
      <c r="AC1761" t="s">
        <v>6952</v>
      </c>
      <c r="AD1761" t="s">
        <v>6953</v>
      </c>
    </row>
    <row r="1762" spans="1:30">
      <c r="A1762">
        <v>11005777</v>
      </c>
      <c r="B1762" t="s">
        <v>5502</v>
      </c>
      <c r="C1762" t="s">
        <v>997</v>
      </c>
      <c r="D1762" t="s">
        <v>6197</v>
      </c>
      <c r="E1762" t="s">
        <v>6198</v>
      </c>
      <c r="J1762" t="s">
        <v>6891</v>
      </c>
      <c r="M1762" t="e">
        <v>#N/A</v>
      </c>
      <c r="N1762" t="e">
        <v>#N/A</v>
      </c>
      <c r="O1762" t="e">
        <v>#N/A</v>
      </c>
      <c r="P1762" t="e">
        <v>#N/A</v>
      </c>
      <c r="R1762" t="e">
        <v>#N/A</v>
      </c>
      <c r="T1762" t="s">
        <v>5983</v>
      </c>
      <c r="U1762" t="s">
        <v>5985</v>
      </c>
      <c r="V1762" t="s">
        <v>5983</v>
      </c>
      <c r="Y1762" t="s">
        <v>6948</v>
      </c>
      <c r="Z1762" t="s">
        <v>6949</v>
      </c>
      <c r="AA1762" t="s">
        <v>6950</v>
      </c>
      <c r="AB1762" t="s">
        <v>6951</v>
      </c>
      <c r="AC1762" t="s">
        <v>6952</v>
      </c>
      <c r="AD1762" t="s">
        <v>6953</v>
      </c>
    </row>
    <row r="1763" spans="1:30">
      <c r="A1763">
        <v>11005731</v>
      </c>
      <c r="B1763" t="s">
        <v>5503</v>
      </c>
      <c r="C1763" t="s">
        <v>5914</v>
      </c>
      <c r="D1763" t="s">
        <v>6199</v>
      </c>
      <c r="E1763" t="s">
        <v>6058</v>
      </c>
      <c r="J1763" t="s">
        <v>6892</v>
      </c>
      <c r="M1763" t="e">
        <v>#N/A</v>
      </c>
      <c r="N1763" t="e">
        <v>#N/A</v>
      </c>
      <c r="O1763" t="e">
        <v>#N/A</v>
      </c>
      <c r="P1763" t="e">
        <v>#N/A</v>
      </c>
      <c r="R1763" t="e">
        <v>#N/A</v>
      </c>
      <c r="T1763" t="s">
        <v>5985</v>
      </c>
      <c r="U1763" t="s">
        <v>5985</v>
      </c>
      <c r="V1763" t="s">
        <v>5983</v>
      </c>
      <c r="Y1763" t="s">
        <v>6948</v>
      </c>
      <c r="Z1763" t="s">
        <v>6949</v>
      </c>
      <c r="AA1763" t="s">
        <v>6950</v>
      </c>
      <c r="AB1763" t="s">
        <v>6951</v>
      </c>
      <c r="AC1763" t="s">
        <v>6952</v>
      </c>
      <c r="AD1763" t="s">
        <v>6953</v>
      </c>
    </row>
    <row r="1764" spans="1:30">
      <c r="A1764" t="s">
        <v>4604</v>
      </c>
      <c r="B1764" t="s">
        <v>5504</v>
      </c>
      <c r="C1764" t="s">
        <v>5915</v>
      </c>
      <c r="D1764" t="s">
        <v>6199</v>
      </c>
      <c r="E1764" t="s">
        <v>6058</v>
      </c>
      <c r="J1764" t="s">
        <v>6893</v>
      </c>
      <c r="M1764" t="e">
        <v>#N/A</v>
      </c>
      <c r="N1764" t="e">
        <v>#N/A</v>
      </c>
      <c r="O1764" t="e">
        <v>#N/A</v>
      </c>
      <c r="P1764" t="e">
        <v>#N/A</v>
      </c>
      <c r="R1764" t="e">
        <v>#N/A</v>
      </c>
      <c r="T1764" t="s">
        <v>5985</v>
      </c>
      <c r="U1764" t="s">
        <v>5985</v>
      </c>
      <c r="V1764" t="s">
        <v>5983</v>
      </c>
      <c r="Y1764" t="s">
        <v>6948</v>
      </c>
      <c r="Z1764" t="s">
        <v>6949</v>
      </c>
      <c r="AA1764" t="s">
        <v>6950</v>
      </c>
      <c r="AB1764" t="s">
        <v>6951</v>
      </c>
      <c r="AC1764" t="s">
        <v>6952</v>
      </c>
      <c r="AD1764" t="s">
        <v>6953</v>
      </c>
    </row>
    <row r="1765" spans="1:30">
      <c r="A1765" t="s">
        <v>4604</v>
      </c>
      <c r="B1765" t="s">
        <v>5505</v>
      </c>
      <c r="C1765" t="s">
        <v>5849</v>
      </c>
      <c r="D1765" t="s">
        <v>6199</v>
      </c>
      <c r="E1765" t="s">
        <v>6058</v>
      </c>
      <c r="J1765" t="s">
        <v>6894</v>
      </c>
      <c r="M1765" t="e">
        <v>#N/A</v>
      </c>
      <c r="N1765" t="e">
        <v>#N/A</v>
      </c>
      <c r="O1765" t="e">
        <v>#N/A</v>
      </c>
      <c r="P1765" t="e">
        <v>#N/A</v>
      </c>
      <c r="R1765" t="e">
        <v>#N/A</v>
      </c>
      <c r="T1765" t="s">
        <v>5985</v>
      </c>
      <c r="U1765" t="s">
        <v>5985</v>
      </c>
      <c r="V1765" t="s">
        <v>5983</v>
      </c>
      <c r="Y1765" t="s">
        <v>6948</v>
      </c>
      <c r="Z1765" t="s">
        <v>6949</v>
      </c>
      <c r="AA1765" t="s">
        <v>6950</v>
      </c>
      <c r="AB1765" t="s">
        <v>6951</v>
      </c>
      <c r="AC1765" t="s">
        <v>6952</v>
      </c>
      <c r="AD1765" t="s">
        <v>6953</v>
      </c>
    </row>
    <row r="1766" spans="1:30">
      <c r="A1766" t="s">
        <v>4604</v>
      </c>
      <c r="B1766" t="s">
        <v>5506</v>
      </c>
      <c r="C1766" t="s">
        <v>5850</v>
      </c>
      <c r="D1766" t="s">
        <v>6199</v>
      </c>
      <c r="E1766" t="s">
        <v>6058</v>
      </c>
      <c r="J1766" t="s">
        <v>6895</v>
      </c>
      <c r="M1766" t="e">
        <v>#N/A</v>
      </c>
      <c r="N1766" t="e">
        <v>#N/A</v>
      </c>
      <c r="O1766" t="e">
        <v>#N/A</v>
      </c>
      <c r="P1766" t="e">
        <v>#N/A</v>
      </c>
      <c r="R1766" t="e">
        <v>#N/A</v>
      </c>
      <c r="T1766" t="s">
        <v>5985</v>
      </c>
      <c r="U1766" t="s">
        <v>5985</v>
      </c>
      <c r="V1766" t="s">
        <v>5983</v>
      </c>
      <c r="Y1766" t="s">
        <v>6948</v>
      </c>
      <c r="Z1766" t="s">
        <v>6949</v>
      </c>
      <c r="AA1766" t="s">
        <v>6950</v>
      </c>
      <c r="AB1766" t="s">
        <v>6951</v>
      </c>
      <c r="AC1766" t="s">
        <v>6952</v>
      </c>
      <c r="AD1766" t="s">
        <v>6953</v>
      </c>
    </row>
    <row r="1767" spans="1:30">
      <c r="A1767">
        <v>11005682</v>
      </c>
      <c r="B1767" t="s">
        <v>5507</v>
      </c>
      <c r="C1767" t="s">
        <v>5916</v>
      </c>
      <c r="D1767" t="s">
        <v>6200</v>
      </c>
      <c r="E1767" t="s">
        <v>6070</v>
      </c>
      <c r="J1767" t="s">
        <v>6896</v>
      </c>
      <c r="M1767" t="e">
        <v>#N/A</v>
      </c>
      <c r="N1767" t="e">
        <v>#N/A</v>
      </c>
      <c r="O1767" t="e">
        <v>#N/A</v>
      </c>
      <c r="P1767" t="e">
        <v>#N/A</v>
      </c>
      <c r="R1767" t="e">
        <v>#N/A</v>
      </c>
      <c r="T1767" t="s">
        <v>5985</v>
      </c>
      <c r="U1767" t="s">
        <v>5985</v>
      </c>
      <c r="V1767" t="s">
        <v>5985</v>
      </c>
      <c r="Y1767" t="s">
        <v>6948</v>
      </c>
      <c r="Z1767" t="s">
        <v>6949</v>
      </c>
      <c r="AA1767" t="s">
        <v>6950</v>
      </c>
      <c r="AB1767" t="s">
        <v>6951</v>
      </c>
      <c r="AC1767" t="s">
        <v>6952</v>
      </c>
      <c r="AD1767" t="s">
        <v>6953</v>
      </c>
    </row>
    <row r="1768" spans="1:30">
      <c r="A1768" t="s">
        <v>4604</v>
      </c>
      <c r="B1768" t="s">
        <v>5508</v>
      </c>
      <c r="C1768" t="s">
        <v>5917</v>
      </c>
      <c r="D1768" t="e">
        <v>#N/A</v>
      </c>
      <c r="E1768" t="e">
        <v>#N/A</v>
      </c>
      <c r="J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R1768" t="e">
        <v>#N/A</v>
      </c>
      <c r="T1768" t="e">
        <v>#N/A</v>
      </c>
      <c r="U1768" t="e">
        <v>#N/A</v>
      </c>
      <c r="V1768" t="e">
        <v>#N/A</v>
      </c>
      <c r="Y1768" t="s">
        <v>6948</v>
      </c>
      <c r="Z1768" t="s">
        <v>6949</v>
      </c>
      <c r="AA1768" t="s">
        <v>6950</v>
      </c>
      <c r="AB1768" t="s">
        <v>6951</v>
      </c>
      <c r="AC1768" t="s">
        <v>6952</v>
      </c>
      <c r="AD1768" t="s">
        <v>6953</v>
      </c>
    </row>
    <row r="1769" spans="1:30">
      <c r="A1769">
        <v>11005681</v>
      </c>
      <c r="B1769" t="s">
        <v>5509</v>
      </c>
      <c r="C1769" t="s">
        <v>5863</v>
      </c>
      <c r="D1769" t="s">
        <v>6200</v>
      </c>
      <c r="E1769" t="s">
        <v>6070</v>
      </c>
      <c r="J1769" t="s">
        <v>6897</v>
      </c>
      <c r="M1769" t="e">
        <v>#N/A</v>
      </c>
      <c r="N1769" t="e">
        <v>#N/A</v>
      </c>
      <c r="O1769" t="e">
        <v>#N/A</v>
      </c>
      <c r="P1769" t="e">
        <v>#N/A</v>
      </c>
      <c r="R1769" t="e">
        <v>#N/A</v>
      </c>
      <c r="T1769" t="s">
        <v>5985</v>
      </c>
      <c r="U1769" t="s">
        <v>5985</v>
      </c>
      <c r="V1769" t="s">
        <v>5985</v>
      </c>
      <c r="Y1769" t="s">
        <v>6948</v>
      </c>
      <c r="Z1769" t="s">
        <v>6949</v>
      </c>
      <c r="AA1769" t="s">
        <v>6950</v>
      </c>
      <c r="AB1769" t="s">
        <v>6951</v>
      </c>
      <c r="AC1769" t="s">
        <v>6952</v>
      </c>
      <c r="AD1769" t="s">
        <v>6953</v>
      </c>
    </row>
    <row r="1770" spans="1:30">
      <c r="A1770" t="s">
        <v>4604</v>
      </c>
      <c r="B1770" t="s">
        <v>5510</v>
      </c>
      <c r="C1770" t="s">
        <v>5864</v>
      </c>
      <c r="D1770" t="e">
        <v>#N/A</v>
      </c>
      <c r="E1770" t="e">
        <v>#N/A</v>
      </c>
      <c r="J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R1770" t="e">
        <v>#N/A</v>
      </c>
      <c r="T1770" t="e">
        <v>#N/A</v>
      </c>
      <c r="U1770" t="e">
        <v>#N/A</v>
      </c>
      <c r="V1770" t="e">
        <v>#N/A</v>
      </c>
      <c r="Y1770" t="s">
        <v>6948</v>
      </c>
      <c r="Z1770" t="s">
        <v>6949</v>
      </c>
      <c r="AA1770" t="s">
        <v>6950</v>
      </c>
      <c r="AB1770" t="s">
        <v>6951</v>
      </c>
      <c r="AC1770" t="s">
        <v>6952</v>
      </c>
      <c r="AD1770" t="s">
        <v>6953</v>
      </c>
    </row>
    <row r="1771" spans="1:30">
      <c r="A1771">
        <v>11005665</v>
      </c>
      <c r="B1771" t="s">
        <v>5511</v>
      </c>
      <c r="C1771" t="s">
        <v>5918</v>
      </c>
      <c r="D1771" t="s">
        <v>6201</v>
      </c>
      <c r="E1771" t="s">
        <v>6074</v>
      </c>
      <c r="J1771" t="s">
        <v>6898</v>
      </c>
      <c r="M1771" t="e">
        <v>#N/A</v>
      </c>
      <c r="N1771" t="e">
        <v>#N/A</v>
      </c>
      <c r="O1771" t="e">
        <v>#N/A</v>
      </c>
      <c r="P1771" t="e">
        <v>#N/A</v>
      </c>
      <c r="R1771" t="e">
        <v>#N/A</v>
      </c>
      <c r="T1771" t="s">
        <v>5985</v>
      </c>
      <c r="U1771" t="s">
        <v>5985</v>
      </c>
      <c r="V1771" t="s">
        <v>5985</v>
      </c>
      <c r="Y1771" t="s">
        <v>6948</v>
      </c>
      <c r="Z1771" t="s">
        <v>6949</v>
      </c>
      <c r="AA1771" t="s">
        <v>6950</v>
      </c>
      <c r="AB1771" t="s">
        <v>6951</v>
      </c>
      <c r="AC1771" t="s">
        <v>6952</v>
      </c>
      <c r="AD1771" t="s">
        <v>6953</v>
      </c>
    </row>
    <row r="1772" spans="1:30">
      <c r="A1772">
        <v>11005664</v>
      </c>
      <c r="B1772" t="s">
        <v>5512</v>
      </c>
      <c r="C1772" t="s">
        <v>5919</v>
      </c>
      <c r="D1772" t="s">
        <v>6201</v>
      </c>
      <c r="E1772" t="s">
        <v>6074</v>
      </c>
      <c r="J1772" t="s">
        <v>6899</v>
      </c>
      <c r="M1772" t="e">
        <v>#N/A</v>
      </c>
      <c r="N1772" t="e">
        <v>#N/A</v>
      </c>
      <c r="O1772" t="e">
        <v>#N/A</v>
      </c>
      <c r="P1772" t="e">
        <v>#N/A</v>
      </c>
      <c r="R1772" t="e">
        <v>#N/A</v>
      </c>
      <c r="T1772" t="s">
        <v>5985</v>
      </c>
      <c r="U1772" t="s">
        <v>5985</v>
      </c>
      <c r="V1772" t="s">
        <v>5985</v>
      </c>
      <c r="Y1772" t="s">
        <v>6948</v>
      </c>
      <c r="Z1772" t="s">
        <v>6949</v>
      </c>
      <c r="AA1772" t="s">
        <v>6950</v>
      </c>
      <c r="AB1772" t="s">
        <v>6951</v>
      </c>
      <c r="AC1772" t="s">
        <v>6952</v>
      </c>
      <c r="AD1772" t="s">
        <v>6953</v>
      </c>
    </row>
    <row r="1773" spans="1:30">
      <c r="A1773">
        <v>11005663</v>
      </c>
      <c r="B1773" t="s">
        <v>5513</v>
      </c>
      <c r="C1773" t="s">
        <v>5872</v>
      </c>
      <c r="D1773" t="s">
        <v>6201</v>
      </c>
      <c r="E1773" t="s">
        <v>6074</v>
      </c>
      <c r="J1773" t="s">
        <v>6900</v>
      </c>
      <c r="M1773" t="e">
        <v>#N/A</v>
      </c>
      <c r="N1773" t="e">
        <v>#N/A</v>
      </c>
      <c r="O1773" t="e">
        <v>#N/A</v>
      </c>
      <c r="P1773" t="e">
        <v>#N/A</v>
      </c>
      <c r="R1773" t="e">
        <v>#N/A</v>
      </c>
      <c r="T1773" t="s">
        <v>5985</v>
      </c>
      <c r="U1773" t="s">
        <v>5985</v>
      </c>
      <c r="V1773" t="s">
        <v>5985</v>
      </c>
      <c r="Y1773" t="s">
        <v>6948</v>
      </c>
      <c r="Z1773" t="s">
        <v>6949</v>
      </c>
      <c r="AA1773" t="s">
        <v>6950</v>
      </c>
      <c r="AB1773" t="s">
        <v>6951</v>
      </c>
      <c r="AC1773" t="s">
        <v>6952</v>
      </c>
      <c r="AD1773" t="s">
        <v>6953</v>
      </c>
    </row>
    <row r="1774" spans="1:30">
      <c r="A1774" t="s">
        <v>4604</v>
      </c>
      <c r="B1774" t="s">
        <v>5514</v>
      </c>
      <c r="C1774" t="s">
        <v>5920</v>
      </c>
      <c r="D1774" t="s">
        <v>6201</v>
      </c>
      <c r="E1774" t="s">
        <v>6074</v>
      </c>
      <c r="J1774" t="s">
        <v>6901</v>
      </c>
      <c r="M1774" t="e">
        <v>#N/A</v>
      </c>
      <c r="N1774" t="e">
        <v>#N/A</v>
      </c>
      <c r="O1774" t="e">
        <v>#N/A</v>
      </c>
      <c r="P1774" t="e">
        <v>#N/A</v>
      </c>
      <c r="R1774" t="e">
        <v>#N/A</v>
      </c>
      <c r="T1774" t="s">
        <v>5985</v>
      </c>
      <c r="U1774" t="s">
        <v>5985</v>
      </c>
      <c r="V1774" t="s">
        <v>5985</v>
      </c>
      <c r="Y1774" t="s">
        <v>6948</v>
      </c>
      <c r="Z1774" t="s">
        <v>6949</v>
      </c>
      <c r="AA1774" t="s">
        <v>6950</v>
      </c>
      <c r="AB1774" t="s">
        <v>6951</v>
      </c>
      <c r="AC1774" t="s">
        <v>6952</v>
      </c>
      <c r="AD1774" t="s">
        <v>6953</v>
      </c>
    </row>
    <row r="1775" spans="1:30">
      <c r="A1775" t="s">
        <v>4604</v>
      </c>
      <c r="B1775" t="s">
        <v>5515</v>
      </c>
      <c r="C1775" t="s">
        <v>5921</v>
      </c>
      <c r="D1775" t="s">
        <v>6202</v>
      </c>
      <c r="E1775" t="s">
        <v>6084</v>
      </c>
      <c r="J1775" t="s">
        <v>6902</v>
      </c>
      <c r="M1775" t="e">
        <v>#N/A</v>
      </c>
      <c r="N1775" t="e">
        <v>#N/A</v>
      </c>
      <c r="O1775" t="e">
        <v>#N/A</v>
      </c>
      <c r="P1775" t="e">
        <v>#N/A</v>
      </c>
      <c r="R1775" t="e">
        <v>#N/A</v>
      </c>
      <c r="T1775" t="s">
        <v>5985</v>
      </c>
      <c r="U1775" t="s">
        <v>5985</v>
      </c>
      <c r="V1775" t="s">
        <v>5985</v>
      </c>
      <c r="Y1775" t="s">
        <v>6948</v>
      </c>
      <c r="Z1775" t="s">
        <v>6949</v>
      </c>
      <c r="AA1775" t="s">
        <v>6950</v>
      </c>
      <c r="AB1775" t="s">
        <v>6951</v>
      </c>
      <c r="AC1775" t="s">
        <v>6952</v>
      </c>
      <c r="AD1775" t="s">
        <v>6953</v>
      </c>
    </row>
    <row r="1776" spans="1:30">
      <c r="A1776" t="s">
        <v>4604</v>
      </c>
      <c r="B1776" t="s">
        <v>5516</v>
      </c>
      <c r="C1776" t="s">
        <v>5922</v>
      </c>
      <c r="D1776" t="s">
        <v>6202</v>
      </c>
      <c r="E1776" t="s">
        <v>6084</v>
      </c>
      <c r="J1776" t="s">
        <v>6903</v>
      </c>
      <c r="M1776" t="e">
        <v>#N/A</v>
      </c>
      <c r="N1776" t="e">
        <v>#N/A</v>
      </c>
      <c r="O1776" t="e">
        <v>#N/A</v>
      </c>
      <c r="P1776" t="e">
        <v>#N/A</v>
      </c>
      <c r="R1776" t="e">
        <v>#N/A</v>
      </c>
      <c r="T1776" t="s">
        <v>5985</v>
      </c>
      <c r="U1776" t="s">
        <v>5985</v>
      </c>
      <c r="V1776" t="s">
        <v>5985</v>
      </c>
      <c r="Y1776" t="s">
        <v>6948</v>
      </c>
      <c r="Z1776" t="s">
        <v>6949</v>
      </c>
      <c r="AA1776" t="s">
        <v>6950</v>
      </c>
      <c r="AB1776" t="s">
        <v>6951</v>
      </c>
      <c r="AC1776" t="s">
        <v>6952</v>
      </c>
      <c r="AD1776" t="s">
        <v>6953</v>
      </c>
    </row>
    <row r="1777" spans="1:30">
      <c r="A1777" t="s">
        <v>4604</v>
      </c>
      <c r="B1777" t="s">
        <v>5517</v>
      </c>
      <c r="C1777" t="s">
        <v>5880</v>
      </c>
      <c r="D1777" t="s">
        <v>6202</v>
      </c>
      <c r="E1777" t="s">
        <v>6084</v>
      </c>
      <c r="J1777" t="s">
        <v>6904</v>
      </c>
      <c r="M1777" t="e">
        <v>#N/A</v>
      </c>
      <c r="N1777" t="e">
        <v>#N/A</v>
      </c>
      <c r="O1777" t="e">
        <v>#N/A</v>
      </c>
      <c r="P1777" t="e">
        <v>#N/A</v>
      </c>
      <c r="R1777" t="e">
        <v>#N/A</v>
      </c>
      <c r="T1777" t="s">
        <v>5985</v>
      </c>
      <c r="U1777" t="s">
        <v>5985</v>
      </c>
      <c r="V1777" t="s">
        <v>5985</v>
      </c>
      <c r="Y1777" t="s">
        <v>6948</v>
      </c>
      <c r="Z1777" t="s">
        <v>6949</v>
      </c>
      <c r="AA1777" t="s">
        <v>6950</v>
      </c>
      <c r="AB1777" t="s">
        <v>6951</v>
      </c>
      <c r="AC1777" t="s">
        <v>6952</v>
      </c>
      <c r="AD1777" t="s">
        <v>6953</v>
      </c>
    </row>
    <row r="1778" spans="1:30">
      <c r="A1778" t="s">
        <v>4604</v>
      </c>
      <c r="B1778" t="s">
        <v>5518</v>
      </c>
      <c r="C1778" t="s">
        <v>5881</v>
      </c>
      <c r="D1778" t="s">
        <v>6202</v>
      </c>
      <c r="E1778" t="s">
        <v>6084</v>
      </c>
      <c r="J1778" t="s">
        <v>6905</v>
      </c>
      <c r="M1778" t="e">
        <v>#N/A</v>
      </c>
      <c r="N1778" t="e">
        <v>#N/A</v>
      </c>
      <c r="O1778" t="e">
        <v>#N/A</v>
      </c>
      <c r="P1778" t="e">
        <v>#N/A</v>
      </c>
      <c r="R1778" t="e">
        <v>#N/A</v>
      </c>
      <c r="T1778" t="s">
        <v>5985</v>
      </c>
      <c r="U1778" t="s">
        <v>5985</v>
      </c>
      <c r="V1778" t="s">
        <v>5985</v>
      </c>
      <c r="Y1778" t="s">
        <v>6948</v>
      </c>
      <c r="Z1778" t="s">
        <v>6949</v>
      </c>
      <c r="AA1778" t="s">
        <v>6950</v>
      </c>
      <c r="AB1778" t="s">
        <v>6951</v>
      </c>
      <c r="AC1778" t="s">
        <v>6952</v>
      </c>
      <c r="AD1778" t="s">
        <v>6953</v>
      </c>
    </row>
    <row r="1779" spans="1:30">
      <c r="A1779" t="s">
        <v>4604</v>
      </c>
      <c r="B1779" t="s">
        <v>5519</v>
      </c>
      <c r="C1779" t="s">
        <v>5923</v>
      </c>
      <c r="D1779" t="s">
        <v>6199</v>
      </c>
      <c r="E1779" t="s">
        <v>6058</v>
      </c>
      <c r="J1779" t="s">
        <v>6906</v>
      </c>
      <c r="M1779" t="e">
        <v>#N/A</v>
      </c>
      <c r="N1779" t="e">
        <v>#N/A</v>
      </c>
      <c r="O1779" t="e">
        <v>#N/A</v>
      </c>
      <c r="P1779" t="e">
        <v>#N/A</v>
      </c>
      <c r="R1779" t="e">
        <v>#N/A</v>
      </c>
      <c r="T1779" t="s">
        <v>5985</v>
      </c>
      <c r="U1779" t="s">
        <v>5985</v>
      </c>
      <c r="V1779" t="s">
        <v>5985</v>
      </c>
      <c r="Y1779" t="s">
        <v>6948</v>
      </c>
      <c r="Z1779" t="s">
        <v>6949</v>
      </c>
      <c r="AA1779" t="s">
        <v>6950</v>
      </c>
      <c r="AB1779" t="s">
        <v>6951</v>
      </c>
      <c r="AC1779" t="s">
        <v>6952</v>
      </c>
      <c r="AD1779" t="s">
        <v>6953</v>
      </c>
    </row>
    <row r="1780" spans="1:30">
      <c r="A1780" t="s">
        <v>4604</v>
      </c>
      <c r="B1780" t="s">
        <v>5520</v>
      </c>
      <c r="C1780" t="s">
        <v>5887</v>
      </c>
      <c r="D1780" t="s">
        <v>6199</v>
      </c>
      <c r="E1780" t="s">
        <v>6058</v>
      </c>
      <c r="J1780" t="s">
        <v>6907</v>
      </c>
      <c r="M1780" t="e">
        <v>#N/A</v>
      </c>
      <c r="N1780" t="e">
        <v>#N/A</v>
      </c>
      <c r="O1780" t="e">
        <v>#N/A</v>
      </c>
      <c r="P1780" t="e">
        <v>#N/A</v>
      </c>
      <c r="R1780" t="e">
        <v>#N/A</v>
      </c>
      <c r="T1780" t="s">
        <v>5985</v>
      </c>
      <c r="U1780" t="s">
        <v>5985</v>
      </c>
      <c r="V1780" t="s">
        <v>5985</v>
      </c>
      <c r="Y1780" t="s">
        <v>6948</v>
      </c>
      <c r="Z1780" t="s">
        <v>6949</v>
      </c>
      <c r="AA1780" t="s">
        <v>6950</v>
      </c>
      <c r="AB1780" t="s">
        <v>6951</v>
      </c>
      <c r="AC1780" t="s">
        <v>6952</v>
      </c>
      <c r="AD1780" t="s">
        <v>6953</v>
      </c>
    </row>
    <row r="1781" spans="1:30">
      <c r="A1781">
        <v>11005624</v>
      </c>
      <c r="B1781" t="s">
        <v>5521</v>
      </c>
      <c r="C1781" t="s">
        <v>5924</v>
      </c>
      <c r="D1781" t="s">
        <v>6200</v>
      </c>
      <c r="E1781" t="s">
        <v>6070</v>
      </c>
      <c r="J1781" t="s">
        <v>6908</v>
      </c>
      <c r="M1781" t="e">
        <v>#N/A</v>
      </c>
      <c r="N1781" t="e">
        <v>#N/A</v>
      </c>
      <c r="O1781" t="e">
        <v>#N/A</v>
      </c>
      <c r="P1781" t="e">
        <v>#N/A</v>
      </c>
      <c r="R1781" t="e">
        <v>#N/A</v>
      </c>
      <c r="T1781" t="s">
        <v>5985</v>
      </c>
      <c r="U1781" t="s">
        <v>5985</v>
      </c>
      <c r="V1781" t="s">
        <v>5985</v>
      </c>
      <c r="Y1781" t="s">
        <v>6948</v>
      </c>
      <c r="Z1781" t="s">
        <v>6949</v>
      </c>
      <c r="AA1781" t="s">
        <v>6950</v>
      </c>
      <c r="AB1781" t="s">
        <v>6951</v>
      </c>
      <c r="AC1781" t="s">
        <v>6952</v>
      </c>
      <c r="AD1781" t="s">
        <v>6953</v>
      </c>
    </row>
    <row r="1782" spans="1:30">
      <c r="A1782" t="s">
        <v>4604</v>
      </c>
      <c r="B1782" t="s">
        <v>5522</v>
      </c>
      <c r="C1782" t="s">
        <v>5925</v>
      </c>
      <c r="D1782" t="s">
        <v>6200</v>
      </c>
      <c r="E1782" t="s">
        <v>6070</v>
      </c>
      <c r="J1782" t="s">
        <v>6909</v>
      </c>
      <c r="M1782" t="e">
        <v>#N/A</v>
      </c>
      <c r="N1782" t="e">
        <v>#N/A</v>
      </c>
      <c r="O1782" t="e">
        <v>#N/A</v>
      </c>
      <c r="P1782" t="e">
        <v>#N/A</v>
      </c>
      <c r="R1782" t="e">
        <v>#N/A</v>
      </c>
      <c r="T1782" t="s">
        <v>5985</v>
      </c>
      <c r="U1782" t="s">
        <v>5985</v>
      </c>
      <c r="V1782" t="s">
        <v>5985</v>
      </c>
      <c r="Y1782" t="s">
        <v>6948</v>
      </c>
      <c r="Z1782" t="s">
        <v>6949</v>
      </c>
      <c r="AA1782" t="s">
        <v>6950</v>
      </c>
      <c r="AB1782" t="s">
        <v>6951</v>
      </c>
      <c r="AC1782" t="s">
        <v>6952</v>
      </c>
      <c r="AD1782" t="s">
        <v>6953</v>
      </c>
    </row>
    <row r="1783" spans="1:30">
      <c r="A1783" t="s">
        <v>4604</v>
      </c>
      <c r="B1783" t="s">
        <v>5523</v>
      </c>
      <c r="C1783" t="s">
        <v>5926</v>
      </c>
      <c r="D1783" t="e">
        <v>#N/A</v>
      </c>
      <c r="E1783" t="e">
        <v>#N/A</v>
      </c>
      <c r="J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R1783" t="e">
        <v>#N/A</v>
      </c>
      <c r="T1783" t="s">
        <v>5985</v>
      </c>
      <c r="U1783" t="s">
        <v>5985</v>
      </c>
      <c r="V1783" t="s">
        <v>5985</v>
      </c>
      <c r="Y1783" t="s">
        <v>6948</v>
      </c>
      <c r="Z1783" t="s">
        <v>6949</v>
      </c>
      <c r="AA1783" t="s">
        <v>6950</v>
      </c>
      <c r="AB1783" t="s">
        <v>6951</v>
      </c>
      <c r="AC1783" t="s">
        <v>6952</v>
      </c>
      <c r="AD1783" t="s">
        <v>6953</v>
      </c>
    </row>
    <row r="1784" spans="1:30">
      <c r="A1784" t="s">
        <v>4604</v>
      </c>
      <c r="B1784" t="s">
        <v>5524</v>
      </c>
      <c r="C1784" t="s">
        <v>5927</v>
      </c>
      <c r="D1784" t="e">
        <v>#N/A</v>
      </c>
      <c r="E1784" t="e">
        <v>#N/A</v>
      </c>
      <c r="J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R1784" t="e">
        <v>#N/A</v>
      </c>
      <c r="T1784" t="s">
        <v>5985</v>
      </c>
      <c r="U1784" t="s">
        <v>5985</v>
      </c>
      <c r="V1784" t="s">
        <v>5985</v>
      </c>
      <c r="Y1784" t="s">
        <v>6948</v>
      </c>
      <c r="Z1784" t="s">
        <v>6949</v>
      </c>
      <c r="AA1784" t="s">
        <v>6950</v>
      </c>
      <c r="AB1784" t="s">
        <v>6951</v>
      </c>
      <c r="AC1784" t="s">
        <v>6952</v>
      </c>
      <c r="AD1784" t="s">
        <v>6953</v>
      </c>
    </row>
    <row r="1785" spans="1:30">
      <c r="A1785">
        <v>11001680</v>
      </c>
      <c r="B1785" t="s">
        <v>5525</v>
      </c>
      <c r="C1785" t="s">
        <v>1217</v>
      </c>
      <c r="D1785" t="s">
        <v>6180</v>
      </c>
      <c r="E1785" t="s">
        <v>6181</v>
      </c>
      <c r="J1785" t="s">
        <v>6879</v>
      </c>
      <c r="M1785" t="e">
        <v>#N/A</v>
      </c>
      <c r="N1785" t="e">
        <v>#N/A</v>
      </c>
      <c r="O1785" t="e">
        <v>#N/A</v>
      </c>
      <c r="P1785" t="e">
        <v>#N/A</v>
      </c>
      <c r="R1785" t="e">
        <v>#N/A</v>
      </c>
      <c r="T1785" t="s">
        <v>5985</v>
      </c>
      <c r="U1785" t="s">
        <v>5985</v>
      </c>
      <c r="V1785" t="s">
        <v>5985</v>
      </c>
      <c r="Y1785" t="s">
        <v>6948</v>
      </c>
      <c r="Z1785" t="s">
        <v>6949</v>
      </c>
      <c r="AA1785" t="s">
        <v>6950</v>
      </c>
      <c r="AB1785" t="s">
        <v>6951</v>
      </c>
      <c r="AC1785" t="s">
        <v>6952</v>
      </c>
      <c r="AD1785" t="s">
        <v>6953</v>
      </c>
    </row>
    <row r="1786" spans="1:30">
      <c r="A1786">
        <v>11005791</v>
      </c>
      <c r="B1786" t="s">
        <v>5526</v>
      </c>
      <c r="C1786" t="s">
        <v>989</v>
      </c>
      <c r="D1786" t="s">
        <v>6081</v>
      </c>
      <c r="E1786" t="s">
        <v>6082</v>
      </c>
      <c r="J1786" t="s">
        <v>6886</v>
      </c>
      <c r="M1786" t="e">
        <v>#N/A</v>
      </c>
      <c r="N1786" t="e">
        <v>#N/A</v>
      </c>
      <c r="O1786" t="e">
        <v>#N/A</v>
      </c>
      <c r="P1786" t="e">
        <v>#N/A</v>
      </c>
      <c r="R1786" t="e">
        <v>#N/A</v>
      </c>
      <c r="T1786" t="s">
        <v>5985</v>
      </c>
      <c r="U1786" t="s">
        <v>5985</v>
      </c>
      <c r="V1786" t="s">
        <v>5985</v>
      </c>
      <c r="Y1786" t="s">
        <v>6948</v>
      </c>
      <c r="Z1786" t="s">
        <v>6949</v>
      </c>
      <c r="AA1786" t="s">
        <v>6950</v>
      </c>
      <c r="AB1786" t="s">
        <v>6951</v>
      </c>
      <c r="AC1786" t="s">
        <v>6952</v>
      </c>
      <c r="AD1786" t="s">
        <v>6953</v>
      </c>
    </row>
    <row r="1787" spans="1:30">
      <c r="A1787">
        <v>11006223</v>
      </c>
      <c r="B1787" t="s">
        <v>5527</v>
      </c>
      <c r="C1787" t="s">
        <v>1308</v>
      </c>
      <c r="D1787" t="s">
        <v>6049</v>
      </c>
      <c r="E1787" t="s">
        <v>6050</v>
      </c>
      <c r="J1787" t="s">
        <v>6745</v>
      </c>
      <c r="M1787" t="e">
        <v>#N/A</v>
      </c>
      <c r="N1787" t="e">
        <v>#N/A</v>
      </c>
      <c r="O1787" t="e">
        <v>#N/A</v>
      </c>
      <c r="P1787" t="e">
        <v>#N/A</v>
      </c>
      <c r="R1787" t="e">
        <v>#N/A</v>
      </c>
      <c r="T1787" t="s">
        <v>5985</v>
      </c>
      <c r="U1787" t="s">
        <v>5985</v>
      </c>
      <c r="V1787" t="s">
        <v>5985</v>
      </c>
      <c r="Y1787" t="s">
        <v>6948</v>
      </c>
      <c r="Z1787" t="s">
        <v>6949</v>
      </c>
      <c r="AA1787" t="s">
        <v>6950</v>
      </c>
      <c r="AB1787" t="s">
        <v>6951</v>
      </c>
      <c r="AC1787" t="s">
        <v>6952</v>
      </c>
      <c r="AD1787" t="s">
        <v>6953</v>
      </c>
    </row>
    <row r="1788" spans="1:30">
      <c r="A1788">
        <v>11003254</v>
      </c>
      <c r="B1788" t="s">
        <v>5528</v>
      </c>
      <c r="C1788" t="s">
        <v>1069</v>
      </c>
      <c r="D1788" t="s">
        <v>6203</v>
      </c>
      <c r="E1788" t="s">
        <v>6204</v>
      </c>
      <c r="J1788" t="s">
        <v>2593</v>
      </c>
      <c r="M1788" t="e">
        <v>#N/A</v>
      </c>
      <c r="N1788" t="e">
        <v>#N/A</v>
      </c>
      <c r="O1788" t="e">
        <v>#N/A</v>
      </c>
      <c r="P1788" t="e">
        <v>#N/A</v>
      </c>
      <c r="R1788" t="e">
        <v>#N/A</v>
      </c>
      <c r="T1788" t="s">
        <v>5985</v>
      </c>
      <c r="U1788" t="s">
        <v>5985</v>
      </c>
      <c r="V1788" t="s">
        <v>5985</v>
      </c>
      <c r="Y1788" t="s">
        <v>6948</v>
      </c>
      <c r="Z1788" t="s">
        <v>6949</v>
      </c>
      <c r="AA1788" t="s">
        <v>6950</v>
      </c>
      <c r="AB1788" t="s">
        <v>6951</v>
      </c>
      <c r="AC1788" t="s">
        <v>6952</v>
      </c>
      <c r="AD1788" t="s">
        <v>6953</v>
      </c>
    </row>
    <row r="1789" spans="1:30">
      <c r="A1789">
        <v>11003242</v>
      </c>
      <c r="B1789" t="s">
        <v>5529</v>
      </c>
      <c r="C1789" t="s">
        <v>1214</v>
      </c>
      <c r="D1789" t="s">
        <v>6205</v>
      </c>
      <c r="E1789" t="s">
        <v>6206</v>
      </c>
      <c r="J1789" t="s">
        <v>3826</v>
      </c>
      <c r="M1789" t="e">
        <v>#N/A</v>
      </c>
      <c r="N1789" t="e">
        <v>#N/A</v>
      </c>
      <c r="O1789" t="e">
        <v>#N/A</v>
      </c>
      <c r="P1789" t="e">
        <v>#N/A</v>
      </c>
      <c r="R1789" t="e">
        <v>#N/A</v>
      </c>
      <c r="T1789" t="s">
        <v>5985</v>
      </c>
      <c r="U1789" t="s">
        <v>5985</v>
      </c>
      <c r="V1789" t="s">
        <v>5985</v>
      </c>
      <c r="Y1789" t="s">
        <v>6948</v>
      </c>
      <c r="Z1789" t="s">
        <v>6949</v>
      </c>
      <c r="AA1789" t="s">
        <v>6950</v>
      </c>
      <c r="AB1789" t="s">
        <v>6951</v>
      </c>
      <c r="AC1789" t="s">
        <v>6952</v>
      </c>
      <c r="AD1789" t="s">
        <v>6953</v>
      </c>
    </row>
    <row r="1790" spans="1:30">
      <c r="A1790">
        <v>11003272</v>
      </c>
      <c r="B1790" t="s">
        <v>5530</v>
      </c>
      <c r="C1790" t="s">
        <v>1167</v>
      </c>
      <c r="D1790" t="s">
        <v>6207</v>
      </c>
      <c r="E1790" t="s">
        <v>6208</v>
      </c>
      <c r="J1790" t="s">
        <v>2710</v>
      </c>
      <c r="M1790" t="e">
        <v>#N/A</v>
      </c>
      <c r="N1790" t="e">
        <v>#N/A</v>
      </c>
      <c r="O1790" t="e">
        <v>#N/A</v>
      </c>
      <c r="P1790" t="e">
        <v>#N/A</v>
      </c>
      <c r="R1790" t="e">
        <v>#N/A</v>
      </c>
      <c r="T1790" t="s">
        <v>5985</v>
      </c>
      <c r="U1790" t="s">
        <v>5985</v>
      </c>
      <c r="V1790" t="s">
        <v>5985</v>
      </c>
      <c r="Y1790" t="s">
        <v>6948</v>
      </c>
      <c r="Z1790" t="s">
        <v>6949</v>
      </c>
      <c r="AA1790" t="s">
        <v>6950</v>
      </c>
      <c r="AB1790" t="s">
        <v>6951</v>
      </c>
      <c r="AC1790" t="s">
        <v>6952</v>
      </c>
      <c r="AD1790" t="s">
        <v>6953</v>
      </c>
    </row>
    <row r="1791" spans="1:30">
      <c r="A1791">
        <v>11009491</v>
      </c>
      <c r="B1791" t="s">
        <v>5531</v>
      </c>
      <c r="C1791" t="s">
        <v>982</v>
      </c>
      <c r="D1791" t="s">
        <v>6081</v>
      </c>
      <c r="E1791" t="s">
        <v>6082</v>
      </c>
      <c r="J1791" t="s">
        <v>6887</v>
      </c>
      <c r="M1791" t="e">
        <v>#N/A</v>
      </c>
      <c r="N1791" t="e">
        <v>#N/A</v>
      </c>
      <c r="O1791" t="e">
        <v>#N/A</v>
      </c>
      <c r="P1791" t="e">
        <v>#N/A</v>
      </c>
      <c r="R1791" t="e">
        <v>#N/A</v>
      </c>
      <c r="T1791" t="s">
        <v>5985</v>
      </c>
      <c r="U1791" t="s">
        <v>5985</v>
      </c>
      <c r="V1791" t="s">
        <v>5985</v>
      </c>
      <c r="Y1791" t="s">
        <v>6948</v>
      </c>
      <c r="Z1791" t="s">
        <v>6949</v>
      </c>
      <c r="AA1791" t="s">
        <v>6950</v>
      </c>
      <c r="AB1791" t="s">
        <v>6951</v>
      </c>
      <c r="AC1791" t="s">
        <v>6952</v>
      </c>
      <c r="AD1791" t="s">
        <v>6953</v>
      </c>
    </row>
    <row r="1792" spans="1:30">
      <c r="A1792">
        <v>11005786</v>
      </c>
      <c r="B1792" t="s">
        <v>5532</v>
      </c>
      <c r="C1792" t="s">
        <v>1202</v>
      </c>
      <c r="D1792" t="s">
        <v>6085</v>
      </c>
      <c r="E1792" t="s">
        <v>6086</v>
      </c>
      <c r="J1792" t="s">
        <v>6787</v>
      </c>
      <c r="M1792" t="e">
        <v>#N/A</v>
      </c>
      <c r="N1792" t="e">
        <v>#N/A</v>
      </c>
      <c r="O1792" t="e">
        <v>#N/A</v>
      </c>
      <c r="P1792" t="e">
        <v>#N/A</v>
      </c>
      <c r="R1792" t="e">
        <v>#N/A</v>
      </c>
      <c r="T1792" t="s">
        <v>5985</v>
      </c>
      <c r="U1792" t="s">
        <v>5985</v>
      </c>
      <c r="V1792" t="s">
        <v>5985</v>
      </c>
      <c r="Y1792" t="s">
        <v>6948</v>
      </c>
      <c r="Z1792" t="s">
        <v>6949</v>
      </c>
      <c r="AA1792" t="s">
        <v>6950</v>
      </c>
      <c r="AB1792" t="s">
        <v>6951</v>
      </c>
      <c r="AC1792" t="s">
        <v>6952</v>
      </c>
      <c r="AD1792" t="s">
        <v>6953</v>
      </c>
    </row>
    <row r="1793" spans="1:30">
      <c r="A1793">
        <v>11005784</v>
      </c>
      <c r="B1793" t="s">
        <v>5533</v>
      </c>
      <c r="C1793" t="s">
        <v>5912</v>
      </c>
      <c r="D1793" t="s">
        <v>6081</v>
      </c>
      <c r="E1793" t="s">
        <v>6082</v>
      </c>
      <c r="J1793" t="s">
        <v>6888</v>
      </c>
      <c r="M1793" t="e">
        <v>#N/A</v>
      </c>
      <c r="N1793" t="e">
        <v>#N/A</v>
      </c>
      <c r="O1793" t="e">
        <v>#N/A</v>
      </c>
      <c r="P1793" t="e">
        <v>#N/A</v>
      </c>
      <c r="R1793" t="e">
        <v>#N/A</v>
      </c>
      <c r="T1793" t="s">
        <v>5985</v>
      </c>
      <c r="U1793" t="s">
        <v>5985</v>
      </c>
      <c r="V1793" t="s">
        <v>5985</v>
      </c>
      <c r="Y1793" t="s">
        <v>6948</v>
      </c>
      <c r="Z1793" t="s">
        <v>6949</v>
      </c>
      <c r="AA1793" t="s">
        <v>6950</v>
      </c>
      <c r="AB1793" t="s">
        <v>6951</v>
      </c>
      <c r="AC1793" t="s">
        <v>6952</v>
      </c>
      <c r="AD1793" t="s">
        <v>6953</v>
      </c>
    </row>
    <row r="1794" spans="1:30">
      <c r="A1794">
        <v>11009489</v>
      </c>
      <c r="B1794" t="s">
        <v>5534</v>
      </c>
      <c r="C1794" t="s">
        <v>5913</v>
      </c>
      <c r="D1794" t="s">
        <v>6081</v>
      </c>
      <c r="E1794" t="s">
        <v>6082</v>
      </c>
      <c r="J1794" t="s">
        <v>6889</v>
      </c>
      <c r="M1794" t="e">
        <v>#N/A</v>
      </c>
      <c r="N1794" t="e">
        <v>#N/A</v>
      </c>
      <c r="O1794" t="e">
        <v>#N/A</v>
      </c>
      <c r="P1794" t="e">
        <v>#N/A</v>
      </c>
      <c r="R1794" t="e">
        <v>#N/A</v>
      </c>
      <c r="T1794" t="s">
        <v>5985</v>
      </c>
      <c r="U1794" t="s">
        <v>5985</v>
      </c>
      <c r="V1794" t="s">
        <v>5985</v>
      </c>
      <c r="Y1794" t="s">
        <v>6948</v>
      </c>
      <c r="Z1794" t="s">
        <v>6949</v>
      </c>
      <c r="AA1794" t="s">
        <v>6950</v>
      </c>
      <c r="AB1794" t="s">
        <v>6951</v>
      </c>
      <c r="AC1794" t="s">
        <v>6952</v>
      </c>
      <c r="AD1794" t="s">
        <v>6953</v>
      </c>
    </row>
    <row r="1795" spans="1:30">
      <c r="A1795" t="s">
        <v>4604</v>
      </c>
      <c r="B1795" t="s">
        <v>5535</v>
      </c>
      <c r="C1795" t="s">
        <v>996</v>
      </c>
      <c r="D1795" t="e">
        <v>#N/A</v>
      </c>
      <c r="E1795" t="e">
        <v>#N/A</v>
      </c>
      <c r="J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R1795" t="e">
        <v>#N/A</v>
      </c>
      <c r="T1795" t="e">
        <v>#N/A</v>
      </c>
      <c r="U1795" t="s">
        <v>5985</v>
      </c>
      <c r="V1795" t="s">
        <v>5985</v>
      </c>
      <c r="Y1795" t="s">
        <v>6948</v>
      </c>
      <c r="Z1795" t="s">
        <v>6949</v>
      </c>
      <c r="AA1795" t="s">
        <v>6950</v>
      </c>
      <c r="AB1795" t="s">
        <v>6951</v>
      </c>
      <c r="AC1795" t="s">
        <v>6952</v>
      </c>
      <c r="AD1795" t="s">
        <v>6953</v>
      </c>
    </row>
    <row r="1796" spans="1:30">
      <c r="A1796" t="s">
        <v>4604</v>
      </c>
      <c r="B1796" t="s">
        <v>5536</v>
      </c>
      <c r="C1796" t="s">
        <v>997</v>
      </c>
      <c r="D1796" t="e">
        <v>#N/A</v>
      </c>
      <c r="E1796" t="e">
        <v>#N/A</v>
      </c>
      <c r="J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R1796" t="e">
        <v>#N/A</v>
      </c>
      <c r="T1796" t="e">
        <v>#N/A</v>
      </c>
      <c r="U1796" t="s">
        <v>5985</v>
      </c>
      <c r="V1796" t="s">
        <v>5985</v>
      </c>
      <c r="Y1796" t="s">
        <v>6948</v>
      </c>
      <c r="Z1796" t="s">
        <v>6949</v>
      </c>
      <c r="AA1796" t="s">
        <v>6950</v>
      </c>
      <c r="AB1796" t="s">
        <v>6951</v>
      </c>
      <c r="AC1796" t="s">
        <v>6952</v>
      </c>
      <c r="AD1796" t="s">
        <v>6953</v>
      </c>
    </row>
    <row r="1797" spans="1:30">
      <c r="A1797" t="s">
        <v>4604</v>
      </c>
      <c r="B1797" t="s">
        <v>5537</v>
      </c>
      <c r="C1797" t="s">
        <v>5914</v>
      </c>
      <c r="D1797" t="s">
        <v>6199</v>
      </c>
      <c r="E1797" t="s">
        <v>6058</v>
      </c>
      <c r="J1797" t="s">
        <v>6892</v>
      </c>
      <c r="M1797" t="e">
        <v>#N/A</v>
      </c>
      <c r="N1797" t="e">
        <v>#N/A</v>
      </c>
      <c r="O1797" t="e">
        <v>#N/A</v>
      </c>
      <c r="P1797" t="e">
        <v>#N/A</v>
      </c>
      <c r="R1797" t="e">
        <v>#N/A</v>
      </c>
      <c r="T1797" t="s">
        <v>5985</v>
      </c>
      <c r="U1797" t="s">
        <v>5985</v>
      </c>
      <c r="V1797" t="s">
        <v>5985</v>
      </c>
      <c r="Y1797" t="s">
        <v>6948</v>
      </c>
      <c r="Z1797" t="s">
        <v>6949</v>
      </c>
      <c r="AA1797" t="s">
        <v>6950</v>
      </c>
      <c r="AB1797" t="s">
        <v>6951</v>
      </c>
      <c r="AC1797" t="s">
        <v>6952</v>
      </c>
      <c r="AD1797" t="s">
        <v>6953</v>
      </c>
    </row>
    <row r="1798" spans="1:30">
      <c r="A1798" t="s">
        <v>4604</v>
      </c>
      <c r="B1798" t="s">
        <v>5538</v>
      </c>
      <c r="C1798" t="s">
        <v>5915</v>
      </c>
      <c r="D1798" t="s">
        <v>6199</v>
      </c>
      <c r="E1798" t="s">
        <v>6058</v>
      </c>
      <c r="J1798" t="s">
        <v>6893</v>
      </c>
      <c r="M1798" t="e">
        <v>#N/A</v>
      </c>
      <c r="N1798" t="e">
        <v>#N/A</v>
      </c>
      <c r="O1798" t="e">
        <v>#N/A</v>
      </c>
      <c r="P1798" t="e">
        <v>#N/A</v>
      </c>
      <c r="R1798" t="e">
        <v>#N/A</v>
      </c>
      <c r="T1798" t="s">
        <v>5985</v>
      </c>
      <c r="U1798" t="s">
        <v>5985</v>
      </c>
      <c r="V1798" t="s">
        <v>5985</v>
      </c>
      <c r="Y1798" t="s">
        <v>6948</v>
      </c>
      <c r="Z1798" t="s">
        <v>6949</v>
      </c>
      <c r="AA1798" t="s">
        <v>6950</v>
      </c>
      <c r="AB1798" t="s">
        <v>6951</v>
      </c>
      <c r="AC1798" t="s">
        <v>6952</v>
      </c>
      <c r="AD1798" t="s">
        <v>6953</v>
      </c>
    </row>
    <row r="1799" spans="1:30">
      <c r="A1799" t="s">
        <v>4604</v>
      </c>
      <c r="B1799" t="s">
        <v>5539</v>
      </c>
      <c r="C1799" t="s">
        <v>5849</v>
      </c>
      <c r="D1799" t="s">
        <v>6199</v>
      </c>
      <c r="E1799" t="s">
        <v>6058</v>
      </c>
      <c r="J1799" t="s">
        <v>6894</v>
      </c>
      <c r="M1799" t="e">
        <v>#N/A</v>
      </c>
      <c r="N1799" t="e">
        <v>#N/A</v>
      </c>
      <c r="O1799" t="e">
        <v>#N/A</v>
      </c>
      <c r="P1799" t="e">
        <v>#N/A</v>
      </c>
      <c r="R1799" t="e">
        <v>#N/A</v>
      </c>
      <c r="T1799" t="s">
        <v>5985</v>
      </c>
      <c r="U1799" t="s">
        <v>5985</v>
      </c>
      <c r="V1799" t="s">
        <v>5985</v>
      </c>
      <c r="Y1799" t="s">
        <v>6948</v>
      </c>
      <c r="Z1799" t="s">
        <v>6949</v>
      </c>
      <c r="AA1799" t="s">
        <v>6950</v>
      </c>
      <c r="AB1799" t="s">
        <v>6951</v>
      </c>
      <c r="AC1799" t="s">
        <v>6952</v>
      </c>
      <c r="AD1799" t="s">
        <v>6953</v>
      </c>
    </row>
    <row r="1800" spans="1:30">
      <c r="A1800" t="s">
        <v>4604</v>
      </c>
      <c r="B1800" t="s">
        <v>5540</v>
      </c>
      <c r="C1800" t="s">
        <v>5850</v>
      </c>
      <c r="D1800" t="s">
        <v>6199</v>
      </c>
      <c r="E1800" t="s">
        <v>6058</v>
      </c>
      <c r="J1800" t="s">
        <v>6895</v>
      </c>
      <c r="M1800" t="e">
        <v>#N/A</v>
      </c>
      <c r="N1800" t="e">
        <v>#N/A</v>
      </c>
      <c r="O1800" t="e">
        <v>#N/A</v>
      </c>
      <c r="P1800" t="e">
        <v>#N/A</v>
      </c>
      <c r="R1800" t="e">
        <v>#N/A</v>
      </c>
      <c r="T1800" t="s">
        <v>5985</v>
      </c>
      <c r="U1800" t="s">
        <v>5985</v>
      </c>
      <c r="V1800" t="s">
        <v>5985</v>
      </c>
      <c r="Y1800" t="s">
        <v>6948</v>
      </c>
      <c r="Z1800" t="s">
        <v>6949</v>
      </c>
      <c r="AA1800" t="s">
        <v>6950</v>
      </c>
      <c r="AB1800" t="s">
        <v>6951</v>
      </c>
      <c r="AC1800" t="s">
        <v>6952</v>
      </c>
      <c r="AD1800" t="s">
        <v>6953</v>
      </c>
    </row>
    <row r="1801" spans="1:30">
      <c r="A1801" t="s">
        <v>4604</v>
      </c>
      <c r="B1801" t="s">
        <v>5541</v>
      </c>
      <c r="C1801" t="s">
        <v>5916</v>
      </c>
      <c r="D1801" t="s">
        <v>6200</v>
      </c>
      <c r="E1801" t="s">
        <v>6070</v>
      </c>
      <c r="J1801" t="s">
        <v>6896</v>
      </c>
      <c r="M1801" t="e">
        <v>#N/A</v>
      </c>
      <c r="N1801" t="e">
        <v>#N/A</v>
      </c>
      <c r="O1801" t="e">
        <v>#N/A</v>
      </c>
      <c r="P1801" t="e">
        <v>#N/A</v>
      </c>
      <c r="R1801" t="e">
        <v>#N/A</v>
      </c>
      <c r="T1801" t="s">
        <v>5985</v>
      </c>
      <c r="U1801" t="s">
        <v>5985</v>
      </c>
      <c r="V1801" t="s">
        <v>5985</v>
      </c>
      <c r="Y1801" t="s">
        <v>6948</v>
      </c>
      <c r="Z1801" t="s">
        <v>6949</v>
      </c>
      <c r="AA1801" t="s">
        <v>6950</v>
      </c>
      <c r="AB1801" t="s">
        <v>6951</v>
      </c>
      <c r="AC1801" t="s">
        <v>6952</v>
      </c>
      <c r="AD1801" t="s">
        <v>6953</v>
      </c>
    </row>
    <row r="1802" spans="1:30">
      <c r="A1802" t="s">
        <v>4604</v>
      </c>
      <c r="B1802" t="s">
        <v>5542</v>
      </c>
      <c r="C1802" t="s">
        <v>5917</v>
      </c>
      <c r="D1802" t="e">
        <v>#N/A</v>
      </c>
      <c r="E1802" t="e">
        <v>#N/A</v>
      </c>
      <c r="J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R1802" t="e">
        <v>#N/A</v>
      </c>
      <c r="T1802" t="s">
        <v>5985</v>
      </c>
      <c r="U1802" t="s">
        <v>5985</v>
      </c>
      <c r="V1802" t="s">
        <v>5985</v>
      </c>
      <c r="Y1802" t="s">
        <v>6948</v>
      </c>
      <c r="Z1802" t="s">
        <v>6949</v>
      </c>
      <c r="AA1802" t="s">
        <v>6950</v>
      </c>
      <c r="AB1802" t="s">
        <v>6951</v>
      </c>
      <c r="AC1802" t="s">
        <v>6952</v>
      </c>
      <c r="AD1802" t="s">
        <v>6953</v>
      </c>
    </row>
    <row r="1803" spans="1:30">
      <c r="A1803" t="s">
        <v>4604</v>
      </c>
      <c r="B1803" t="s">
        <v>5543</v>
      </c>
      <c r="C1803" t="s">
        <v>5863</v>
      </c>
      <c r="D1803" t="s">
        <v>6200</v>
      </c>
      <c r="E1803" t="s">
        <v>6070</v>
      </c>
      <c r="J1803" t="s">
        <v>6897</v>
      </c>
      <c r="M1803" t="e">
        <v>#N/A</v>
      </c>
      <c r="N1803" t="e">
        <v>#N/A</v>
      </c>
      <c r="O1803" t="e">
        <v>#N/A</v>
      </c>
      <c r="P1803" t="e">
        <v>#N/A</v>
      </c>
      <c r="R1803" t="e">
        <v>#N/A</v>
      </c>
      <c r="T1803" t="s">
        <v>5985</v>
      </c>
      <c r="U1803" t="s">
        <v>5985</v>
      </c>
      <c r="V1803" t="s">
        <v>5985</v>
      </c>
      <c r="Y1803" t="s">
        <v>6948</v>
      </c>
      <c r="Z1803" t="s">
        <v>6949</v>
      </c>
      <c r="AA1803" t="s">
        <v>6950</v>
      </c>
      <c r="AB1803" t="s">
        <v>6951</v>
      </c>
      <c r="AC1803" t="s">
        <v>6952</v>
      </c>
      <c r="AD1803" t="s">
        <v>6953</v>
      </c>
    </row>
    <row r="1804" spans="1:30">
      <c r="A1804" t="s">
        <v>4604</v>
      </c>
      <c r="B1804" t="s">
        <v>5544</v>
      </c>
      <c r="C1804" t="s">
        <v>5864</v>
      </c>
      <c r="D1804" t="e">
        <v>#N/A</v>
      </c>
      <c r="E1804" t="e">
        <v>#N/A</v>
      </c>
      <c r="J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R1804" t="e">
        <v>#N/A</v>
      </c>
      <c r="T1804" t="s">
        <v>5985</v>
      </c>
      <c r="U1804" t="s">
        <v>5985</v>
      </c>
      <c r="V1804" t="s">
        <v>5985</v>
      </c>
      <c r="Y1804" t="s">
        <v>6948</v>
      </c>
      <c r="Z1804" t="s">
        <v>6949</v>
      </c>
      <c r="AA1804" t="s">
        <v>6950</v>
      </c>
      <c r="AB1804" t="s">
        <v>6951</v>
      </c>
      <c r="AC1804" t="s">
        <v>6952</v>
      </c>
      <c r="AD1804" t="s">
        <v>6953</v>
      </c>
    </row>
    <row r="1805" spans="1:30">
      <c r="A1805" t="s">
        <v>4604</v>
      </c>
      <c r="B1805" t="s">
        <v>5545</v>
      </c>
      <c r="C1805" t="s">
        <v>5918</v>
      </c>
      <c r="D1805" t="s">
        <v>6201</v>
      </c>
      <c r="E1805" t="s">
        <v>6074</v>
      </c>
      <c r="J1805" t="s">
        <v>6898</v>
      </c>
      <c r="M1805" t="e">
        <v>#N/A</v>
      </c>
      <c r="N1805" t="e">
        <v>#N/A</v>
      </c>
      <c r="O1805" t="e">
        <v>#N/A</v>
      </c>
      <c r="P1805" t="e">
        <v>#N/A</v>
      </c>
      <c r="R1805" t="e">
        <v>#N/A</v>
      </c>
      <c r="T1805" t="s">
        <v>5985</v>
      </c>
      <c r="U1805" t="s">
        <v>5985</v>
      </c>
      <c r="V1805" t="s">
        <v>5985</v>
      </c>
      <c r="Y1805" t="s">
        <v>6948</v>
      </c>
      <c r="Z1805" t="s">
        <v>6949</v>
      </c>
      <c r="AA1805" t="s">
        <v>6950</v>
      </c>
      <c r="AB1805" t="s">
        <v>6951</v>
      </c>
      <c r="AC1805" t="s">
        <v>6952</v>
      </c>
      <c r="AD1805" t="s">
        <v>6953</v>
      </c>
    </row>
    <row r="1806" spans="1:30">
      <c r="A1806" t="s">
        <v>4604</v>
      </c>
      <c r="B1806" t="s">
        <v>5546</v>
      </c>
      <c r="C1806" t="s">
        <v>5919</v>
      </c>
      <c r="D1806" t="s">
        <v>6201</v>
      </c>
      <c r="E1806" t="s">
        <v>6074</v>
      </c>
      <c r="J1806" t="s">
        <v>6899</v>
      </c>
      <c r="M1806" t="e">
        <v>#N/A</v>
      </c>
      <c r="N1806" t="e">
        <v>#N/A</v>
      </c>
      <c r="O1806" t="e">
        <v>#N/A</v>
      </c>
      <c r="P1806" t="e">
        <v>#N/A</v>
      </c>
      <c r="R1806" t="e">
        <v>#N/A</v>
      </c>
      <c r="T1806" t="s">
        <v>5985</v>
      </c>
      <c r="U1806" t="s">
        <v>5985</v>
      </c>
      <c r="V1806" t="s">
        <v>5985</v>
      </c>
      <c r="Y1806" t="s">
        <v>6948</v>
      </c>
      <c r="Z1806" t="s">
        <v>6949</v>
      </c>
      <c r="AA1806" t="s">
        <v>6950</v>
      </c>
      <c r="AB1806" t="s">
        <v>6951</v>
      </c>
      <c r="AC1806" t="s">
        <v>6952</v>
      </c>
      <c r="AD1806" t="s">
        <v>6953</v>
      </c>
    </row>
    <row r="1807" spans="1:30">
      <c r="A1807" t="s">
        <v>4604</v>
      </c>
      <c r="B1807" t="s">
        <v>5547</v>
      </c>
      <c r="C1807" t="s">
        <v>5872</v>
      </c>
      <c r="D1807" t="s">
        <v>6201</v>
      </c>
      <c r="E1807" t="s">
        <v>6074</v>
      </c>
      <c r="J1807" t="s">
        <v>6900</v>
      </c>
      <c r="M1807" t="e">
        <v>#N/A</v>
      </c>
      <c r="N1807" t="e">
        <v>#N/A</v>
      </c>
      <c r="O1807" t="e">
        <v>#N/A</v>
      </c>
      <c r="P1807" t="e">
        <v>#N/A</v>
      </c>
      <c r="R1807" t="e">
        <v>#N/A</v>
      </c>
      <c r="T1807" t="s">
        <v>5985</v>
      </c>
      <c r="U1807" t="s">
        <v>5985</v>
      </c>
      <c r="V1807" t="s">
        <v>5985</v>
      </c>
      <c r="Y1807" t="s">
        <v>6948</v>
      </c>
      <c r="Z1807" t="s">
        <v>6949</v>
      </c>
      <c r="AA1807" t="s">
        <v>6950</v>
      </c>
      <c r="AB1807" t="s">
        <v>6951</v>
      </c>
      <c r="AC1807" t="s">
        <v>6952</v>
      </c>
      <c r="AD1807" t="s">
        <v>6953</v>
      </c>
    </row>
    <row r="1808" spans="1:30">
      <c r="A1808" t="s">
        <v>4604</v>
      </c>
      <c r="B1808" t="s">
        <v>5548</v>
      </c>
      <c r="C1808" t="s">
        <v>5920</v>
      </c>
      <c r="D1808" t="s">
        <v>6201</v>
      </c>
      <c r="E1808" t="s">
        <v>6074</v>
      </c>
      <c r="J1808" t="s">
        <v>6901</v>
      </c>
      <c r="M1808" t="e">
        <v>#N/A</v>
      </c>
      <c r="N1808" t="e">
        <v>#N/A</v>
      </c>
      <c r="O1808" t="e">
        <v>#N/A</v>
      </c>
      <c r="P1808" t="e">
        <v>#N/A</v>
      </c>
      <c r="R1808" t="e">
        <v>#N/A</v>
      </c>
      <c r="T1808" t="s">
        <v>5985</v>
      </c>
      <c r="U1808" t="s">
        <v>5985</v>
      </c>
      <c r="V1808" t="s">
        <v>5985</v>
      </c>
      <c r="Y1808" t="s">
        <v>6948</v>
      </c>
      <c r="Z1808" t="s">
        <v>6949</v>
      </c>
      <c r="AA1808" t="s">
        <v>6950</v>
      </c>
      <c r="AB1808" t="s">
        <v>6951</v>
      </c>
      <c r="AC1808" t="s">
        <v>6952</v>
      </c>
      <c r="AD1808" t="s">
        <v>6953</v>
      </c>
    </row>
    <row r="1809" spans="1:30">
      <c r="A1809" t="s">
        <v>4604</v>
      </c>
      <c r="B1809" t="s">
        <v>5549</v>
      </c>
      <c r="C1809" t="s">
        <v>5921</v>
      </c>
      <c r="D1809" t="s">
        <v>6202</v>
      </c>
      <c r="E1809" t="s">
        <v>6084</v>
      </c>
      <c r="J1809" t="s">
        <v>6902</v>
      </c>
      <c r="M1809" t="e">
        <v>#N/A</v>
      </c>
      <c r="N1809" t="e">
        <v>#N/A</v>
      </c>
      <c r="O1809" t="e">
        <v>#N/A</v>
      </c>
      <c r="P1809" t="e">
        <v>#N/A</v>
      </c>
      <c r="R1809" t="e">
        <v>#N/A</v>
      </c>
      <c r="T1809" t="s">
        <v>5985</v>
      </c>
      <c r="U1809" t="s">
        <v>5985</v>
      </c>
      <c r="V1809" t="s">
        <v>5985</v>
      </c>
      <c r="Y1809" t="s">
        <v>6948</v>
      </c>
      <c r="Z1809" t="s">
        <v>6949</v>
      </c>
      <c r="AA1809" t="s">
        <v>6950</v>
      </c>
      <c r="AB1809" t="s">
        <v>6951</v>
      </c>
      <c r="AC1809" t="s">
        <v>6952</v>
      </c>
      <c r="AD1809" t="s">
        <v>6953</v>
      </c>
    </row>
    <row r="1810" spans="1:30">
      <c r="A1810" t="s">
        <v>4604</v>
      </c>
      <c r="B1810" t="s">
        <v>5550</v>
      </c>
      <c r="C1810" t="s">
        <v>5922</v>
      </c>
      <c r="D1810" t="s">
        <v>6202</v>
      </c>
      <c r="E1810" t="s">
        <v>6084</v>
      </c>
      <c r="J1810" t="s">
        <v>6903</v>
      </c>
      <c r="M1810" t="e">
        <v>#N/A</v>
      </c>
      <c r="N1810" t="e">
        <v>#N/A</v>
      </c>
      <c r="O1810" t="e">
        <v>#N/A</v>
      </c>
      <c r="P1810" t="e">
        <v>#N/A</v>
      </c>
      <c r="R1810" t="e">
        <v>#N/A</v>
      </c>
      <c r="T1810" t="s">
        <v>5985</v>
      </c>
      <c r="U1810" t="s">
        <v>5985</v>
      </c>
      <c r="V1810" t="s">
        <v>5985</v>
      </c>
      <c r="Y1810" t="s">
        <v>6948</v>
      </c>
      <c r="Z1810" t="s">
        <v>6949</v>
      </c>
      <c r="AA1810" t="s">
        <v>6950</v>
      </c>
      <c r="AB1810" t="s">
        <v>6951</v>
      </c>
      <c r="AC1810" t="s">
        <v>6952</v>
      </c>
      <c r="AD1810" t="s">
        <v>6953</v>
      </c>
    </row>
    <row r="1811" spans="1:30">
      <c r="A1811" t="s">
        <v>4604</v>
      </c>
      <c r="B1811" t="s">
        <v>5551</v>
      </c>
      <c r="C1811" t="s">
        <v>5880</v>
      </c>
      <c r="D1811" t="s">
        <v>6202</v>
      </c>
      <c r="E1811" t="s">
        <v>6084</v>
      </c>
      <c r="J1811" t="s">
        <v>6904</v>
      </c>
      <c r="M1811" t="e">
        <v>#N/A</v>
      </c>
      <c r="N1811" t="e">
        <v>#N/A</v>
      </c>
      <c r="O1811" t="e">
        <v>#N/A</v>
      </c>
      <c r="P1811" t="e">
        <v>#N/A</v>
      </c>
      <c r="R1811" t="e">
        <v>#N/A</v>
      </c>
      <c r="T1811" t="s">
        <v>5985</v>
      </c>
      <c r="U1811" t="s">
        <v>5985</v>
      </c>
      <c r="V1811" t="s">
        <v>5985</v>
      </c>
      <c r="Y1811" t="s">
        <v>6948</v>
      </c>
      <c r="Z1811" t="s">
        <v>6949</v>
      </c>
      <c r="AA1811" t="s">
        <v>6950</v>
      </c>
      <c r="AB1811" t="s">
        <v>6951</v>
      </c>
      <c r="AC1811" t="s">
        <v>6952</v>
      </c>
      <c r="AD1811" t="s">
        <v>6953</v>
      </c>
    </row>
    <row r="1812" spans="1:30">
      <c r="A1812" t="s">
        <v>4604</v>
      </c>
      <c r="B1812" t="s">
        <v>5552</v>
      </c>
      <c r="C1812" t="s">
        <v>5881</v>
      </c>
      <c r="D1812" t="s">
        <v>6202</v>
      </c>
      <c r="E1812" t="s">
        <v>6084</v>
      </c>
      <c r="J1812" t="s">
        <v>6905</v>
      </c>
      <c r="M1812" t="e">
        <v>#N/A</v>
      </c>
      <c r="N1812" t="e">
        <v>#N/A</v>
      </c>
      <c r="O1812" t="e">
        <v>#N/A</v>
      </c>
      <c r="P1812" t="e">
        <v>#N/A</v>
      </c>
      <c r="R1812" t="e">
        <v>#N/A</v>
      </c>
      <c r="T1812" t="s">
        <v>5985</v>
      </c>
      <c r="U1812" t="s">
        <v>5985</v>
      </c>
      <c r="V1812" t="s">
        <v>5985</v>
      </c>
      <c r="Y1812" t="s">
        <v>6948</v>
      </c>
      <c r="Z1812" t="s">
        <v>6949</v>
      </c>
      <c r="AA1812" t="s">
        <v>6950</v>
      </c>
      <c r="AB1812" t="s">
        <v>6951</v>
      </c>
      <c r="AC1812" t="s">
        <v>6952</v>
      </c>
      <c r="AD1812" t="s">
        <v>6953</v>
      </c>
    </row>
    <row r="1813" spans="1:30">
      <c r="A1813" t="s">
        <v>4604</v>
      </c>
      <c r="B1813" t="s">
        <v>5553</v>
      </c>
      <c r="C1813" t="s">
        <v>5923</v>
      </c>
      <c r="D1813" t="s">
        <v>6199</v>
      </c>
      <c r="E1813" t="s">
        <v>6058</v>
      </c>
      <c r="J1813" t="s">
        <v>6906</v>
      </c>
      <c r="M1813" t="e">
        <v>#N/A</v>
      </c>
      <c r="N1813" t="e">
        <v>#N/A</v>
      </c>
      <c r="O1813" t="e">
        <v>#N/A</v>
      </c>
      <c r="P1813" t="e">
        <v>#N/A</v>
      </c>
      <c r="R1813" t="e">
        <v>#N/A</v>
      </c>
      <c r="T1813" t="s">
        <v>5985</v>
      </c>
      <c r="U1813" t="s">
        <v>5985</v>
      </c>
      <c r="V1813" t="s">
        <v>5985</v>
      </c>
      <c r="Y1813" t="s">
        <v>6948</v>
      </c>
      <c r="Z1813" t="s">
        <v>6949</v>
      </c>
      <c r="AA1813" t="s">
        <v>6950</v>
      </c>
      <c r="AB1813" t="s">
        <v>6951</v>
      </c>
      <c r="AC1813" t="s">
        <v>6952</v>
      </c>
      <c r="AD1813" t="s">
        <v>6953</v>
      </c>
    </row>
    <row r="1814" spans="1:30">
      <c r="A1814" t="s">
        <v>4604</v>
      </c>
      <c r="B1814" t="s">
        <v>5554</v>
      </c>
      <c r="C1814" t="s">
        <v>5887</v>
      </c>
      <c r="D1814" t="s">
        <v>6199</v>
      </c>
      <c r="E1814" t="s">
        <v>6058</v>
      </c>
      <c r="J1814" t="s">
        <v>6907</v>
      </c>
      <c r="M1814" t="e">
        <v>#N/A</v>
      </c>
      <c r="N1814" t="e">
        <v>#N/A</v>
      </c>
      <c r="O1814" t="e">
        <v>#N/A</v>
      </c>
      <c r="P1814" t="e">
        <v>#N/A</v>
      </c>
      <c r="R1814" t="e">
        <v>#N/A</v>
      </c>
      <c r="T1814" t="s">
        <v>5985</v>
      </c>
      <c r="U1814" t="s">
        <v>5985</v>
      </c>
      <c r="V1814" t="s">
        <v>5985</v>
      </c>
      <c r="Y1814" t="s">
        <v>6948</v>
      </c>
      <c r="Z1814" t="s">
        <v>6949</v>
      </c>
      <c r="AA1814" t="s">
        <v>6950</v>
      </c>
      <c r="AB1814" t="s">
        <v>6951</v>
      </c>
      <c r="AC1814" t="s">
        <v>6952</v>
      </c>
      <c r="AD1814" t="s">
        <v>6953</v>
      </c>
    </row>
    <row r="1815" spans="1:30">
      <c r="A1815" t="s">
        <v>4604</v>
      </c>
      <c r="B1815" t="s">
        <v>5555</v>
      </c>
      <c r="C1815" t="s">
        <v>5924</v>
      </c>
      <c r="D1815" t="s">
        <v>6200</v>
      </c>
      <c r="E1815" t="s">
        <v>6070</v>
      </c>
      <c r="J1815" t="s">
        <v>6908</v>
      </c>
      <c r="M1815" t="e">
        <v>#N/A</v>
      </c>
      <c r="N1815" t="e">
        <v>#N/A</v>
      </c>
      <c r="O1815" t="e">
        <v>#N/A</v>
      </c>
      <c r="P1815" t="e">
        <v>#N/A</v>
      </c>
      <c r="R1815" t="e">
        <v>#N/A</v>
      </c>
      <c r="T1815" t="s">
        <v>5985</v>
      </c>
      <c r="U1815" t="s">
        <v>5985</v>
      </c>
      <c r="V1815" t="s">
        <v>5985</v>
      </c>
      <c r="Y1815" t="s">
        <v>6948</v>
      </c>
      <c r="Z1815" t="s">
        <v>6949</v>
      </c>
      <c r="AA1815" t="s">
        <v>6950</v>
      </c>
      <c r="AB1815" t="s">
        <v>6951</v>
      </c>
      <c r="AC1815" t="s">
        <v>6952</v>
      </c>
      <c r="AD1815" t="s">
        <v>6953</v>
      </c>
    </row>
    <row r="1816" spans="1:30">
      <c r="A1816" t="s">
        <v>4604</v>
      </c>
      <c r="B1816" t="s">
        <v>5556</v>
      </c>
      <c r="C1816" t="s">
        <v>5925</v>
      </c>
      <c r="D1816" t="s">
        <v>6200</v>
      </c>
      <c r="E1816" t="s">
        <v>6070</v>
      </c>
      <c r="J1816" t="s">
        <v>6909</v>
      </c>
      <c r="M1816" t="e">
        <v>#N/A</v>
      </c>
      <c r="N1816" t="e">
        <v>#N/A</v>
      </c>
      <c r="O1816" t="e">
        <v>#N/A</v>
      </c>
      <c r="P1816" t="e">
        <v>#N/A</v>
      </c>
      <c r="R1816" t="e">
        <v>#N/A</v>
      </c>
      <c r="T1816" t="s">
        <v>5985</v>
      </c>
      <c r="U1816" t="s">
        <v>5985</v>
      </c>
      <c r="V1816" t="s">
        <v>5985</v>
      </c>
      <c r="Y1816" t="s">
        <v>6948</v>
      </c>
      <c r="Z1816" t="s">
        <v>6949</v>
      </c>
      <c r="AA1816" t="s">
        <v>6950</v>
      </c>
      <c r="AB1816" t="s">
        <v>6951</v>
      </c>
      <c r="AC1816" t="s">
        <v>6952</v>
      </c>
      <c r="AD1816" t="s">
        <v>6953</v>
      </c>
    </row>
    <row r="1817" spans="1:30">
      <c r="A1817">
        <v>11003262</v>
      </c>
      <c r="B1817" t="s">
        <v>5557</v>
      </c>
      <c r="C1817" t="s">
        <v>1170</v>
      </c>
      <c r="D1817" t="s">
        <v>6209</v>
      </c>
      <c r="E1817" t="s">
        <v>6210</v>
      </c>
      <c r="J1817" t="s">
        <v>2716</v>
      </c>
      <c r="M1817" t="e">
        <v>#N/A</v>
      </c>
      <c r="N1817" t="e">
        <v>#N/A</v>
      </c>
      <c r="O1817" t="e">
        <v>#N/A</v>
      </c>
      <c r="P1817" t="e">
        <v>#N/A</v>
      </c>
      <c r="R1817" t="e">
        <v>#N/A</v>
      </c>
      <c r="T1817" t="s">
        <v>5983</v>
      </c>
      <c r="U1817" t="s">
        <v>5983</v>
      </c>
      <c r="V1817" t="s">
        <v>5983</v>
      </c>
      <c r="Y1817" t="s">
        <v>6948</v>
      </c>
      <c r="Z1817" t="s">
        <v>6949</v>
      </c>
      <c r="AA1817" t="s">
        <v>6950</v>
      </c>
      <c r="AB1817" t="s">
        <v>6951</v>
      </c>
      <c r="AC1817" t="s">
        <v>6952</v>
      </c>
      <c r="AD1817" t="s">
        <v>6953</v>
      </c>
    </row>
    <row r="1818" spans="1:30">
      <c r="A1818">
        <v>11006227</v>
      </c>
      <c r="B1818" t="s">
        <v>5558</v>
      </c>
      <c r="C1818" t="s">
        <v>5817</v>
      </c>
      <c r="D1818" t="s">
        <v>6049</v>
      </c>
      <c r="E1818" t="s">
        <v>6050</v>
      </c>
      <c r="J1818" t="s">
        <v>6744</v>
      </c>
      <c r="M1818" t="e">
        <v>#N/A</v>
      </c>
      <c r="N1818" t="e">
        <v>#N/A</v>
      </c>
      <c r="O1818" t="e">
        <v>#N/A</v>
      </c>
      <c r="P1818" t="e">
        <v>#N/A</v>
      </c>
      <c r="R1818" t="e">
        <v>#N/A</v>
      </c>
      <c r="T1818" t="s">
        <v>5985</v>
      </c>
      <c r="U1818" t="s">
        <v>5985</v>
      </c>
      <c r="V1818" t="s">
        <v>5985</v>
      </c>
      <c r="Y1818" t="s">
        <v>6948</v>
      </c>
      <c r="Z1818" t="s">
        <v>6949</v>
      </c>
      <c r="AA1818" t="s">
        <v>6950</v>
      </c>
      <c r="AB1818" t="s">
        <v>6951</v>
      </c>
      <c r="AC1818" t="s">
        <v>6952</v>
      </c>
      <c r="AD1818" t="s">
        <v>6953</v>
      </c>
    </row>
    <row r="1819" spans="1:30">
      <c r="A1819">
        <v>11006259</v>
      </c>
      <c r="B1819" t="s">
        <v>5559</v>
      </c>
      <c r="C1819" t="s">
        <v>5802</v>
      </c>
      <c r="D1819" t="s">
        <v>6041</v>
      </c>
      <c r="E1819" t="s">
        <v>6042</v>
      </c>
      <c r="J1819" t="s">
        <v>6721</v>
      </c>
      <c r="M1819" t="e">
        <v>#N/A</v>
      </c>
      <c r="N1819" t="e">
        <v>#N/A</v>
      </c>
      <c r="O1819" t="e">
        <v>#N/A</v>
      </c>
      <c r="P1819" t="e">
        <v>#N/A</v>
      </c>
      <c r="R1819" t="e">
        <v>#N/A</v>
      </c>
      <c r="T1819" t="s">
        <v>5985</v>
      </c>
      <c r="U1819" t="s">
        <v>5985</v>
      </c>
      <c r="V1819" t="s">
        <v>5985</v>
      </c>
      <c r="Y1819" t="s">
        <v>6948</v>
      </c>
      <c r="Z1819" t="s">
        <v>6949</v>
      </c>
      <c r="AA1819" t="s">
        <v>6950</v>
      </c>
      <c r="AB1819" t="s">
        <v>6951</v>
      </c>
      <c r="AC1819" t="s">
        <v>6952</v>
      </c>
      <c r="AD1819" t="s">
        <v>6953</v>
      </c>
    </row>
    <row r="1820" spans="1:30">
      <c r="A1820">
        <v>11007516</v>
      </c>
      <c r="B1820" t="s">
        <v>5560</v>
      </c>
      <c r="C1820" t="s">
        <v>1006</v>
      </c>
      <c r="D1820" t="e">
        <v>#N/A</v>
      </c>
      <c r="E1820" t="e">
        <v>#N/A</v>
      </c>
      <c r="J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R1820" t="e">
        <v>#N/A</v>
      </c>
      <c r="T1820" t="e">
        <v>#N/A</v>
      </c>
      <c r="U1820" t="e">
        <v>#N/A</v>
      </c>
      <c r="V1820" t="e">
        <v>#N/A</v>
      </c>
      <c r="Y1820" t="s">
        <v>6948</v>
      </c>
      <c r="Z1820" t="s">
        <v>6949</v>
      </c>
      <c r="AA1820" t="s">
        <v>6950</v>
      </c>
      <c r="AB1820" t="s">
        <v>6951</v>
      </c>
      <c r="AC1820" t="s">
        <v>6952</v>
      </c>
      <c r="AD1820" t="s">
        <v>6953</v>
      </c>
    </row>
    <row r="1821" spans="1:30">
      <c r="A1821" t="s">
        <v>4604</v>
      </c>
      <c r="B1821" t="s">
        <v>5561</v>
      </c>
      <c r="C1821" t="s">
        <v>1195</v>
      </c>
      <c r="D1821" t="e">
        <v>#N/A</v>
      </c>
      <c r="E1821" t="e">
        <v>#N/A</v>
      </c>
      <c r="J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R1821" t="e">
        <v>#N/A</v>
      </c>
      <c r="T1821" t="e">
        <v>#N/A</v>
      </c>
      <c r="U1821" t="e">
        <v>#N/A</v>
      </c>
      <c r="V1821" t="s">
        <v>5985</v>
      </c>
      <c r="Y1821" t="s">
        <v>6948</v>
      </c>
      <c r="Z1821" t="s">
        <v>6949</v>
      </c>
      <c r="AA1821" t="s">
        <v>6950</v>
      </c>
      <c r="AB1821" t="s">
        <v>6951</v>
      </c>
      <c r="AC1821" t="s">
        <v>6952</v>
      </c>
      <c r="AD1821" t="s">
        <v>6953</v>
      </c>
    </row>
    <row r="1822" spans="1:30">
      <c r="A1822" t="s">
        <v>4604</v>
      </c>
      <c r="B1822" t="s">
        <v>5562</v>
      </c>
      <c r="C1822" t="s">
        <v>1196</v>
      </c>
      <c r="D1822" t="e">
        <v>#N/A</v>
      </c>
      <c r="E1822" t="e">
        <v>#N/A</v>
      </c>
      <c r="J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R1822" t="e">
        <v>#N/A</v>
      </c>
      <c r="T1822" t="e">
        <v>#N/A</v>
      </c>
      <c r="U1822" t="e">
        <v>#N/A</v>
      </c>
      <c r="V1822" t="s">
        <v>5985</v>
      </c>
      <c r="Y1822" t="s">
        <v>6948</v>
      </c>
      <c r="Z1822" t="s">
        <v>6949</v>
      </c>
      <c r="AA1822" t="s">
        <v>6950</v>
      </c>
      <c r="AB1822" t="s">
        <v>6951</v>
      </c>
      <c r="AC1822" t="s">
        <v>6952</v>
      </c>
      <c r="AD1822" t="s">
        <v>6953</v>
      </c>
    </row>
    <row r="1823" spans="1:30">
      <c r="A1823" t="s">
        <v>4604</v>
      </c>
      <c r="B1823" t="s">
        <v>5563</v>
      </c>
      <c r="C1823" t="s">
        <v>1177</v>
      </c>
      <c r="D1823" t="e">
        <v>#N/A</v>
      </c>
      <c r="E1823" t="e">
        <v>#N/A</v>
      </c>
      <c r="J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R1823" t="e">
        <v>#N/A</v>
      </c>
      <c r="T1823" t="e">
        <v>#N/A</v>
      </c>
      <c r="U1823" t="e">
        <v>#N/A</v>
      </c>
      <c r="V1823" t="s">
        <v>5985</v>
      </c>
      <c r="Y1823" t="s">
        <v>6948</v>
      </c>
      <c r="Z1823" t="s">
        <v>6949</v>
      </c>
      <c r="AA1823" t="s">
        <v>6950</v>
      </c>
      <c r="AB1823" t="s">
        <v>6951</v>
      </c>
      <c r="AC1823" t="s">
        <v>6952</v>
      </c>
      <c r="AD1823" t="s">
        <v>6953</v>
      </c>
    </row>
    <row r="1824" spans="1:30">
      <c r="A1824" t="s">
        <v>4604</v>
      </c>
      <c r="B1824" t="s">
        <v>5564</v>
      </c>
      <c r="C1824" t="s">
        <v>1081</v>
      </c>
      <c r="D1824" t="e">
        <v>#N/A</v>
      </c>
      <c r="E1824" t="e">
        <v>#N/A</v>
      </c>
      <c r="J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R1824" t="e">
        <v>#N/A</v>
      </c>
      <c r="T1824" t="e">
        <v>#N/A</v>
      </c>
      <c r="U1824" t="e">
        <v>#N/A</v>
      </c>
      <c r="V1824" t="s">
        <v>5985</v>
      </c>
      <c r="Y1824" t="s">
        <v>6948</v>
      </c>
      <c r="Z1824" t="s">
        <v>6949</v>
      </c>
      <c r="AA1824" t="s">
        <v>6950</v>
      </c>
      <c r="AB1824" t="s">
        <v>6951</v>
      </c>
      <c r="AC1824" t="s">
        <v>6952</v>
      </c>
      <c r="AD1824" t="s">
        <v>6953</v>
      </c>
    </row>
    <row r="1825" spans="1:36">
      <c r="A1825" t="s">
        <v>4604</v>
      </c>
      <c r="B1825" t="s">
        <v>5565</v>
      </c>
      <c r="C1825" t="s">
        <v>1197</v>
      </c>
      <c r="M1825" t="e">
        <v>#N/A</v>
      </c>
      <c r="N1825" t="e">
        <v>#N/A</v>
      </c>
      <c r="O1825" t="e">
        <v>#N/A</v>
      </c>
      <c r="P1825" t="e">
        <v>#N/A</v>
      </c>
      <c r="R1825" t="e">
        <v>#N/A</v>
      </c>
      <c r="V1825" t="s">
        <v>5985</v>
      </c>
      <c r="Y1825" t="s">
        <v>6948</v>
      </c>
      <c r="Z1825" t="s">
        <v>6949</v>
      </c>
      <c r="AA1825" t="s">
        <v>6950</v>
      </c>
      <c r="AB1825" t="s">
        <v>6951</v>
      </c>
      <c r="AC1825" t="s">
        <v>6952</v>
      </c>
      <c r="AD1825" t="s">
        <v>6953</v>
      </c>
    </row>
    <row r="1826" spans="1:36">
      <c r="A1826">
        <v>11007516</v>
      </c>
      <c r="B1826" t="s">
        <v>5560</v>
      </c>
      <c r="C1826" t="s">
        <v>1006</v>
      </c>
      <c r="D1826" t="e">
        <v>#N/A</v>
      </c>
      <c r="E1826" t="e">
        <v>#N/A</v>
      </c>
      <c r="J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R1826" t="e">
        <v>#N/A</v>
      </c>
      <c r="T1826" t="e">
        <v>#N/A</v>
      </c>
      <c r="U1826" t="s">
        <v>5985</v>
      </c>
      <c r="V1826" t="s">
        <v>5985</v>
      </c>
      <c r="Y1826" t="s">
        <v>6948</v>
      </c>
      <c r="Z1826" t="s">
        <v>6949</v>
      </c>
      <c r="AA1826" t="s">
        <v>6950</v>
      </c>
      <c r="AB1826" t="s">
        <v>6951</v>
      </c>
      <c r="AC1826" t="s">
        <v>6952</v>
      </c>
      <c r="AD1826" t="s">
        <v>6953</v>
      </c>
    </row>
    <row r="1827" spans="1:36">
      <c r="A1827" t="s">
        <v>4604</v>
      </c>
      <c r="B1827" t="s">
        <v>5566</v>
      </c>
      <c r="C1827" t="s">
        <v>959</v>
      </c>
      <c r="D1827" t="e">
        <v>#N/A</v>
      </c>
      <c r="E1827" t="e">
        <v>#N/A</v>
      </c>
      <c r="J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R1827" t="e">
        <v>#N/A</v>
      </c>
      <c r="T1827" t="e">
        <v>#N/A</v>
      </c>
      <c r="U1827" t="s">
        <v>5985</v>
      </c>
      <c r="V1827" t="s">
        <v>5985</v>
      </c>
      <c r="Y1827" t="s">
        <v>6948</v>
      </c>
      <c r="Z1827" t="s">
        <v>6949</v>
      </c>
      <c r="AA1827" t="s">
        <v>6950</v>
      </c>
      <c r="AB1827" t="s">
        <v>6951</v>
      </c>
      <c r="AC1827" t="s">
        <v>6952</v>
      </c>
      <c r="AD1827" t="s">
        <v>6953</v>
      </c>
    </row>
    <row r="1828" spans="1:36">
      <c r="A1828" t="s">
        <v>4604</v>
      </c>
      <c r="B1828" t="s">
        <v>5567</v>
      </c>
      <c r="C1828" t="s">
        <v>960</v>
      </c>
      <c r="D1828" t="e">
        <v>#N/A</v>
      </c>
      <c r="E1828" t="e">
        <v>#N/A</v>
      </c>
      <c r="J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R1828" t="e">
        <v>#N/A</v>
      </c>
      <c r="T1828" t="e">
        <v>#N/A</v>
      </c>
      <c r="U1828" t="s">
        <v>5985</v>
      </c>
      <c r="V1828" t="s">
        <v>5985</v>
      </c>
      <c r="Y1828" t="s">
        <v>6948</v>
      </c>
      <c r="Z1828" t="s">
        <v>6949</v>
      </c>
      <c r="AA1828" t="s">
        <v>6950</v>
      </c>
      <c r="AB1828" t="s">
        <v>6951</v>
      </c>
      <c r="AC1828" t="s">
        <v>6952</v>
      </c>
      <c r="AD1828" t="s">
        <v>6953</v>
      </c>
    </row>
    <row r="1829" spans="1:36">
      <c r="A1829" t="s">
        <v>4604</v>
      </c>
      <c r="B1829" t="s">
        <v>5568</v>
      </c>
      <c r="C1829" t="s">
        <v>961</v>
      </c>
      <c r="D1829" t="e">
        <v>#N/A</v>
      </c>
      <c r="E1829" t="e">
        <v>#N/A</v>
      </c>
      <c r="J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R1829" t="e">
        <v>#N/A</v>
      </c>
      <c r="T1829" t="e">
        <v>#N/A</v>
      </c>
      <c r="U1829" t="s">
        <v>5985</v>
      </c>
      <c r="V1829" t="s">
        <v>5985</v>
      </c>
      <c r="Y1829" t="s">
        <v>6948</v>
      </c>
      <c r="Z1829" t="s">
        <v>6949</v>
      </c>
      <c r="AA1829" t="s">
        <v>6950</v>
      </c>
      <c r="AB1829" t="s">
        <v>6951</v>
      </c>
      <c r="AC1829" t="s">
        <v>6952</v>
      </c>
      <c r="AD1829" t="s">
        <v>6953</v>
      </c>
    </row>
    <row r="1830" spans="1:36">
      <c r="A1830" t="s">
        <v>4604</v>
      </c>
      <c r="B1830" t="s">
        <v>5569</v>
      </c>
      <c r="C1830" t="s">
        <v>962</v>
      </c>
      <c r="D1830" t="e">
        <v>#N/A</v>
      </c>
      <c r="E1830" t="e">
        <v>#N/A</v>
      </c>
      <c r="J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R1830" t="e">
        <v>#N/A</v>
      </c>
      <c r="T1830" t="e">
        <v>#N/A</v>
      </c>
      <c r="U1830" t="s">
        <v>5985</v>
      </c>
      <c r="V1830" t="s">
        <v>5985</v>
      </c>
      <c r="Y1830" t="s">
        <v>6948</v>
      </c>
      <c r="Z1830" t="s">
        <v>6949</v>
      </c>
      <c r="AA1830" t="s">
        <v>6950</v>
      </c>
      <c r="AB1830" t="s">
        <v>6951</v>
      </c>
      <c r="AC1830" t="s">
        <v>6952</v>
      </c>
      <c r="AD1830" t="s">
        <v>6953</v>
      </c>
    </row>
    <row r="1831" spans="1:36">
      <c r="A1831" t="s">
        <v>4604</v>
      </c>
      <c r="B1831" t="s">
        <v>5570</v>
      </c>
      <c r="C1831" t="s">
        <v>5928</v>
      </c>
      <c r="D1831" t="e">
        <v>#N/A</v>
      </c>
      <c r="E1831" t="e">
        <v>#N/A</v>
      </c>
      <c r="J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R1831" t="e">
        <v>#N/A</v>
      </c>
      <c r="T1831" t="e">
        <v>#N/A</v>
      </c>
      <c r="U1831" t="s">
        <v>5985</v>
      </c>
      <c r="V1831" t="s">
        <v>5985</v>
      </c>
      <c r="Y1831" t="s">
        <v>6948</v>
      </c>
      <c r="Z1831" t="s">
        <v>6949</v>
      </c>
      <c r="AA1831" t="s">
        <v>6950</v>
      </c>
      <c r="AB1831" t="s">
        <v>6951</v>
      </c>
      <c r="AC1831" t="s">
        <v>6952</v>
      </c>
      <c r="AD1831" t="s">
        <v>6953</v>
      </c>
    </row>
    <row r="1832" spans="1:36">
      <c r="A1832" t="s">
        <v>4604</v>
      </c>
      <c r="B1832" t="s">
        <v>5571</v>
      </c>
      <c r="C1832" t="s">
        <v>5929</v>
      </c>
      <c r="D1832" t="e">
        <v>#N/A</v>
      </c>
      <c r="E1832" t="e">
        <v>#N/A</v>
      </c>
      <c r="J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R1832" t="e">
        <v>#N/A</v>
      </c>
      <c r="T1832" t="e">
        <v>#N/A</v>
      </c>
      <c r="U1832" t="e">
        <v>#N/A</v>
      </c>
      <c r="V1832" t="e">
        <v>#N/A</v>
      </c>
      <c r="Y1832" t="s">
        <v>6948</v>
      </c>
      <c r="Z1832" t="s">
        <v>6949</v>
      </c>
      <c r="AA1832" t="s">
        <v>6950</v>
      </c>
      <c r="AB1832" t="s">
        <v>6951</v>
      </c>
      <c r="AC1832" t="s">
        <v>6952</v>
      </c>
      <c r="AD1832" t="s">
        <v>6953</v>
      </c>
    </row>
    <row r="1833" spans="1:36">
      <c r="A1833" t="s">
        <v>4604</v>
      </c>
      <c r="B1833" t="s">
        <v>5572</v>
      </c>
      <c r="C1833" t="s">
        <v>963</v>
      </c>
      <c r="D1833" t="e">
        <v>#N/A</v>
      </c>
      <c r="E1833" t="e">
        <v>#N/A</v>
      </c>
      <c r="J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R1833" t="e">
        <v>#N/A</v>
      </c>
      <c r="T1833" t="e">
        <v>#N/A</v>
      </c>
      <c r="U1833" t="e">
        <v>#N/A</v>
      </c>
      <c r="V1833" t="e">
        <v>#N/A</v>
      </c>
      <c r="Y1833" t="s">
        <v>6948</v>
      </c>
      <c r="Z1833" t="s">
        <v>6949</v>
      </c>
      <c r="AA1833" t="s">
        <v>6950</v>
      </c>
      <c r="AB1833" t="s">
        <v>6951</v>
      </c>
      <c r="AC1833" t="s">
        <v>6952</v>
      </c>
      <c r="AD1833" t="s">
        <v>6953</v>
      </c>
    </row>
    <row r="1834" spans="1:36">
      <c r="A1834">
        <v>11009401</v>
      </c>
      <c r="B1834" t="s">
        <v>5573</v>
      </c>
      <c r="C1834" t="s">
        <v>964</v>
      </c>
      <c r="D1834" t="e">
        <v>#N/A</v>
      </c>
      <c r="E1834" t="e">
        <v>#N/A</v>
      </c>
      <c r="J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R1834" t="e">
        <v>#N/A</v>
      </c>
      <c r="T1834" t="e">
        <v>#N/A</v>
      </c>
      <c r="U1834" t="e">
        <v>#N/A</v>
      </c>
      <c r="V1834" t="e">
        <v>#N/A</v>
      </c>
      <c r="Y1834" t="s">
        <v>6948</v>
      </c>
      <c r="Z1834" t="s">
        <v>6949</v>
      </c>
      <c r="AA1834" t="s">
        <v>6950</v>
      </c>
      <c r="AB1834" t="s">
        <v>6951</v>
      </c>
      <c r="AC1834" t="s">
        <v>6952</v>
      </c>
      <c r="AD1834" t="s">
        <v>6953</v>
      </c>
    </row>
    <row r="1835" spans="1:36">
      <c r="A1835">
        <v>11001629</v>
      </c>
      <c r="B1835" t="s">
        <v>5574</v>
      </c>
      <c r="C1835" t="s">
        <v>1229</v>
      </c>
      <c r="D1835" t="s">
        <v>6211</v>
      </c>
      <c r="E1835" t="s">
        <v>6212</v>
      </c>
      <c r="J1835" t="s">
        <v>6910</v>
      </c>
      <c r="M1835">
        <v>60</v>
      </c>
      <c r="N1835">
        <v>70</v>
      </c>
      <c r="O1835" t="s">
        <v>2437</v>
      </c>
      <c r="P1835" t="s">
        <v>2437</v>
      </c>
      <c r="R1835" t="s">
        <v>2437</v>
      </c>
      <c r="T1835" t="s">
        <v>5985</v>
      </c>
      <c r="U1835" t="s">
        <v>5985</v>
      </c>
      <c r="V1835" t="s">
        <v>5985</v>
      </c>
      <c r="Y1835" t="s">
        <v>6948</v>
      </c>
      <c r="Z1835" t="s">
        <v>6949</v>
      </c>
      <c r="AA1835" t="s">
        <v>6950</v>
      </c>
      <c r="AB1835" t="s">
        <v>6951</v>
      </c>
      <c r="AC1835" t="s">
        <v>6952</v>
      </c>
      <c r="AD1835" t="s">
        <v>6953</v>
      </c>
      <c r="AE1835" t="s">
        <v>6961</v>
      </c>
      <c r="AF1835" t="s">
        <v>6962</v>
      </c>
      <c r="AG1835" t="s">
        <v>6963</v>
      </c>
      <c r="AH1835" t="s">
        <v>6964</v>
      </c>
      <c r="AI1835" t="s">
        <v>6965</v>
      </c>
      <c r="AJ1835" t="s">
        <v>6966</v>
      </c>
    </row>
    <row r="1836" spans="1:36">
      <c r="A1836">
        <v>11001626</v>
      </c>
      <c r="B1836" t="s">
        <v>5575</v>
      </c>
      <c r="C1836" t="s">
        <v>1232</v>
      </c>
      <c r="D1836" t="s">
        <v>6211</v>
      </c>
      <c r="E1836" t="s">
        <v>6212</v>
      </c>
      <c r="J1836" t="s">
        <v>6911</v>
      </c>
      <c r="M1836">
        <v>60</v>
      </c>
      <c r="N1836">
        <v>70</v>
      </c>
      <c r="O1836" t="s">
        <v>2437</v>
      </c>
      <c r="P1836" t="s">
        <v>2437</v>
      </c>
      <c r="R1836" t="s">
        <v>2437</v>
      </c>
      <c r="T1836" t="s">
        <v>5985</v>
      </c>
      <c r="U1836" t="s">
        <v>5985</v>
      </c>
      <c r="V1836" t="s">
        <v>5985</v>
      </c>
      <c r="Y1836" t="s">
        <v>6948</v>
      </c>
      <c r="Z1836" t="s">
        <v>6949</v>
      </c>
      <c r="AA1836" t="s">
        <v>6950</v>
      </c>
      <c r="AB1836" t="s">
        <v>6951</v>
      </c>
      <c r="AC1836" t="s">
        <v>6952</v>
      </c>
      <c r="AD1836" t="s">
        <v>6953</v>
      </c>
      <c r="AE1836" t="s">
        <v>6961</v>
      </c>
      <c r="AF1836" t="s">
        <v>6962</v>
      </c>
      <c r="AG1836" t="s">
        <v>6963</v>
      </c>
      <c r="AH1836" t="s">
        <v>6964</v>
      </c>
      <c r="AI1836" t="s">
        <v>6965</v>
      </c>
      <c r="AJ1836" t="s">
        <v>6966</v>
      </c>
    </row>
    <row r="1837" spans="1:36">
      <c r="A1837" t="s">
        <v>4604</v>
      </c>
      <c r="B1837" t="s">
        <v>5576</v>
      </c>
      <c r="C1837" t="s">
        <v>1114</v>
      </c>
      <c r="D1837" t="s">
        <v>6211</v>
      </c>
      <c r="E1837" t="s">
        <v>6212</v>
      </c>
      <c r="J1837" t="s">
        <v>6912</v>
      </c>
      <c r="M1837">
        <v>60</v>
      </c>
      <c r="N1837">
        <v>70</v>
      </c>
      <c r="O1837" t="s">
        <v>2437</v>
      </c>
      <c r="P1837" t="s">
        <v>2437</v>
      </c>
      <c r="R1837" t="s">
        <v>2437</v>
      </c>
      <c r="T1837" t="s">
        <v>5985</v>
      </c>
      <c r="U1837" t="s">
        <v>5985</v>
      </c>
      <c r="V1837" t="s">
        <v>5985</v>
      </c>
      <c r="Y1837" t="s">
        <v>6948</v>
      </c>
      <c r="Z1837" t="s">
        <v>6949</v>
      </c>
      <c r="AA1837" t="s">
        <v>6950</v>
      </c>
      <c r="AB1837" t="s">
        <v>6951</v>
      </c>
      <c r="AC1837" t="s">
        <v>6952</v>
      </c>
      <c r="AD1837" t="s">
        <v>6953</v>
      </c>
      <c r="AE1837" t="s">
        <v>6961</v>
      </c>
      <c r="AF1837" t="s">
        <v>6962</v>
      </c>
      <c r="AG1837" t="s">
        <v>6963</v>
      </c>
      <c r="AH1837" t="s">
        <v>6964</v>
      </c>
      <c r="AI1837" t="s">
        <v>6965</v>
      </c>
      <c r="AJ1837" t="s">
        <v>6966</v>
      </c>
    </row>
    <row r="1838" spans="1:36">
      <c r="A1838" t="s">
        <v>4604</v>
      </c>
      <c r="B1838" t="s">
        <v>5577</v>
      </c>
      <c r="C1838" t="s">
        <v>1115</v>
      </c>
      <c r="D1838" t="s">
        <v>6211</v>
      </c>
      <c r="E1838" t="s">
        <v>6212</v>
      </c>
      <c r="J1838" t="s">
        <v>6913</v>
      </c>
      <c r="M1838">
        <v>60</v>
      </c>
      <c r="N1838">
        <v>70</v>
      </c>
      <c r="O1838" t="s">
        <v>2437</v>
      </c>
      <c r="P1838" t="s">
        <v>2437</v>
      </c>
      <c r="R1838" t="s">
        <v>2437</v>
      </c>
      <c r="T1838" t="s">
        <v>5985</v>
      </c>
      <c r="U1838" t="s">
        <v>5985</v>
      </c>
      <c r="V1838" t="s">
        <v>5985</v>
      </c>
      <c r="Y1838" t="s">
        <v>6948</v>
      </c>
      <c r="Z1838" t="s">
        <v>6949</v>
      </c>
      <c r="AA1838" t="s">
        <v>6950</v>
      </c>
      <c r="AB1838" t="s">
        <v>6951</v>
      </c>
      <c r="AC1838" t="s">
        <v>6952</v>
      </c>
      <c r="AD1838" t="s">
        <v>6953</v>
      </c>
      <c r="AE1838" t="s">
        <v>6961</v>
      </c>
      <c r="AF1838" t="s">
        <v>6962</v>
      </c>
      <c r="AG1838" t="s">
        <v>6963</v>
      </c>
      <c r="AH1838" t="s">
        <v>6964</v>
      </c>
      <c r="AI1838" t="s">
        <v>6965</v>
      </c>
      <c r="AJ1838" t="s">
        <v>6966</v>
      </c>
    </row>
    <row r="1839" spans="1:36">
      <c r="A1839">
        <v>11000991</v>
      </c>
      <c r="B1839" t="s">
        <v>5578</v>
      </c>
      <c r="C1839" t="s">
        <v>1229</v>
      </c>
      <c r="D1839" t="s">
        <v>6211</v>
      </c>
      <c r="E1839" t="s">
        <v>6212</v>
      </c>
      <c r="J1839" t="s">
        <v>6914</v>
      </c>
      <c r="M1839">
        <v>60</v>
      </c>
      <c r="N1839">
        <v>70</v>
      </c>
      <c r="O1839" t="s">
        <v>2437</v>
      </c>
      <c r="P1839" t="s">
        <v>2437</v>
      </c>
      <c r="R1839" t="s">
        <v>2437</v>
      </c>
      <c r="T1839" t="s">
        <v>5985</v>
      </c>
      <c r="U1839" t="s">
        <v>5985</v>
      </c>
      <c r="V1839" t="s">
        <v>5985</v>
      </c>
      <c r="Y1839" t="s">
        <v>6948</v>
      </c>
      <c r="Z1839" t="s">
        <v>6949</v>
      </c>
      <c r="AA1839" t="s">
        <v>6950</v>
      </c>
      <c r="AB1839" t="s">
        <v>6951</v>
      </c>
      <c r="AC1839" t="s">
        <v>6952</v>
      </c>
      <c r="AD1839" t="s">
        <v>6953</v>
      </c>
      <c r="AE1839" t="s">
        <v>6961</v>
      </c>
      <c r="AF1839" t="s">
        <v>6962</v>
      </c>
      <c r="AG1839" t="s">
        <v>6963</v>
      </c>
      <c r="AH1839" t="s">
        <v>6964</v>
      </c>
      <c r="AI1839" t="s">
        <v>6965</v>
      </c>
      <c r="AJ1839" t="s">
        <v>6966</v>
      </c>
    </row>
    <row r="1840" spans="1:36">
      <c r="A1840">
        <v>11000988</v>
      </c>
      <c r="B1840" t="s">
        <v>5579</v>
      </c>
      <c r="C1840" t="s">
        <v>1231</v>
      </c>
      <c r="D1840" t="s">
        <v>6211</v>
      </c>
      <c r="E1840" t="s">
        <v>6212</v>
      </c>
      <c r="J1840" t="s">
        <v>6915</v>
      </c>
      <c r="M1840">
        <v>60</v>
      </c>
      <c r="N1840">
        <v>70</v>
      </c>
      <c r="O1840" t="s">
        <v>2437</v>
      </c>
      <c r="P1840" t="s">
        <v>2437</v>
      </c>
      <c r="R1840" t="s">
        <v>2437</v>
      </c>
      <c r="T1840" t="s">
        <v>5985</v>
      </c>
      <c r="U1840" t="s">
        <v>5985</v>
      </c>
      <c r="V1840" t="s">
        <v>5985</v>
      </c>
      <c r="Y1840" t="s">
        <v>6948</v>
      </c>
      <c r="Z1840" t="s">
        <v>6949</v>
      </c>
      <c r="AA1840" t="s">
        <v>6950</v>
      </c>
      <c r="AB1840" t="s">
        <v>6951</v>
      </c>
      <c r="AC1840" t="s">
        <v>6952</v>
      </c>
      <c r="AD1840" t="s">
        <v>6953</v>
      </c>
      <c r="AE1840" t="s">
        <v>6961</v>
      </c>
      <c r="AF1840" t="s">
        <v>6962</v>
      </c>
      <c r="AG1840" t="s">
        <v>6963</v>
      </c>
      <c r="AH1840" t="s">
        <v>6964</v>
      </c>
      <c r="AI1840" t="s">
        <v>6965</v>
      </c>
      <c r="AJ1840" t="s">
        <v>6966</v>
      </c>
    </row>
    <row r="1841" spans="1:36">
      <c r="A1841">
        <v>11000986</v>
      </c>
      <c r="B1841" t="s">
        <v>5580</v>
      </c>
      <c r="C1841" t="s">
        <v>1232</v>
      </c>
      <c r="D1841" t="s">
        <v>6211</v>
      </c>
      <c r="E1841" t="s">
        <v>6212</v>
      </c>
      <c r="J1841" t="s">
        <v>6916</v>
      </c>
      <c r="M1841">
        <v>60</v>
      </c>
      <c r="N1841">
        <v>70</v>
      </c>
      <c r="O1841" t="s">
        <v>2437</v>
      </c>
      <c r="P1841" t="s">
        <v>2437</v>
      </c>
      <c r="R1841" t="s">
        <v>2437</v>
      </c>
      <c r="T1841" t="s">
        <v>5985</v>
      </c>
      <c r="U1841" t="s">
        <v>5985</v>
      </c>
      <c r="V1841" t="s">
        <v>5985</v>
      </c>
      <c r="Y1841" t="s">
        <v>6948</v>
      </c>
      <c r="Z1841" t="s">
        <v>6949</v>
      </c>
      <c r="AA1841" t="s">
        <v>6950</v>
      </c>
      <c r="AB1841" t="s">
        <v>6951</v>
      </c>
      <c r="AC1841" t="s">
        <v>6952</v>
      </c>
      <c r="AD1841" t="s">
        <v>6953</v>
      </c>
      <c r="AE1841" t="s">
        <v>6961</v>
      </c>
      <c r="AF1841" t="s">
        <v>6962</v>
      </c>
      <c r="AG1841" t="s">
        <v>6963</v>
      </c>
      <c r="AH1841" t="s">
        <v>6964</v>
      </c>
      <c r="AI1841" t="s">
        <v>6965</v>
      </c>
      <c r="AJ1841" t="s">
        <v>6966</v>
      </c>
    </row>
    <row r="1842" spans="1:36">
      <c r="A1842">
        <v>11000983</v>
      </c>
      <c r="B1842" t="s">
        <v>5581</v>
      </c>
      <c r="C1842" t="s">
        <v>1114</v>
      </c>
      <c r="D1842" t="s">
        <v>6211</v>
      </c>
      <c r="E1842" t="s">
        <v>6212</v>
      </c>
      <c r="J1842" t="s">
        <v>6917</v>
      </c>
      <c r="M1842">
        <v>60</v>
      </c>
      <c r="N1842">
        <v>70</v>
      </c>
      <c r="O1842" t="s">
        <v>2437</v>
      </c>
      <c r="P1842" t="s">
        <v>2437</v>
      </c>
      <c r="R1842" t="s">
        <v>2437</v>
      </c>
      <c r="T1842" t="s">
        <v>5985</v>
      </c>
      <c r="U1842" t="s">
        <v>5985</v>
      </c>
      <c r="V1842" t="s">
        <v>5985</v>
      </c>
      <c r="Y1842" t="s">
        <v>6948</v>
      </c>
      <c r="Z1842" t="s">
        <v>6949</v>
      </c>
      <c r="AA1842" t="s">
        <v>6950</v>
      </c>
      <c r="AB1842" t="s">
        <v>6951</v>
      </c>
      <c r="AC1842" t="s">
        <v>6952</v>
      </c>
      <c r="AD1842" t="s">
        <v>6953</v>
      </c>
      <c r="AE1842" t="s">
        <v>6961</v>
      </c>
      <c r="AF1842" t="s">
        <v>6962</v>
      </c>
      <c r="AG1842" t="s">
        <v>6963</v>
      </c>
      <c r="AH1842" t="s">
        <v>6964</v>
      </c>
      <c r="AI1842" t="s">
        <v>6965</v>
      </c>
      <c r="AJ1842" t="s">
        <v>6966</v>
      </c>
    </row>
    <row r="1843" spans="1:36">
      <c r="A1843">
        <v>11000981</v>
      </c>
      <c r="B1843" t="s">
        <v>5582</v>
      </c>
      <c r="C1843" t="s">
        <v>1234</v>
      </c>
      <c r="D1843" t="s">
        <v>6211</v>
      </c>
      <c r="E1843" t="s">
        <v>6212</v>
      </c>
      <c r="J1843" t="s">
        <v>6918</v>
      </c>
      <c r="M1843">
        <v>60</v>
      </c>
      <c r="N1843">
        <v>70</v>
      </c>
      <c r="O1843" t="s">
        <v>2437</v>
      </c>
      <c r="P1843" t="s">
        <v>2437</v>
      </c>
      <c r="R1843" t="s">
        <v>2437</v>
      </c>
      <c r="T1843" t="s">
        <v>5985</v>
      </c>
      <c r="U1843" t="s">
        <v>5985</v>
      </c>
      <c r="V1843" t="s">
        <v>5985</v>
      </c>
      <c r="Y1843" t="s">
        <v>6948</v>
      </c>
      <c r="Z1843" t="s">
        <v>6949</v>
      </c>
      <c r="AA1843" t="s">
        <v>6950</v>
      </c>
      <c r="AB1843" t="s">
        <v>6951</v>
      </c>
      <c r="AC1843" t="s">
        <v>6952</v>
      </c>
      <c r="AD1843" t="s">
        <v>6953</v>
      </c>
      <c r="AE1843" t="s">
        <v>6961</v>
      </c>
      <c r="AF1843" t="s">
        <v>6962</v>
      </c>
      <c r="AG1843" t="s">
        <v>6963</v>
      </c>
      <c r="AH1843" t="s">
        <v>6964</v>
      </c>
      <c r="AI1843" t="s">
        <v>6965</v>
      </c>
      <c r="AJ1843" t="s">
        <v>6966</v>
      </c>
    </row>
    <row r="1844" spans="1:36">
      <c r="A1844">
        <v>11000979</v>
      </c>
      <c r="B1844" t="s">
        <v>5583</v>
      </c>
      <c r="C1844" t="s">
        <v>1115</v>
      </c>
      <c r="D1844" t="s">
        <v>6211</v>
      </c>
      <c r="E1844" t="s">
        <v>6212</v>
      </c>
      <c r="J1844" t="s">
        <v>6919</v>
      </c>
      <c r="M1844">
        <v>60</v>
      </c>
      <c r="N1844">
        <v>70</v>
      </c>
      <c r="O1844" t="s">
        <v>2437</v>
      </c>
      <c r="P1844" t="s">
        <v>2437</v>
      </c>
      <c r="R1844" t="s">
        <v>2437</v>
      </c>
      <c r="T1844" t="s">
        <v>5985</v>
      </c>
      <c r="U1844" t="s">
        <v>5985</v>
      </c>
      <c r="V1844" t="s">
        <v>5985</v>
      </c>
      <c r="Y1844" t="s">
        <v>6948</v>
      </c>
      <c r="Z1844" t="s">
        <v>6949</v>
      </c>
      <c r="AA1844" t="s">
        <v>6950</v>
      </c>
      <c r="AB1844" t="s">
        <v>6951</v>
      </c>
      <c r="AC1844" t="s">
        <v>6952</v>
      </c>
      <c r="AD1844" t="s">
        <v>6953</v>
      </c>
      <c r="AE1844" t="s">
        <v>6961</v>
      </c>
      <c r="AF1844" t="s">
        <v>6962</v>
      </c>
      <c r="AG1844" t="s">
        <v>6963</v>
      </c>
      <c r="AH1844" t="s">
        <v>6964</v>
      </c>
      <c r="AI1844" t="s">
        <v>6965</v>
      </c>
      <c r="AJ1844" t="s">
        <v>6966</v>
      </c>
    </row>
    <row r="1845" spans="1:36">
      <c r="A1845">
        <v>11005189</v>
      </c>
      <c r="B1845" t="s">
        <v>5584</v>
      </c>
      <c r="C1845" t="s">
        <v>1254</v>
      </c>
      <c r="D1845" t="s">
        <v>6213</v>
      </c>
      <c r="E1845" t="s">
        <v>6214</v>
      </c>
      <c r="J1845" t="s">
        <v>6920</v>
      </c>
      <c r="M1845" t="e">
        <v>#N/A</v>
      </c>
      <c r="N1845" t="e">
        <v>#N/A</v>
      </c>
      <c r="O1845" t="e">
        <v>#N/A</v>
      </c>
      <c r="P1845" t="e">
        <v>#N/A</v>
      </c>
      <c r="R1845" t="e">
        <v>#N/A</v>
      </c>
      <c r="T1845" t="s">
        <v>5985</v>
      </c>
      <c r="U1845" t="s">
        <v>5985</v>
      </c>
      <c r="V1845" t="s">
        <v>5985</v>
      </c>
      <c r="Y1845" t="s">
        <v>6948</v>
      </c>
      <c r="Z1845" t="s">
        <v>6949</v>
      </c>
      <c r="AA1845" t="s">
        <v>6950</v>
      </c>
      <c r="AB1845" t="s">
        <v>6951</v>
      </c>
      <c r="AC1845" t="s">
        <v>6952</v>
      </c>
      <c r="AD1845" t="s">
        <v>6953</v>
      </c>
    </row>
    <row r="1846" spans="1:36">
      <c r="A1846">
        <v>11007520</v>
      </c>
      <c r="B1846" t="s">
        <v>5585</v>
      </c>
      <c r="C1846" t="s">
        <v>1081</v>
      </c>
      <c r="D1846" t="e">
        <v>#N/A</v>
      </c>
      <c r="E1846" t="e">
        <v>#N/A</v>
      </c>
      <c r="J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R1846" t="e">
        <v>#N/A</v>
      </c>
      <c r="T1846" t="e">
        <v>#N/A</v>
      </c>
      <c r="U1846" t="e">
        <v>#N/A</v>
      </c>
      <c r="V1846" t="e">
        <v>#N/A</v>
      </c>
      <c r="Y1846" t="s">
        <v>6948</v>
      </c>
      <c r="Z1846" t="s">
        <v>6949</v>
      </c>
      <c r="AA1846" t="s">
        <v>6950</v>
      </c>
      <c r="AB1846" t="s">
        <v>6951</v>
      </c>
      <c r="AC1846" t="s">
        <v>6952</v>
      </c>
      <c r="AD1846" t="s">
        <v>6953</v>
      </c>
    </row>
    <row r="1847" spans="1:36">
      <c r="A1847">
        <v>11003320</v>
      </c>
      <c r="B1847" t="s">
        <v>5586</v>
      </c>
      <c r="C1847" t="s">
        <v>5930</v>
      </c>
      <c r="D1847" t="s">
        <v>6215</v>
      </c>
      <c r="E1847" t="s">
        <v>6216</v>
      </c>
      <c r="J1847" t="s">
        <v>2599</v>
      </c>
      <c r="M1847" t="e">
        <v>#N/A</v>
      </c>
      <c r="N1847" t="e">
        <v>#N/A</v>
      </c>
      <c r="O1847" t="e">
        <v>#N/A</v>
      </c>
      <c r="P1847" t="e">
        <v>#N/A</v>
      </c>
      <c r="R1847" t="e">
        <v>#N/A</v>
      </c>
      <c r="T1847" t="s">
        <v>5985</v>
      </c>
      <c r="U1847" t="s">
        <v>5985</v>
      </c>
      <c r="V1847" t="s">
        <v>5985</v>
      </c>
      <c r="Y1847" t="s">
        <v>6948</v>
      </c>
      <c r="Z1847" t="s">
        <v>6949</v>
      </c>
      <c r="AA1847" t="s">
        <v>6950</v>
      </c>
      <c r="AB1847" t="s">
        <v>6951</v>
      </c>
      <c r="AC1847" t="s">
        <v>6952</v>
      </c>
      <c r="AD1847" t="s">
        <v>6953</v>
      </c>
    </row>
    <row r="1848" spans="1:36">
      <c r="A1848">
        <v>11006258</v>
      </c>
      <c r="B1848" t="s">
        <v>5587</v>
      </c>
      <c r="C1848" t="s">
        <v>5931</v>
      </c>
      <c r="D1848" t="s">
        <v>6041</v>
      </c>
      <c r="E1848" t="s">
        <v>6042</v>
      </c>
      <c r="J1848" t="s">
        <v>6921</v>
      </c>
      <c r="M1848" t="e">
        <v>#N/A</v>
      </c>
      <c r="N1848" t="e">
        <v>#N/A</v>
      </c>
      <c r="O1848" t="e">
        <v>#N/A</v>
      </c>
      <c r="P1848" t="e">
        <v>#N/A</v>
      </c>
      <c r="R1848" t="e">
        <v>#N/A</v>
      </c>
      <c r="T1848" t="s">
        <v>5985</v>
      </c>
      <c r="U1848" t="s">
        <v>5985</v>
      </c>
      <c r="V1848" t="s">
        <v>5985</v>
      </c>
      <c r="Y1848" t="s">
        <v>6948</v>
      </c>
      <c r="Z1848" t="s">
        <v>6949</v>
      </c>
      <c r="AA1848" t="s">
        <v>6950</v>
      </c>
      <c r="AB1848" t="s">
        <v>6951</v>
      </c>
      <c r="AC1848" t="s">
        <v>6952</v>
      </c>
      <c r="AD1848" t="s">
        <v>6953</v>
      </c>
    </row>
    <row r="1849" spans="1:36">
      <c r="A1849">
        <v>11003326</v>
      </c>
      <c r="B1849" t="s">
        <v>5588</v>
      </c>
      <c r="C1849" t="s">
        <v>5932</v>
      </c>
      <c r="D1849" t="s">
        <v>6215</v>
      </c>
      <c r="E1849" t="s">
        <v>6216</v>
      </c>
      <c r="J1849" t="s">
        <v>2597</v>
      </c>
      <c r="M1849" t="e">
        <v>#N/A</v>
      </c>
      <c r="N1849" t="e">
        <v>#N/A</v>
      </c>
      <c r="O1849" t="e">
        <v>#N/A</v>
      </c>
      <c r="P1849" t="e">
        <v>#N/A</v>
      </c>
      <c r="R1849" t="e">
        <v>#N/A</v>
      </c>
      <c r="T1849" t="s">
        <v>5985</v>
      </c>
      <c r="U1849" t="s">
        <v>5985</v>
      </c>
      <c r="V1849" t="s">
        <v>5985</v>
      </c>
      <c r="Y1849" t="s">
        <v>6948</v>
      </c>
      <c r="Z1849" t="s">
        <v>6949</v>
      </c>
      <c r="AA1849" t="s">
        <v>6950</v>
      </c>
      <c r="AB1849" t="s">
        <v>6951</v>
      </c>
      <c r="AC1849" t="s">
        <v>6952</v>
      </c>
      <c r="AD1849" t="s">
        <v>6953</v>
      </c>
    </row>
    <row r="1850" spans="1:36">
      <c r="A1850">
        <v>11005184</v>
      </c>
      <c r="B1850" t="s">
        <v>5589</v>
      </c>
      <c r="C1850" t="s">
        <v>981</v>
      </c>
      <c r="D1850" t="s">
        <v>6217</v>
      </c>
      <c r="E1850" t="s">
        <v>6218</v>
      </c>
      <c r="J1850" t="s">
        <v>6922</v>
      </c>
      <c r="M1850" t="e">
        <v>#N/A</v>
      </c>
      <c r="N1850" t="e">
        <v>#N/A</v>
      </c>
      <c r="O1850" t="e">
        <v>#N/A</v>
      </c>
      <c r="P1850" t="e">
        <v>#N/A</v>
      </c>
      <c r="R1850" t="e">
        <v>#N/A</v>
      </c>
      <c r="T1850" t="s">
        <v>5985</v>
      </c>
      <c r="U1850" t="s">
        <v>5985</v>
      </c>
      <c r="V1850" t="s">
        <v>5985</v>
      </c>
      <c r="Y1850" t="s">
        <v>6948</v>
      </c>
      <c r="Z1850" t="s">
        <v>6949</v>
      </c>
      <c r="AA1850" t="s">
        <v>6950</v>
      </c>
      <c r="AB1850" t="s">
        <v>6951</v>
      </c>
      <c r="AC1850" t="s">
        <v>6952</v>
      </c>
      <c r="AD1850" t="s">
        <v>6953</v>
      </c>
    </row>
    <row r="1851" spans="1:36">
      <c r="A1851">
        <v>11003314</v>
      </c>
      <c r="B1851" t="s">
        <v>5590</v>
      </c>
      <c r="C1851" t="s">
        <v>5933</v>
      </c>
      <c r="D1851" t="s">
        <v>6215</v>
      </c>
      <c r="E1851" t="s">
        <v>6216</v>
      </c>
      <c r="J1851" t="s">
        <v>2601</v>
      </c>
      <c r="M1851" t="e">
        <v>#N/A</v>
      </c>
      <c r="N1851" t="e">
        <v>#N/A</v>
      </c>
      <c r="O1851" t="e">
        <v>#N/A</v>
      </c>
      <c r="P1851" t="e">
        <v>#N/A</v>
      </c>
      <c r="R1851" t="e">
        <v>#N/A</v>
      </c>
      <c r="T1851" t="s">
        <v>5985</v>
      </c>
      <c r="U1851" t="s">
        <v>5985</v>
      </c>
      <c r="V1851" t="s">
        <v>5985</v>
      </c>
      <c r="Y1851" t="s">
        <v>6948</v>
      </c>
      <c r="Z1851" t="s">
        <v>6949</v>
      </c>
      <c r="AA1851" t="s">
        <v>6950</v>
      </c>
      <c r="AB1851" t="s">
        <v>6951</v>
      </c>
      <c r="AC1851" t="s">
        <v>6952</v>
      </c>
      <c r="AD1851" t="s">
        <v>6953</v>
      </c>
    </row>
    <row r="1852" spans="1:36">
      <c r="A1852">
        <v>11006846</v>
      </c>
      <c r="B1852" t="s">
        <v>5591</v>
      </c>
      <c r="C1852" t="s">
        <v>5934</v>
      </c>
      <c r="D1852" t="s">
        <v>6033</v>
      </c>
      <c r="E1852" t="s">
        <v>6034</v>
      </c>
      <c r="J1852" t="s">
        <v>6707</v>
      </c>
      <c r="M1852" t="e">
        <v>#N/A</v>
      </c>
      <c r="N1852" t="e">
        <v>#N/A</v>
      </c>
      <c r="O1852" t="e">
        <v>#N/A</v>
      </c>
      <c r="P1852" t="e">
        <v>#N/A</v>
      </c>
      <c r="R1852" t="e">
        <v>#N/A</v>
      </c>
      <c r="T1852" t="s">
        <v>5985</v>
      </c>
      <c r="U1852" t="s">
        <v>5985</v>
      </c>
      <c r="V1852" t="s">
        <v>5985</v>
      </c>
      <c r="Y1852" t="s">
        <v>6948</v>
      </c>
      <c r="Z1852" t="s">
        <v>6949</v>
      </c>
      <c r="AA1852" t="s">
        <v>6950</v>
      </c>
      <c r="AB1852" t="s">
        <v>6951</v>
      </c>
      <c r="AC1852" t="s">
        <v>6952</v>
      </c>
      <c r="AD1852" t="s">
        <v>6953</v>
      </c>
    </row>
    <row r="1853" spans="1:36">
      <c r="A1853">
        <v>11000230</v>
      </c>
      <c r="B1853" t="s">
        <v>5592</v>
      </c>
      <c r="C1853" t="s">
        <v>963</v>
      </c>
      <c r="D1853" t="s">
        <v>6106</v>
      </c>
      <c r="E1853" t="s">
        <v>6107</v>
      </c>
      <c r="J1853" t="s">
        <v>2442</v>
      </c>
      <c r="M1853" t="e">
        <v>#N/A</v>
      </c>
      <c r="N1853" t="e">
        <v>#N/A</v>
      </c>
      <c r="O1853" t="e">
        <v>#N/A</v>
      </c>
      <c r="P1853" t="e">
        <v>#N/A</v>
      </c>
      <c r="R1853" t="e">
        <v>#N/A</v>
      </c>
      <c r="T1853" t="s">
        <v>5985</v>
      </c>
      <c r="U1853" t="s">
        <v>5985</v>
      </c>
      <c r="V1853" t="s">
        <v>5985</v>
      </c>
      <c r="Y1853" t="s">
        <v>6948</v>
      </c>
      <c r="Z1853" t="s">
        <v>6949</v>
      </c>
      <c r="AA1853" t="s">
        <v>6950</v>
      </c>
      <c r="AB1853" t="s">
        <v>6951</v>
      </c>
      <c r="AC1853" t="s">
        <v>6952</v>
      </c>
      <c r="AD1853" t="s">
        <v>6953</v>
      </c>
    </row>
    <row r="1854" spans="1:36">
      <c r="A1854">
        <v>11000235</v>
      </c>
      <c r="B1854" t="s">
        <v>5593</v>
      </c>
      <c r="C1854" t="s">
        <v>961</v>
      </c>
      <c r="D1854" t="s">
        <v>6139</v>
      </c>
      <c r="E1854" t="s">
        <v>6140</v>
      </c>
      <c r="J1854" t="s">
        <v>2441</v>
      </c>
      <c r="M1854" t="e">
        <v>#N/A</v>
      </c>
      <c r="N1854" t="e">
        <v>#N/A</v>
      </c>
      <c r="O1854" t="e">
        <v>#N/A</v>
      </c>
      <c r="P1854" t="e">
        <v>#N/A</v>
      </c>
      <c r="R1854" t="e">
        <v>#N/A</v>
      </c>
      <c r="T1854" t="s">
        <v>5985</v>
      </c>
      <c r="U1854" t="s">
        <v>5985</v>
      </c>
      <c r="V1854" t="s">
        <v>5985</v>
      </c>
      <c r="Y1854" t="s">
        <v>6948</v>
      </c>
      <c r="Z1854" t="s">
        <v>6949</v>
      </c>
      <c r="AA1854" t="s">
        <v>6950</v>
      </c>
      <c r="AB1854" t="s">
        <v>6951</v>
      </c>
      <c r="AC1854" t="s">
        <v>6952</v>
      </c>
      <c r="AD1854" t="s">
        <v>6953</v>
      </c>
    </row>
    <row r="1855" spans="1:36">
      <c r="A1855">
        <v>11007171</v>
      </c>
      <c r="B1855" t="s">
        <v>5594</v>
      </c>
      <c r="C1855" t="s">
        <v>5935</v>
      </c>
      <c r="D1855" t="s">
        <v>5965</v>
      </c>
      <c r="E1855" t="s">
        <v>5949</v>
      </c>
      <c r="J1855" t="s">
        <v>6538</v>
      </c>
      <c r="M1855" t="e">
        <v>#N/A</v>
      </c>
      <c r="N1855" t="e">
        <v>#N/A</v>
      </c>
      <c r="O1855" t="e">
        <v>#N/A</v>
      </c>
      <c r="P1855" t="e">
        <v>#N/A</v>
      </c>
      <c r="R1855" t="e">
        <v>#N/A</v>
      </c>
      <c r="T1855" t="s">
        <v>5985</v>
      </c>
      <c r="U1855" t="s">
        <v>5985</v>
      </c>
      <c r="V1855" t="s">
        <v>5985</v>
      </c>
      <c r="Y1855" t="s">
        <v>6948</v>
      </c>
      <c r="Z1855" t="s">
        <v>6949</v>
      </c>
      <c r="AA1855" t="s">
        <v>6950</v>
      </c>
      <c r="AB1855" t="s">
        <v>6951</v>
      </c>
      <c r="AC1855" t="s">
        <v>6952</v>
      </c>
      <c r="AD1855" t="s">
        <v>6953</v>
      </c>
    </row>
    <row r="1856" spans="1:36">
      <c r="A1856">
        <v>11007173</v>
      </c>
      <c r="B1856" t="s">
        <v>5595</v>
      </c>
      <c r="C1856" t="s">
        <v>5936</v>
      </c>
      <c r="D1856" t="s">
        <v>5961</v>
      </c>
      <c r="E1856" t="s">
        <v>5949</v>
      </c>
      <c r="J1856" t="s">
        <v>6532</v>
      </c>
      <c r="M1856" t="e">
        <v>#N/A</v>
      </c>
      <c r="N1856" t="e">
        <v>#N/A</v>
      </c>
      <c r="O1856" t="e">
        <v>#N/A</v>
      </c>
      <c r="P1856" t="e">
        <v>#N/A</v>
      </c>
      <c r="R1856" t="e">
        <v>#N/A</v>
      </c>
      <c r="T1856" t="s">
        <v>5985</v>
      </c>
      <c r="U1856" t="s">
        <v>5985</v>
      </c>
      <c r="V1856" t="s">
        <v>5985</v>
      </c>
      <c r="Y1856" t="s">
        <v>6948</v>
      </c>
      <c r="Z1856" t="s">
        <v>6949</v>
      </c>
      <c r="AA1856" t="s">
        <v>6950</v>
      </c>
      <c r="AB1856" t="s">
        <v>6951</v>
      </c>
      <c r="AC1856" t="s">
        <v>6952</v>
      </c>
      <c r="AD1856" t="s">
        <v>6953</v>
      </c>
    </row>
    <row r="1857" spans="1:30">
      <c r="A1857">
        <v>11007147</v>
      </c>
      <c r="B1857" t="s">
        <v>5596</v>
      </c>
      <c r="C1857" t="s">
        <v>5666</v>
      </c>
      <c r="D1857" t="s">
        <v>5950</v>
      </c>
      <c r="E1857" t="s">
        <v>5949</v>
      </c>
      <c r="J1857" t="s">
        <v>6576</v>
      </c>
      <c r="M1857" t="e">
        <v>#N/A</v>
      </c>
      <c r="N1857" t="e">
        <v>#N/A</v>
      </c>
      <c r="O1857" t="e">
        <v>#N/A</v>
      </c>
      <c r="P1857" t="e">
        <v>#N/A</v>
      </c>
      <c r="R1857" t="e">
        <v>#N/A</v>
      </c>
      <c r="T1857" t="s">
        <v>5985</v>
      </c>
      <c r="U1857" t="s">
        <v>5985</v>
      </c>
      <c r="V1857" t="s">
        <v>5985</v>
      </c>
      <c r="Y1857" t="s">
        <v>6948</v>
      </c>
      <c r="Z1857" t="s">
        <v>6949</v>
      </c>
      <c r="AA1857" t="s">
        <v>6950</v>
      </c>
      <c r="AB1857" t="s">
        <v>6951</v>
      </c>
      <c r="AC1857" t="s">
        <v>6952</v>
      </c>
      <c r="AD1857" t="s">
        <v>6953</v>
      </c>
    </row>
    <row r="1858" spans="1:30">
      <c r="A1858">
        <v>11007168</v>
      </c>
      <c r="B1858" t="s">
        <v>5597</v>
      </c>
      <c r="C1858" t="s">
        <v>5937</v>
      </c>
      <c r="D1858" t="s">
        <v>5967</v>
      </c>
      <c r="E1858" t="s">
        <v>5949</v>
      </c>
      <c r="J1858" t="s">
        <v>6542</v>
      </c>
      <c r="M1858" t="e">
        <v>#N/A</v>
      </c>
      <c r="N1858" t="e">
        <v>#N/A</v>
      </c>
      <c r="O1858" t="e">
        <v>#N/A</v>
      </c>
      <c r="P1858" t="e">
        <v>#N/A</v>
      </c>
      <c r="R1858" t="e">
        <v>#N/A</v>
      </c>
      <c r="T1858" t="s">
        <v>5985</v>
      </c>
      <c r="U1858" t="s">
        <v>5985</v>
      </c>
      <c r="V1858" t="s">
        <v>5985</v>
      </c>
      <c r="Y1858" t="s">
        <v>6948</v>
      </c>
      <c r="Z1858" t="s">
        <v>6949</v>
      </c>
      <c r="AA1858" t="s">
        <v>6950</v>
      </c>
      <c r="AB1858" t="s">
        <v>6951</v>
      </c>
      <c r="AC1858" t="s">
        <v>6952</v>
      </c>
      <c r="AD1858" t="s">
        <v>6953</v>
      </c>
    </row>
    <row r="1859" spans="1:30">
      <c r="A1859">
        <v>11007161</v>
      </c>
      <c r="B1859" t="s">
        <v>5598</v>
      </c>
      <c r="C1859" t="s">
        <v>5938</v>
      </c>
      <c r="D1859" t="s">
        <v>5973</v>
      </c>
      <c r="E1859" t="s">
        <v>5949</v>
      </c>
      <c r="J1859" t="s">
        <v>6554</v>
      </c>
      <c r="M1859" t="e">
        <v>#N/A</v>
      </c>
      <c r="N1859" t="e">
        <v>#N/A</v>
      </c>
      <c r="O1859" t="e">
        <v>#N/A</v>
      </c>
      <c r="P1859" t="e">
        <v>#N/A</v>
      </c>
      <c r="R1859" t="e">
        <v>#N/A</v>
      </c>
      <c r="T1859" t="s">
        <v>5985</v>
      </c>
      <c r="U1859" t="s">
        <v>5985</v>
      </c>
      <c r="V1859" t="s">
        <v>5985</v>
      </c>
      <c r="Y1859" t="s">
        <v>6948</v>
      </c>
      <c r="Z1859" t="s">
        <v>6949</v>
      </c>
      <c r="AA1859" t="s">
        <v>6950</v>
      </c>
      <c r="AB1859" t="s">
        <v>6951</v>
      </c>
      <c r="AC1859" t="s">
        <v>6952</v>
      </c>
      <c r="AD1859" t="s">
        <v>6953</v>
      </c>
    </row>
    <row r="1860" spans="1:30">
      <c r="A1860">
        <v>11007158</v>
      </c>
      <c r="B1860" t="s">
        <v>5599</v>
      </c>
      <c r="C1860" t="s">
        <v>5939</v>
      </c>
      <c r="D1860" t="s">
        <v>5973</v>
      </c>
      <c r="E1860" t="s">
        <v>5949</v>
      </c>
      <c r="J1860" t="s">
        <v>6558</v>
      </c>
      <c r="M1860" t="e">
        <v>#N/A</v>
      </c>
      <c r="N1860" t="e">
        <v>#N/A</v>
      </c>
      <c r="O1860" t="e">
        <v>#N/A</v>
      </c>
      <c r="P1860" t="e">
        <v>#N/A</v>
      </c>
      <c r="R1860" t="e">
        <v>#N/A</v>
      </c>
      <c r="T1860" t="s">
        <v>5985</v>
      </c>
      <c r="U1860" t="s">
        <v>5985</v>
      </c>
      <c r="V1860" t="s">
        <v>5985</v>
      </c>
      <c r="Y1860" t="s">
        <v>6948</v>
      </c>
      <c r="Z1860" t="s">
        <v>6949</v>
      </c>
      <c r="AA1860" t="s">
        <v>6950</v>
      </c>
      <c r="AB1860" t="s">
        <v>6951</v>
      </c>
      <c r="AC1860" t="s">
        <v>6952</v>
      </c>
      <c r="AD1860" t="s">
        <v>6953</v>
      </c>
    </row>
    <row r="1861" spans="1:30">
      <c r="A1861">
        <v>11007150</v>
      </c>
      <c r="B1861" t="s">
        <v>5600</v>
      </c>
      <c r="C1861" t="s">
        <v>5940</v>
      </c>
      <c r="D1861" t="s">
        <v>5976</v>
      </c>
      <c r="E1861" t="s">
        <v>5949</v>
      </c>
      <c r="J1861" t="s">
        <v>6570</v>
      </c>
      <c r="M1861" t="e">
        <v>#N/A</v>
      </c>
      <c r="N1861" t="e">
        <v>#N/A</v>
      </c>
      <c r="O1861" t="e">
        <v>#N/A</v>
      </c>
      <c r="P1861" t="e">
        <v>#N/A</v>
      </c>
      <c r="R1861" t="e">
        <v>#N/A</v>
      </c>
      <c r="T1861" t="s">
        <v>5985</v>
      </c>
      <c r="U1861" t="s">
        <v>5985</v>
      </c>
      <c r="V1861" t="s">
        <v>5985</v>
      </c>
      <c r="Y1861" t="s">
        <v>6948</v>
      </c>
      <c r="Z1861" t="s">
        <v>6949</v>
      </c>
      <c r="AA1861" t="s">
        <v>6950</v>
      </c>
      <c r="AB1861" t="s">
        <v>6951</v>
      </c>
      <c r="AC1861" t="s">
        <v>6952</v>
      </c>
      <c r="AD1861" t="s">
        <v>6953</v>
      </c>
    </row>
    <row r="1862" spans="1:30">
      <c r="A1862">
        <v>11007177</v>
      </c>
      <c r="B1862" t="s">
        <v>5601</v>
      </c>
      <c r="C1862" t="s">
        <v>5941</v>
      </c>
      <c r="D1862" t="s">
        <v>5958</v>
      </c>
      <c r="E1862" t="s">
        <v>5949</v>
      </c>
      <c r="J1862" t="s">
        <v>6528</v>
      </c>
      <c r="M1862" t="e">
        <v>#N/A</v>
      </c>
      <c r="N1862" t="e">
        <v>#N/A</v>
      </c>
      <c r="O1862" t="e">
        <v>#N/A</v>
      </c>
      <c r="P1862" t="e">
        <v>#N/A</v>
      </c>
      <c r="R1862" t="e">
        <v>#N/A</v>
      </c>
      <c r="T1862" t="s">
        <v>5985</v>
      </c>
      <c r="U1862" t="s">
        <v>5985</v>
      </c>
      <c r="V1862" t="s">
        <v>5985</v>
      </c>
      <c r="Y1862" t="s">
        <v>6948</v>
      </c>
      <c r="Z1862" t="s">
        <v>6949</v>
      </c>
      <c r="AA1862" t="s">
        <v>6950</v>
      </c>
      <c r="AB1862" t="s">
        <v>6951</v>
      </c>
      <c r="AC1862" t="s">
        <v>6952</v>
      </c>
      <c r="AD1862" t="s">
        <v>6953</v>
      </c>
    </row>
    <row r="1863" spans="1:30">
      <c r="A1863">
        <v>11007175</v>
      </c>
      <c r="B1863" t="s">
        <v>5602</v>
      </c>
      <c r="C1863" t="s">
        <v>5942</v>
      </c>
      <c r="D1863" t="s">
        <v>5961</v>
      </c>
      <c r="E1863" t="s">
        <v>5949</v>
      </c>
      <c r="J1863" t="s">
        <v>6530</v>
      </c>
      <c r="M1863" t="e">
        <v>#N/A</v>
      </c>
      <c r="N1863" t="e">
        <v>#N/A</v>
      </c>
      <c r="O1863" t="e">
        <v>#N/A</v>
      </c>
      <c r="P1863" t="e">
        <v>#N/A</v>
      </c>
      <c r="R1863" t="e">
        <v>#N/A</v>
      </c>
      <c r="T1863" t="s">
        <v>5985</v>
      </c>
      <c r="U1863" t="s">
        <v>5985</v>
      </c>
      <c r="V1863" t="s">
        <v>5985</v>
      </c>
      <c r="Y1863" t="s">
        <v>6948</v>
      </c>
      <c r="Z1863" t="s">
        <v>6949</v>
      </c>
      <c r="AA1863" t="s">
        <v>6950</v>
      </c>
      <c r="AB1863" t="s">
        <v>6951</v>
      </c>
      <c r="AC1863" t="s">
        <v>6952</v>
      </c>
      <c r="AD1863" t="s">
        <v>6953</v>
      </c>
    </row>
    <row r="1864" spans="1:30">
      <c r="A1864">
        <v>11007156</v>
      </c>
      <c r="B1864" t="s">
        <v>5603</v>
      </c>
      <c r="C1864" t="s">
        <v>5650</v>
      </c>
      <c r="D1864" t="s">
        <v>5973</v>
      </c>
      <c r="E1864" t="s">
        <v>5949</v>
      </c>
      <c r="J1864" t="s">
        <v>6560</v>
      </c>
      <c r="M1864" t="e">
        <v>#N/A</v>
      </c>
      <c r="N1864" t="e">
        <v>#N/A</v>
      </c>
      <c r="O1864" t="e">
        <v>#N/A</v>
      </c>
      <c r="P1864" t="e">
        <v>#N/A</v>
      </c>
      <c r="R1864" t="e">
        <v>#N/A</v>
      </c>
      <c r="T1864" t="s">
        <v>5985</v>
      </c>
      <c r="U1864" t="s">
        <v>5985</v>
      </c>
      <c r="V1864" t="s">
        <v>5985</v>
      </c>
      <c r="Y1864" t="s">
        <v>6948</v>
      </c>
      <c r="Z1864" t="s">
        <v>6949</v>
      </c>
      <c r="AA1864" t="s">
        <v>6950</v>
      </c>
      <c r="AB1864" t="s">
        <v>6951</v>
      </c>
      <c r="AC1864" t="s">
        <v>6952</v>
      </c>
      <c r="AD1864" t="s">
        <v>6953</v>
      </c>
    </row>
    <row r="1865" spans="1:30">
      <c r="A1865">
        <v>11007538</v>
      </c>
      <c r="B1865" t="s">
        <v>5604</v>
      </c>
      <c r="C1865" t="s">
        <v>5943</v>
      </c>
      <c r="D1865" t="s">
        <v>5948</v>
      </c>
      <c r="E1865" t="s">
        <v>5949</v>
      </c>
      <c r="J1865" t="s">
        <v>6519</v>
      </c>
      <c r="M1865" t="e">
        <v>#N/A</v>
      </c>
      <c r="N1865" t="e">
        <v>#N/A</v>
      </c>
      <c r="O1865" t="e">
        <v>#N/A</v>
      </c>
      <c r="P1865" t="e">
        <v>#N/A</v>
      </c>
      <c r="R1865" t="e">
        <v>#N/A</v>
      </c>
      <c r="T1865" t="s">
        <v>5985</v>
      </c>
      <c r="U1865" t="s">
        <v>5985</v>
      </c>
      <c r="V1865" t="s">
        <v>5985</v>
      </c>
      <c r="Y1865" t="s">
        <v>6948</v>
      </c>
      <c r="Z1865" t="s">
        <v>6949</v>
      </c>
      <c r="AA1865" t="s">
        <v>6950</v>
      </c>
      <c r="AB1865" t="s">
        <v>6951</v>
      </c>
      <c r="AC1865" t="s">
        <v>6952</v>
      </c>
      <c r="AD1865" t="s">
        <v>6953</v>
      </c>
    </row>
    <row r="1866" spans="1:30">
      <c r="A1866">
        <v>11006971</v>
      </c>
      <c r="B1866" t="s">
        <v>5605</v>
      </c>
      <c r="C1866" t="s">
        <v>5944</v>
      </c>
      <c r="D1866" t="s">
        <v>6029</v>
      </c>
      <c r="E1866" t="s">
        <v>5949</v>
      </c>
      <c r="J1866" t="s">
        <v>6697</v>
      </c>
      <c r="M1866" t="e">
        <v>#N/A</v>
      </c>
      <c r="N1866" t="e">
        <v>#N/A</v>
      </c>
      <c r="O1866" t="e">
        <v>#N/A</v>
      </c>
      <c r="P1866" t="e">
        <v>#N/A</v>
      </c>
      <c r="R1866" t="e">
        <v>#N/A</v>
      </c>
      <c r="T1866" t="s">
        <v>5985</v>
      </c>
      <c r="U1866" t="s">
        <v>5985</v>
      </c>
      <c r="V1866" t="s">
        <v>5985</v>
      </c>
      <c r="Y1866" t="s">
        <v>6948</v>
      </c>
      <c r="Z1866" t="s">
        <v>6949</v>
      </c>
      <c r="AA1866" t="s">
        <v>6950</v>
      </c>
      <c r="AB1866" t="s">
        <v>6951</v>
      </c>
      <c r="AC1866" t="s">
        <v>6952</v>
      </c>
      <c r="AD1866" t="s">
        <v>6953</v>
      </c>
    </row>
    <row r="1867" spans="1:30">
      <c r="A1867">
        <v>11006243</v>
      </c>
      <c r="B1867" t="s">
        <v>5606</v>
      </c>
      <c r="C1867" t="s">
        <v>5811</v>
      </c>
      <c r="D1867" t="s">
        <v>6029</v>
      </c>
      <c r="E1867" t="s">
        <v>5949</v>
      </c>
      <c r="J1867" t="s">
        <v>6736</v>
      </c>
      <c r="M1867" t="e">
        <v>#N/A</v>
      </c>
      <c r="N1867" t="e">
        <v>#N/A</v>
      </c>
      <c r="O1867" t="e">
        <v>#N/A</v>
      </c>
      <c r="P1867" t="e">
        <v>#N/A</v>
      </c>
      <c r="R1867" t="e">
        <v>#N/A</v>
      </c>
      <c r="T1867" t="s">
        <v>5985</v>
      </c>
      <c r="U1867" t="s">
        <v>5985</v>
      </c>
      <c r="V1867" t="s">
        <v>5985</v>
      </c>
      <c r="Y1867" t="s">
        <v>6948</v>
      </c>
      <c r="Z1867" t="s">
        <v>6949</v>
      </c>
      <c r="AA1867" t="s">
        <v>6950</v>
      </c>
      <c r="AB1867" t="s">
        <v>6951</v>
      </c>
      <c r="AC1867" t="s">
        <v>6952</v>
      </c>
      <c r="AD1867" t="s">
        <v>6953</v>
      </c>
    </row>
    <row r="1868" spans="1:30">
      <c r="A1868">
        <v>11007536</v>
      </c>
      <c r="B1868" t="s">
        <v>5607</v>
      </c>
      <c r="C1868" t="s">
        <v>5945</v>
      </c>
      <c r="D1868" t="s">
        <v>5948</v>
      </c>
      <c r="E1868" t="s">
        <v>5949</v>
      </c>
      <c r="J1868" t="s">
        <v>6923</v>
      </c>
      <c r="M1868" t="e">
        <v>#N/A</v>
      </c>
      <c r="N1868" t="e">
        <v>#N/A</v>
      </c>
      <c r="O1868" t="e">
        <v>#N/A</v>
      </c>
      <c r="P1868" t="e">
        <v>#N/A</v>
      </c>
      <c r="R1868" t="e">
        <v>#N/A</v>
      </c>
      <c r="T1868" t="s">
        <v>5985</v>
      </c>
      <c r="U1868" t="s">
        <v>5985</v>
      </c>
      <c r="V1868" t="s">
        <v>5985</v>
      </c>
      <c r="Y1868" t="s">
        <v>6948</v>
      </c>
      <c r="Z1868" t="s">
        <v>6949</v>
      </c>
      <c r="AA1868" t="s">
        <v>6950</v>
      </c>
      <c r="AB1868" t="s">
        <v>6951</v>
      </c>
      <c r="AC1868" t="s">
        <v>6952</v>
      </c>
      <c r="AD1868" t="s">
        <v>6953</v>
      </c>
    </row>
    <row r="1869" spans="1:30">
      <c r="A1869">
        <v>11007142</v>
      </c>
      <c r="B1869" t="s">
        <v>5608</v>
      </c>
      <c r="C1869" t="s">
        <v>5667</v>
      </c>
      <c r="D1869" t="s">
        <v>5981</v>
      </c>
      <c r="E1869" t="s">
        <v>5949</v>
      </c>
      <c r="J1869" t="s">
        <v>6583</v>
      </c>
      <c r="M1869" t="e">
        <v>#N/A</v>
      </c>
      <c r="N1869" t="e">
        <v>#N/A</v>
      </c>
      <c r="O1869" t="e">
        <v>#N/A</v>
      </c>
      <c r="P1869" t="e">
        <v>#N/A</v>
      </c>
      <c r="R1869" t="e">
        <v>#N/A</v>
      </c>
      <c r="T1869" t="s">
        <v>5985</v>
      </c>
      <c r="U1869" t="s">
        <v>5985</v>
      </c>
      <c r="V1869" t="s">
        <v>5985</v>
      </c>
      <c r="Y1869" t="s">
        <v>6948</v>
      </c>
      <c r="Z1869" t="s">
        <v>6949</v>
      </c>
      <c r="AA1869" t="s">
        <v>6950</v>
      </c>
      <c r="AB1869" t="s">
        <v>6951</v>
      </c>
      <c r="AC1869" t="s">
        <v>6952</v>
      </c>
      <c r="AD1869" t="s">
        <v>6953</v>
      </c>
    </row>
    <row r="1870" spans="1:30">
      <c r="A1870">
        <v>11006855</v>
      </c>
      <c r="B1870" t="s">
        <v>5609</v>
      </c>
      <c r="C1870" t="s">
        <v>5793</v>
      </c>
      <c r="D1870" t="s">
        <v>6030</v>
      </c>
      <c r="E1870" t="s">
        <v>5949</v>
      </c>
      <c r="J1870" t="s">
        <v>6701</v>
      </c>
      <c r="M1870" t="e">
        <v>#N/A</v>
      </c>
      <c r="N1870" t="e">
        <v>#N/A</v>
      </c>
      <c r="O1870" t="e">
        <v>#N/A</v>
      </c>
      <c r="P1870" t="e">
        <v>#N/A</v>
      </c>
      <c r="R1870" t="e">
        <v>#N/A</v>
      </c>
      <c r="T1870" t="s">
        <v>5985</v>
      </c>
      <c r="U1870" t="s">
        <v>5985</v>
      </c>
      <c r="V1870" t="s">
        <v>5985</v>
      </c>
      <c r="Y1870" t="s">
        <v>6948</v>
      </c>
      <c r="Z1870" t="s">
        <v>6949</v>
      </c>
      <c r="AA1870" t="s">
        <v>6950</v>
      </c>
      <c r="AB1870" t="s">
        <v>6951</v>
      </c>
      <c r="AC1870" t="s">
        <v>6952</v>
      </c>
      <c r="AD1870" t="s">
        <v>6953</v>
      </c>
    </row>
    <row r="1871" spans="1:30">
      <c r="A1871">
        <v>11007154</v>
      </c>
      <c r="B1871" t="s">
        <v>5610</v>
      </c>
      <c r="C1871" t="s">
        <v>5946</v>
      </c>
      <c r="D1871" t="s">
        <v>5973</v>
      </c>
      <c r="E1871" t="s">
        <v>5949</v>
      </c>
      <c r="J1871" t="s">
        <v>6561</v>
      </c>
      <c r="M1871" t="e">
        <v>#N/A</v>
      </c>
      <c r="N1871" t="e">
        <v>#N/A</v>
      </c>
      <c r="O1871" t="e">
        <v>#N/A</v>
      </c>
      <c r="P1871" t="e">
        <v>#N/A</v>
      </c>
      <c r="R1871" t="e">
        <v>#N/A</v>
      </c>
      <c r="T1871" t="s">
        <v>5985</v>
      </c>
      <c r="U1871" t="s">
        <v>5985</v>
      </c>
      <c r="V1871" t="s">
        <v>5985</v>
      </c>
      <c r="Y1871" t="s">
        <v>6948</v>
      </c>
      <c r="Z1871" t="s">
        <v>6949</v>
      </c>
      <c r="AA1871" t="s">
        <v>6950</v>
      </c>
      <c r="AB1871" t="s">
        <v>6951</v>
      </c>
      <c r="AC1871" t="s">
        <v>6952</v>
      </c>
      <c r="AD1871" t="s">
        <v>6953</v>
      </c>
    </row>
    <row r="1872" spans="1:30">
      <c r="A1872">
        <v>11006252</v>
      </c>
      <c r="B1872" t="s">
        <v>5611</v>
      </c>
      <c r="C1872" t="s">
        <v>5947</v>
      </c>
      <c r="D1872" t="s">
        <v>6029</v>
      </c>
      <c r="E1872" t="s">
        <v>5949</v>
      </c>
      <c r="J1872" t="s">
        <v>6724</v>
      </c>
      <c r="M1872" t="e">
        <v>#N/A</v>
      </c>
      <c r="N1872" t="e">
        <v>#N/A</v>
      </c>
      <c r="O1872" t="e">
        <v>#N/A</v>
      </c>
      <c r="P1872" t="e">
        <v>#N/A</v>
      </c>
      <c r="R1872" t="e">
        <v>#N/A</v>
      </c>
      <c r="T1872" t="s">
        <v>5985</v>
      </c>
      <c r="U1872" t="s">
        <v>5985</v>
      </c>
      <c r="V1872" t="s">
        <v>5985</v>
      </c>
      <c r="Y1872" t="s">
        <v>6948</v>
      </c>
      <c r="Z1872" t="s">
        <v>6949</v>
      </c>
      <c r="AA1872" t="s">
        <v>6950</v>
      </c>
      <c r="AB1872" t="s">
        <v>6951</v>
      </c>
      <c r="AC1872" t="s">
        <v>6952</v>
      </c>
      <c r="AD1872" t="s">
        <v>6953</v>
      </c>
    </row>
    <row r="1873" spans="1:30">
      <c r="A1873">
        <v>11000238</v>
      </c>
      <c r="B1873" t="s">
        <v>5612</v>
      </c>
      <c r="C1873" t="s">
        <v>1136</v>
      </c>
      <c r="D1873" t="s">
        <v>6139</v>
      </c>
      <c r="E1873" t="s">
        <v>6140</v>
      </c>
      <c r="J1873" t="s">
        <v>2440</v>
      </c>
      <c r="M1873" t="e">
        <v>#N/A</v>
      </c>
      <c r="N1873" t="e">
        <v>#N/A</v>
      </c>
      <c r="O1873" t="e">
        <v>#N/A</v>
      </c>
      <c r="P1873" t="e">
        <v>#N/A</v>
      </c>
      <c r="R1873" t="e">
        <v>#N/A</v>
      </c>
      <c r="T1873" t="s">
        <v>5985</v>
      </c>
      <c r="U1873" t="s">
        <v>5985</v>
      </c>
      <c r="V1873" t="s">
        <v>5985</v>
      </c>
      <c r="Y1873" t="s">
        <v>6948</v>
      </c>
      <c r="Z1873" t="s">
        <v>6949</v>
      </c>
      <c r="AA1873" t="s">
        <v>6950</v>
      </c>
      <c r="AB1873" t="s">
        <v>6951</v>
      </c>
      <c r="AC1873" t="s">
        <v>6952</v>
      </c>
      <c r="AD1873" t="s">
        <v>6953</v>
      </c>
    </row>
    <row r="1874" spans="1:30">
      <c r="R1874" t="e">
        <v>#N/A</v>
      </c>
      <c r="Y1874" t="s">
        <v>6948</v>
      </c>
      <c r="Z1874" t="s">
        <v>6949</v>
      </c>
      <c r="AA1874" t="s">
        <v>6950</v>
      </c>
      <c r="AB1874" t="s">
        <v>6951</v>
      </c>
      <c r="AC1874" t="s">
        <v>6952</v>
      </c>
      <c r="AD1874" t="s">
        <v>6953</v>
      </c>
    </row>
  </sheetData>
  <autoFilter ref="A1:AR1874" xr:uid="{A66A891A-5679-4C2B-819E-2F5F445C90C7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E8F9-3FB3-4A99-AFB7-C167B8F154F5}">
  <dimension ref="A1:H1873"/>
  <sheetViews>
    <sheetView zoomScale="68" zoomScaleNormal="68" workbookViewId="0">
      <pane ySplit="1" topLeftCell="A2" activePane="bottomLeft" state="frozen"/>
      <selection activeCell="O320" sqref="O320"/>
      <selection pane="bottomLeft" activeCell="O320" sqref="O320"/>
    </sheetView>
  </sheetViews>
  <sheetFormatPr defaultColWidth="8.7265625" defaultRowHeight="14.5"/>
  <cols>
    <col min="1" max="2" width="13.1796875" customWidth="1"/>
    <col min="3" max="3" width="27.7265625" customWidth="1"/>
    <col min="4" max="8" width="13.1796875" customWidth="1"/>
  </cols>
  <sheetData>
    <row r="1" spans="1:8">
      <c r="A1" s="68" t="s">
        <v>90</v>
      </c>
      <c r="B1" s="68" t="s">
        <v>91</v>
      </c>
      <c r="C1" s="62" t="s">
        <v>92</v>
      </c>
      <c r="D1" t="s">
        <v>1471</v>
      </c>
      <c r="E1" t="s">
        <v>1472</v>
      </c>
      <c r="F1" t="s">
        <v>1473</v>
      </c>
      <c r="G1" t="s">
        <v>63</v>
      </c>
      <c r="H1" t="s">
        <v>3945</v>
      </c>
    </row>
    <row r="2" spans="1:8">
      <c r="A2">
        <v>11103260</v>
      </c>
      <c r="B2" t="s">
        <v>97</v>
      </c>
      <c r="C2" t="s">
        <v>959</v>
      </c>
      <c r="D2" t="s">
        <v>1478</v>
      </c>
      <c r="E2" t="s">
        <v>3949</v>
      </c>
      <c r="F2" t="s">
        <v>3947</v>
      </c>
      <c r="G2" t="s">
        <v>3948</v>
      </c>
      <c r="H2" t="s">
        <v>4284</v>
      </c>
    </row>
    <row r="3" spans="1:8">
      <c r="A3">
        <v>11103259</v>
      </c>
      <c r="B3" t="s">
        <v>98</v>
      </c>
      <c r="C3" t="s">
        <v>960</v>
      </c>
      <c r="D3" t="s">
        <v>1478</v>
      </c>
      <c r="E3" t="s">
        <v>3949</v>
      </c>
      <c r="F3" t="s">
        <v>3947</v>
      </c>
      <c r="G3" t="s">
        <v>3948</v>
      </c>
      <c r="H3" t="s">
        <v>4284</v>
      </c>
    </row>
    <row r="4" spans="1:8">
      <c r="A4">
        <v>11103261</v>
      </c>
      <c r="B4" t="s">
        <v>99</v>
      </c>
      <c r="C4" t="s">
        <v>961</v>
      </c>
      <c r="D4" t="s">
        <v>1478</v>
      </c>
      <c r="E4" t="s">
        <v>3949</v>
      </c>
      <c r="F4" t="s">
        <v>3947</v>
      </c>
      <c r="G4" t="s">
        <v>3948</v>
      </c>
      <c r="H4" t="s">
        <v>4284</v>
      </c>
    </row>
    <row r="5" spans="1:8">
      <c r="A5">
        <v>11103265</v>
      </c>
      <c r="B5" t="s">
        <v>100</v>
      </c>
      <c r="C5" t="s">
        <v>963</v>
      </c>
      <c r="D5" t="s">
        <v>1480</v>
      </c>
      <c r="E5" t="s">
        <v>3950</v>
      </c>
      <c r="F5" t="s">
        <v>3947</v>
      </c>
      <c r="G5" t="s">
        <v>3948</v>
      </c>
      <c r="H5" t="s">
        <v>4284</v>
      </c>
    </row>
    <row r="6" spans="1:8">
      <c r="A6">
        <v>11103266</v>
      </c>
      <c r="B6" t="s">
        <v>101</v>
      </c>
      <c r="C6" t="s">
        <v>964</v>
      </c>
      <c r="D6" t="s">
        <v>1480</v>
      </c>
      <c r="E6" t="s">
        <v>3950</v>
      </c>
      <c r="F6" t="s">
        <v>3947</v>
      </c>
      <c r="G6" t="s">
        <v>3948</v>
      </c>
      <c r="H6" t="s">
        <v>4284</v>
      </c>
    </row>
    <row r="7" spans="1:8">
      <c r="A7">
        <v>11000955</v>
      </c>
      <c r="B7" t="s">
        <v>102</v>
      </c>
      <c r="C7" t="s">
        <v>965</v>
      </c>
      <c r="D7" t="s">
        <v>1484</v>
      </c>
      <c r="E7" t="s">
        <v>3953</v>
      </c>
      <c r="F7" t="s">
        <v>3954</v>
      </c>
      <c r="G7" t="s">
        <v>3955</v>
      </c>
      <c r="H7" t="s">
        <v>4284</v>
      </c>
    </row>
    <row r="8" spans="1:8">
      <c r="A8">
        <v>11000913</v>
      </c>
      <c r="B8" t="s">
        <v>103</v>
      </c>
      <c r="C8" t="s">
        <v>966</v>
      </c>
      <c r="D8" t="s">
        <v>1488</v>
      </c>
      <c r="E8" t="s">
        <v>3956</v>
      </c>
      <c r="F8" t="s">
        <v>3947</v>
      </c>
      <c r="G8" t="s">
        <v>3948</v>
      </c>
      <c r="H8" t="s">
        <v>4284</v>
      </c>
    </row>
    <row r="9" spans="1:8">
      <c r="A9">
        <v>11000912</v>
      </c>
      <c r="B9" t="s">
        <v>104</v>
      </c>
      <c r="C9" t="s">
        <v>968</v>
      </c>
      <c r="D9" t="s">
        <v>1488</v>
      </c>
      <c r="E9" t="s">
        <v>3956</v>
      </c>
      <c r="F9" t="s">
        <v>3947</v>
      </c>
      <c r="G9" t="s">
        <v>3948</v>
      </c>
      <c r="H9" t="s">
        <v>4284</v>
      </c>
    </row>
    <row r="10" spans="1:8">
      <c r="A10">
        <v>11000918</v>
      </c>
      <c r="B10" t="s">
        <v>105</v>
      </c>
      <c r="C10" t="s">
        <v>967</v>
      </c>
      <c r="D10" t="s">
        <v>1490</v>
      </c>
      <c r="E10" t="s">
        <v>3957</v>
      </c>
      <c r="F10" t="s">
        <v>3947</v>
      </c>
      <c r="G10" t="s">
        <v>3948</v>
      </c>
      <c r="H10" t="s">
        <v>4284</v>
      </c>
    </row>
    <row r="11" spans="1:8">
      <c r="A11">
        <v>11000919</v>
      </c>
      <c r="B11" t="s">
        <v>106</v>
      </c>
      <c r="C11" t="s">
        <v>969</v>
      </c>
      <c r="D11" t="s">
        <v>1490</v>
      </c>
      <c r="E11" t="s">
        <v>3957</v>
      </c>
      <c r="F11" t="s">
        <v>3947</v>
      </c>
      <c r="G11" t="s">
        <v>3948</v>
      </c>
      <c r="H11" t="s">
        <v>4284</v>
      </c>
    </row>
    <row r="12" spans="1:8">
      <c r="A12">
        <v>11000917</v>
      </c>
      <c r="B12" t="s">
        <v>107</v>
      </c>
      <c r="C12" t="s">
        <v>970</v>
      </c>
      <c r="D12" t="s">
        <v>1488</v>
      </c>
      <c r="E12" t="s">
        <v>3956</v>
      </c>
      <c r="F12" t="s">
        <v>3947</v>
      </c>
      <c r="G12" t="s">
        <v>3948</v>
      </c>
      <c r="H12" t="s">
        <v>4284</v>
      </c>
    </row>
    <row r="13" spans="1:8">
      <c r="A13">
        <v>11000920</v>
      </c>
      <c r="B13" t="s">
        <v>108</v>
      </c>
      <c r="C13" t="s">
        <v>971</v>
      </c>
      <c r="D13" t="s">
        <v>1490</v>
      </c>
      <c r="E13" t="s">
        <v>3957</v>
      </c>
      <c r="F13" t="s">
        <v>3947</v>
      </c>
      <c r="G13" t="s">
        <v>3948</v>
      </c>
      <c r="H13" t="s">
        <v>4284</v>
      </c>
    </row>
    <row r="14" spans="1:8">
      <c r="A14">
        <v>11000916</v>
      </c>
      <c r="B14" t="s">
        <v>109</v>
      </c>
      <c r="C14" t="s">
        <v>972</v>
      </c>
      <c r="D14" t="s">
        <v>1488</v>
      </c>
      <c r="E14" t="s">
        <v>3956</v>
      </c>
      <c r="F14" t="s">
        <v>3947</v>
      </c>
      <c r="G14" t="s">
        <v>3948</v>
      </c>
      <c r="H14" t="s">
        <v>4284</v>
      </c>
    </row>
    <row r="15" spans="1:8">
      <c r="A15">
        <v>11000915</v>
      </c>
      <c r="B15" t="s">
        <v>110</v>
      </c>
      <c r="C15" t="s">
        <v>973</v>
      </c>
      <c r="D15" t="s">
        <v>1488</v>
      </c>
      <c r="E15" t="s">
        <v>3956</v>
      </c>
      <c r="F15" t="s">
        <v>3947</v>
      </c>
      <c r="G15" t="s">
        <v>3948</v>
      </c>
      <c r="H15" t="s">
        <v>4284</v>
      </c>
    </row>
    <row r="16" spans="1:8">
      <c r="A16">
        <v>11000914</v>
      </c>
      <c r="B16" t="s">
        <v>111</v>
      </c>
      <c r="C16" t="s">
        <v>974</v>
      </c>
      <c r="D16" t="s">
        <v>1488</v>
      </c>
      <c r="E16" t="s">
        <v>3956</v>
      </c>
      <c r="F16" t="s">
        <v>3947</v>
      </c>
      <c r="G16" t="s">
        <v>3948</v>
      </c>
      <c r="H16" t="s">
        <v>4284</v>
      </c>
    </row>
    <row r="17" spans="1:8">
      <c r="A17">
        <v>11003330</v>
      </c>
      <c r="B17" t="s">
        <v>112</v>
      </c>
      <c r="C17" t="s">
        <v>975</v>
      </c>
      <c r="D17" t="s">
        <v>1492</v>
      </c>
      <c r="E17" t="s">
        <v>3958</v>
      </c>
      <c r="F17" t="s">
        <v>3954</v>
      </c>
      <c r="G17" t="s">
        <v>3955</v>
      </c>
      <c r="H17" t="s">
        <v>4284</v>
      </c>
    </row>
    <row r="18" spans="1:8">
      <c r="A18">
        <v>11000952</v>
      </c>
      <c r="B18" t="s">
        <v>113</v>
      </c>
      <c r="C18" t="s">
        <v>976</v>
      </c>
      <c r="D18" t="s">
        <v>1484</v>
      </c>
      <c r="E18" t="s">
        <v>3953</v>
      </c>
      <c r="F18" t="s">
        <v>3954</v>
      </c>
      <c r="G18" t="s">
        <v>3955</v>
      </c>
      <c r="H18" t="s">
        <v>4284</v>
      </c>
    </row>
    <row r="19" spans="1:8">
      <c r="A19">
        <v>11000953</v>
      </c>
      <c r="B19" t="s">
        <v>114</v>
      </c>
      <c r="C19" t="s">
        <v>977</v>
      </c>
      <c r="D19" t="s">
        <v>1484</v>
      </c>
      <c r="E19" t="s">
        <v>3953</v>
      </c>
      <c r="F19" t="s">
        <v>3954</v>
      </c>
      <c r="G19" t="s">
        <v>3955</v>
      </c>
      <c r="H19" t="s">
        <v>4284</v>
      </c>
    </row>
    <row r="20" spans="1:8">
      <c r="A20">
        <v>11000954</v>
      </c>
      <c r="B20" t="s">
        <v>115</v>
      </c>
      <c r="C20" t="s">
        <v>978</v>
      </c>
      <c r="D20" t="s">
        <v>1484</v>
      </c>
      <c r="E20" t="s">
        <v>3953</v>
      </c>
      <c r="F20" t="s">
        <v>3954</v>
      </c>
      <c r="G20" t="s">
        <v>3955</v>
      </c>
      <c r="H20" t="s">
        <v>4284</v>
      </c>
    </row>
    <row r="21" spans="1:8">
      <c r="A21">
        <v>11000947</v>
      </c>
      <c r="B21" t="s">
        <v>116</v>
      </c>
      <c r="C21" t="s">
        <v>981</v>
      </c>
      <c r="D21" t="s">
        <v>1494</v>
      </c>
      <c r="E21" t="s">
        <v>3959</v>
      </c>
      <c r="F21" t="s">
        <v>3960</v>
      </c>
      <c r="G21" t="s">
        <v>3961</v>
      </c>
      <c r="H21" t="s">
        <v>4284</v>
      </c>
    </row>
    <row r="22" spans="1:8">
      <c r="A22">
        <v>11103435</v>
      </c>
      <c r="B22" t="s">
        <v>117</v>
      </c>
      <c r="C22" t="s">
        <v>983</v>
      </c>
      <c r="D22" t="s">
        <v>1498</v>
      </c>
      <c r="E22" t="s">
        <v>3962</v>
      </c>
      <c r="F22" t="s">
        <v>3963</v>
      </c>
      <c r="G22" t="s">
        <v>3964</v>
      </c>
      <c r="H22" t="s">
        <v>4284</v>
      </c>
    </row>
    <row r="23" spans="1:8">
      <c r="A23">
        <v>11103433</v>
      </c>
      <c r="B23" t="s">
        <v>118</v>
      </c>
      <c r="C23" t="s">
        <v>984</v>
      </c>
      <c r="D23" t="s">
        <v>1502</v>
      </c>
      <c r="E23" t="s">
        <v>3965</v>
      </c>
      <c r="F23" t="s">
        <v>3963</v>
      </c>
      <c r="G23" t="s">
        <v>3964</v>
      </c>
      <c r="H23" t="s">
        <v>4284</v>
      </c>
    </row>
    <row r="24" spans="1:8">
      <c r="A24">
        <v>11103434</v>
      </c>
      <c r="B24" t="s">
        <v>119</v>
      </c>
      <c r="C24" t="s">
        <v>985</v>
      </c>
      <c r="D24" t="s">
        <v>1502</v>
      </c>
      <c r="E24" t="s">
        <v>3965</v>
      </c>
      <c r="F24" t="s">
        <v>3963</v>
      </c>
      <c r="G24" t="s">
        <v>3964</v>
      </c>
      <c r="H24" t="s">
        <v>4284</v>
      </c>
    </row>
    <row r="25" spans="1:8">
      <c r="A25">
        <v>11103402</v>
      </c>
      <c r="B25" t="s">
        <v>120</v>
      </c>
      <c r="C25" t="s">
        <v>986</v>
      </c>
      <c r="D25" t="s">
        <v>1502</v>
      </c>
      <c r="E25" t="s">
        <v>3965</v>
      </c>
      <c r="F25" t="s">
        <v>3963</v>
      </c>
      <c r="G25" t="s">
        <v>3964</v>
      </c>
      <c r="H25" t="s">
        <v>4284</v>
      </c>
    </row>
    <row r="26" spans="1:8">
      <c r="A26">
        <v>11000945</v>
      </c>
      <c r="B26" t="s">
        <v>121</v>
      </c>
      <c r="C26" t="s">
        <v>981</v>
      </c>
      <c r="D26" t="s">
        <v>1494</v>
      </c>
      <c r="E26" t="s">
        <v>3959</v>
      </c>
      <c r="F26" t="s">
        <v>3960</v>
      </c>
      <c r="G26" t="s">
        <v>3961</v>
      </c>
      <c r="H26" t="s">
        <v>4284</v>
      </c>
    </row>
    <row r="27" spans="1:8">
      <c r="A27">
        <v>11015189</v>
      </c>
      <c r="B27" t="s">
        <v>122</v>
      </c>
      <c r="C27" t="s">
        <v>987</v>
      </c>
      <c r="D27" t="s">
        <v>1504</v>
      </c>
      <c r="E27" t="s">
        <v>3966</v>
      </c>
      <c r="F27" t="s">
        <v>3954</v>
      </c>
      <c r="G27" t="s">
        <v>3955</v>
      </c>
      <c r="H27" t="s">
        <v>4284</v>
      </c>
    </row>
    <row r="28" spans="1:8">
      <c r="A28">
        <v>11000962</v>
      </c>
      <c r="B28" t="s">
        <v>123</v>
      </c>
      <c r="C28" t="s">
        <v>988</v>
      </c>
      <c r="D28" t="s">
        <v>1506</v>
      </c>
      <c r="E28" t="s">
        <v>3967</v>
      </c>
      <c r="F28" t="s">
        <v>3954</v>
      </c>
      <c r="G28" t="s">
        <v>3955</v>
      </c>
      <c r="H28" t="s">
        <v>4284</v>
      </c>
    </row>
    <row r="29" spans="1:8">
      <c r="A29">
        <v>11103122</v>
      </c>
      <c r="B29" t="s">
        <v>124</v>
      </c>
      <c r="C29" t="s">
        <v>989</v>
      </c>
      <c r="D29" t="s">
        <v>1506</v>
      </c>
      <c r="E29" t="s">
        <v>3967</v>
      </c>
      <c r="F29" t="s">
        <v>3954</v>
      </c>
      <c r="G29" t="s">
        <v>3955</v>
      </c>
      <c r="H29" t="s">
        <v>4284</v>
      </c>
    </row>
    <row r="30" spans="1:8">
      <c r="A30">
        <v>11015228</v>
      </c>
      <c r="B30" t="s">
        <v>125</v>
      </c>
      <c r="C30" t="s">
        <v>990</v>
      </c>
      <c r="D30" t="s">
        <v>1506</v>
      </c>
      <c r="E30" t="s">
        <v>3967</v>
      </c>
      <c r="F30" t="s">
        <v>3954</v>
      </c>
      <c r="G30" t="s">
        <v>3955</v>
      </c>
      <c r="H30" t="s">
        <v>4284</v>
      </c>
    </row>
    <row r="31" spans="1:8">
      <c r="A31">
        <v>11015227</v>
      </c>
      <c r="B31" t="s">
        <v>126</v>
      </c>
      <c r="C31" t="s">
        <v>991</v>
      </c>
      <c r="D31" t="s">
        <v>1506</v>
      </c>
      <c r="E31" t="s">
        <v>3967</v>
      </c>
      <c r="F31" t="s">
        <v>3954</v>
      </c>
      <c r="G31" t="s">
        <v>3955</v>
      </c>
      <c r="H31" t="s">
        <v>4284</v>
      </c>
    </row>
    <row r="32" spans="1:8">
      <c r="A32">
        <v>11015226</v>
      </c>
      <c r="B32" t="s">
        <v>127</v>
      </c>
      <c r="C32" t="s">
        <v>992</v>
      </c>
      <c r="D32" t="s">
        <v>1506</v>
      </c>
      <c r="E32" t="s">
        <v>3967</v>
      </c>
      <c r="F32" t="s">
        <v>3954</v>
      </c>
      <c r="G32" t="s">
        <v>3955</v>
      </c>
      <c r="H32" t="s">
        <v>4284</v>
      </c>
    </row>
    <row r="33" spans="1:8">
      <c r="A33">
        <v>11000963</v>
      </c>
      <c r="B33" t="s">
        <v>128</v>
      </c>
      <c r="C33" t="s">
        <v>993</v>
      </c>
      <c r="D33" t="s">
        <v>1506</v>
      </c>
      <c r="E33" t="s">
        <v>3967</v>
      </c>
      <c r="F33" t="s">
        <v>3954</v>
      </c>
      <c r="G33" t="s">
        <v>3955</v>
      </c>
      <c r="H33" t="s">
        <v>4284</v>
      </c>
    </row>
    <row r="34" spans="1:8">
      <c r="A34">
        <v>11000961</v>
      </c>
      <c r="B34" t="s">
        <v>129</v>
      </c>
      <c r="C34" t="s">
        <v>994</v>
      </c>
      <c r="D34" t="s">
        <v>1506</v>
      </c>
      <c r="E34" t="s">
        <v>3967</v>
      </c>
      <c r="F34" t="s">
        <v>3954</v>
      </c>
      <c r="G34" t="s">
        <v>3955</v>
      </c>
      <c r="H34" t="s">
        <v>4284</v>
      </c>
    </row>
    <row r="35" spans="1:8">
      <c r="A35">
        <v>11000960</v>
      </c>
      <c r="B35" t="s">
        <v>130</v>
      </c>
      <c r="C35" t="s">
        <v>995</v>
      </c>
      <c r="D35" t="s">
        <v>1506</v>
      </c>
      <c r="E35" t="s">
        <v>3967</v>
      </c>
      <c r="F35" t="s">
        <v>3954</v>
      </c>
      <c r="G35" t="s">
        <v>3955</v>
      </c>
      <c r="H35" t="s">
        <v>4284</v>
      </c>
    </row>
    <row r="36" spans="1:8">
      <c r="A36">
        <v>11003228</v>
      </c>
      <c r="B36" t="s">
        <v>131</v>
      </c>
      <c r="C36" t="s">
        <v>979</v>
      </c>
      <c r="D36" t="s">
        <v>1504</v>
      </c>
      <c r="E36" t="s">
        <v>3966</v>
      </c>
      <c r="F36" t="s">
        <v>3954</v>
      </c>
      <c r="G36" t="s">
        <v>3955</v>
      </c>
      <c r="H36" t="s">
        <v>4284</v>
      </c>
    </row>
    <row r="37" spans="1:8">
      <c r="A37">
        <v>11003226</v>
      </c>
      <c r="B37" t="s">
        <v>132</v>
      </c>
      <c r="C37" t="s">
        <v>980</v>
      </c>
      <c r="D37" t="s">
        <v>1504</v>
      </c>
      <c r="E37" t="s">
        <v>3966</v>
      </c>
      <c r="F37" t="s">
        <v>3954</v>
      </c>
      <c r="G37" t="s">
        <v>3955</v>
      </c>
      <c r="H37" t="s">
        <v>4284</v>
      </c>
    </row>
    <row r="38" spans="1:8">
      <c r="A38">
        <v>11015190</v>
      </c>
      <c r="B38" t="s">
        <v>133</v>
      </c>
      <c r="C38" t="s">
        <v>998</v>
      </c>
      <c r="D38" t="s">
        <v>1504</v>
      </c>
      <c r="E38" t="s">
        <v>3966</v>
      </c>
      <c r="F38" t="s">
        <v>3954</v>
      </c>
      <c r="G38" t="s">
        <v>3955</v>
      </c>
      <c r="H38" t="s">
        <v>4284</v>
      </c>
    </row>
    <row r="39" spans="1:8">
      <c r="A39">
        <v>11000974</v>
      </c>
      <c r="B39" t="s">
        <v>134</v>
      </c>
      <c r="C39" t="s">
        <v>965</v>
      </c>
      <c r="D39" t="s">
        <v>1508</v>
      </c>
      <c r="E39" t="s">
        <v>3968</v>
      </c>
      <c r="F39" t="s">
        <v>3954</v>
      </c>
      <c r="G39" t="s">
        <v>3955</v>
      </c>
      <c r="H39" t="s">
        <v>4284</v>
      </c>
    </row>
    <row r="40" spans="1:8">
      <c r="A40">
        <v>11000523</v>
      </c>
      <c r="B40" t="s">
        <v>135</v>
      </c>
      <c r="C40" t="s">
        <v>999</v>
      </c>
      <c r="D40" t="s">
        <v>1510</v>
      </c>
      <c r="E40" t="s">
        <v>3969</v>
      </c>
      <c r="F40" t="s">
        <v>3970</v>
      </c>
      <c r="G40" t="s">
        <v>3971</v>
      </c>
      <c r="H40" t="s">
        <v>4284</v>
      </c>
    </row>
    <row r="41" spans="1:8">
      <c r="A41">
        <v>11000526</v>
      </c>
      <c r="B41" t="s">
        <v>136</v>
      </c>
      <c r="C41" t="s">
        <v>1001</v>
      </c>
      <c r="D41" t="s">
        <v>1510</v>
      </c>
      <c r="E41" t="s">
        <v>3969</v>
      </c>
      <c r="F41" t="s">
        <v>3970</v>
      </c>
      <c r="G41" t="s">
        <v>3971</v>
      </c>
      <c r="H41" t="s">
        <v>4284</v>
      </c>
    </row>
    <row r="42" spans="1:8">
      <c r="A42">
        <v>11000522</v>
      </c>
      <c r="B42" t="s">
        <v>137</v>
      </c>
      <c r="C42" t="s">
        <v>1002</v>
      </c>
      <c r="D42" t="s">
        <v>1510</v>
      </c>
      <c r="E42" t="s">
        <v>3969</v>
      </c>
      <c r="F42" t="s">
        <v>3970</v>
      </c>
      <c r="G42" t="s">
        <v>3971</v>
      </c>
      <c r="H42" t="s">
        <v>4284</v>
      </c>
    </row>
    <row r="43" spans="1:8">
      <c r="A43">
        <v>11005074</v>
      </c>
      <c r="B43" t="s">
        <v>138</v>
      </c>
      <c r="C43" t="s">
        <v>1003</v>
      </c>
      <c r="D43" t="s">
        <v>1519</v>
      </c>
      <c r="E43" t="s">
        <v>3972</v>
      </c>
      <c r="F43" t="s">
        <v>3947</v>
      </c>
      <c r="G43" t="s">
        <v>3948</v>
      </c>
      <c r="H43" t="s">
        <v>4284</v>
      </c>
    </row>
    <row r="44" spans="1:8">
      <c r="A44">
        <v>11005070</v>
      </c>
      <c r="B44" t="s">
        <v>139</v>
      </c>
      <c r="C44" t="s">
        <v>1004</v>
      </c>
      <c r="D44" t="s">
        <v>1519</v>
      </c>
      <c r="E44" t="s">
        <v>3972</v>
      </c>
      <c r="F44" t="s">
        <v>3947</v>
      </c>
      <c r="G44" t="s">
        <v>3948</v>
      </c>
      <c r="H44" t="s">
        <v>4284</v>
      </c>
    </row>
    <row r="45" spans="1:8">
      <c r="A45">
        <v>11101866</v>
      </c>
      <c r="B45" t="s">
        <v>140</v>
      </c>
      <c r="C45" t="s">
        <v>1061</v>
      </c>
      <c r="D45" t="s">
        <v>1525</v>
      </c>
      <c r="E45" t="s">
        <v>3957</v>
      </c>
      <c r="F45" t="s">
        <v>3974</v>
      </c>
      <c r="G45" t="s">
        <v>3975</v>
      </c>
      <c r="H45" t="s">
        <v>4284</v>
      </c>
    </row>
    <row r="46" spans="1:8">
      <c r="A46">
        <v>11101867</v>
      </c>
      <c r="B46" t="s">
        <v>141</v>
      </c>
      <c r="C46" t="s">
        <v>970</v>
      </c>
      <c r="D46" t="s">
        <v>1528</v>
      </c>
      <c r="E46" t="s">
        <v>3956</v>
      </c>
      <c r="F46" t="s">
        <v>3947</v>
      </c>
      <c r="G46" t="s">
        <v>3948</v>
      </c>
      <c r="H46" t="s">
        <v>4284</v>
      </c>
    </row>
    <row r="47" spans="1:8">
      <c r="A47">
        <v>11101868</v>
      </c>
      <c r="B47" t="s">
        <v>142</v>
      </c>
      <c r="C47" t="s">
        <v>1062</v>
      </c>
      <c r="D47" t="s">
        <v>1528</v>
      </c>
      <c r="E47" t="s">
        <v>3956</v>
      </c>
      <c r="F47" t="s">
        <v>3947</v>
      </c>
      <c r="G47" t="s">
        <v>3948</v>
      </c>
      <c r="H47" t="s">
        <v>4284</v>
      </c>
    </row>
    <row r="48" spans="1:8">
      <c r="A48">
        <v>11101869</v>
      </c>
      <c r="B48" t="s">
        <v>143</v>
      </c>
      <c r="C48" t="s">
        <v>973</v>
      </c>
      <c r="D48" t="s">
        <v>1528</v>
      </c>
      <c r="E48" t="s">
        <v>3956</v>
      </c>
      <c r="F48" t="s">
        <v>3947</v>
      </c>
      <c r="G48" t="s">
        <v>3948</v>
      </c>
      <c r="H48" t="s">
        <v>4284</v>
      </c>
    </row>
    <row r="49" spans="1:8">
      <c r="A49">
        <v>11101870</v>
      </c>
      <c r="B49" t="s">
        <v>144</v>
      </c>
      <c r="C49" t="s">
        <v>1063</v>
      </c>
      <c r="D49" t="s">
        <v>1528</v>
      </c>
      <c r="E49" t="s">
        <v>3956</v>
      </c>
      <c r="F49" t="s">
        <v>3947</v>
      </c>
      <c r="G49" t="s">
        <v>3948</v>
      </c>
      <c r="H49" t="s">
        <v>4284</v>
      </c>
    </row>
    <row r="50" spans="1:8">
      <c r="A50">
        <v>11101871</v>
      </c>
      <c r="B50" t="s">
        <v>145</v>
      </c>
      <c r="C50" t="s">
        <v>1064</v>
      </c>
      <c r="D50" t="s">
        <v>1528</v>
      </c>
      <c r="E50" t="s">
        <v>3956</v>
      </c>
      <c r="F50" t="s">
        <v>3947</v>
      </c>
      <c r="G50" t="s">
        <v>3948</v>
      </c>
      <c r="H50" t="s">
        <v>4284</v>
      </c>
    </row>
    <row r="51" spans="1:8">
      <c r="A51">
        <v>11101872</v>
      </c>
      <c r="B51" t="s">
        <v>146</v>
      </c>
      <c r="C51" t="s">
        <v>1065</v>
      </c>
      <c r="D51" t="s">
        <v>1528</v>
      </c>
      <c r="E51" t="s">
        <v>3956</v>
      </c>
      <c r="F51" t="s">
        <v>3947</v>
      </c>
      <c r="G51" t="s">
        <v>3948</v>
      </c>
      <c r="H51" t="s">
        <v>4284</v>
      </c>
    </row>
    <row r="52" spans="1:8">
      <c r="A52">
        <v>11103121</v>
      </c>
      <c r="B52" t="s">
        <v>147</v>
      </c>
      <c r="C52" t="s">
        <v>1068</v>
      </c>
      <c r="D52" t="s">
        <v>1529</v>
      </c>
      <c r="E52" t="s">
        <v>3976</v>
      </c>
      <c r="F52" t="s">
        <v>3977</v>
      </c>
      <c r="G52" t="s">
        <v>3978</v>
      </c>
      <c r="H52" t="s">
        <v>4284</v>
      </c>
    </row>
    <row r="53" spans="1:8">
      <c r="A53">
        <v>11103208</v>
      </c>
      <c r="B53" t="s">
        <v>148</v>
      </c>
      <c r="C53" t="s">
        <v>1069</v>
      </c>
      <c r="D53" t="s">
        <v>1529</v>
      </c>
      <c r="E53" t="s">
        <v>3976</v>
      </c>
      <c r="F53" t="s">
        <v>3977</v>
      </c>
      <c r="G53" t="s">
        <v>3978</v>
      </c>
      <c r="H53" t="s">
        <v>4284</v>
      </c>
    </row>
    <row r="54" spans="1:8">
      <c r="A54">
        <v>11103209</v>
      </c>
      <c r="B54" t="s">
        <v>149</v>
      </c>
      <c r="C54" t="s">
        <v>1070</v>
      </c>
      <c r="D54" t="s">
        <v>1533</v>
      </c>
      <c r="E54" t="s">
        <v>3979</v>
      </c>
      <c r="F54" t="s">
        <v>3954</v>
      </c>
      <c r="G54" t="s">
        <v>3955</v>
      </c>
      <c r="H54" t="s">
        <v>4284</v>
      </c>
    </row>
    <row r="55" spans="1:8">
      <c r="A55">
        <v>11103210</v>
      </c>
      <c r="B55" t="s">
        <v>150</v>
      </c>
      <c r="C55" t="s">
        <v>1071</v>
      </c>
      <c r="D55" t="s">
        <v>1535</v>
      </c>
      <c r="E55" t="s">
        <v>3980</v>
      </c>
      <c r="F55" t="s">
        <v>3981</v>
      </c>
      <c r="G55" t="s">
        <v>3982</v>
      </c>
      <c r="H55" t="s">
        <v>4284</v>
      </c>
    </row>
    <row r="56" spans="1:8">
      <c r="A56">
        <v>11103211</v>
      </c>
      <c r="B56" t="s">
        <v>151</v>
      </c>
      <c r="C56" t="s">
        <v>1072</v>
      </c>
      <c r="D56" t="s">
        <v>1535</v>
      </c>
      <c r="E56" t="s">
        <v>3980</v>
      </c>
      <c r="F56" t="s">
        <v>3983</v>
      </c>
      <c r="G56" t="s">
        <v>3984</v>
      </c>
      <c r="H56" t="s">
        <v>4284</v>
      </c>
    </row>
    <row r="57" spans="1:8">
      <c r="A57">
        <v>11103212</v>
      </c>
      <c r="B57" t="s">
        <v>152</v>
      </c>
      <c r="C57" t="s">
        <v>1073</v>
      </c>
      <c r="D57" t="s">
        <v>1535</v>
      </c>
      <c r="E57" t="s">
        <v>3980</v>
      </c>
      <c r="F57" t="s">
        <v>3985</v>
      </c>
      <c r="G57" t="s">
        <v>3986</v>
      </c>
      <c r="H57" t="s">
        <v>4284</v>
      </c>
    </row>
    <row r="58" spans="1:8">
      <c r="A58">
        <v>11103213</v>
      </c>
      <c r="B58" t="s">
        <v>153</v>
      </c>
      <c r="C58" t="s">
        <v>1074</v>
      </c>
      <c r="D58" t="s">
        <v>1535</v>
      </c>
      <c r="E58" t="s">
        <v>3980</v>
      </c>
      <c r="F58" t="s">
        <v>3981</v>
      </c>
      <c r="G58" t="s">
        <v>3982</v>
      </c>
      <c r="H58" t="s">
        <v>4284</v>
      </c>
    </row>
    <row r="59" spans="1:8">
      <c r="A59">
        <v>11103214</v>
      </c>
      <c r="B59" t="s">
        <v>154</v>
      </c>
      <c r="C59" t="s">
        <v>1075</v>
      </c>
      <c r="D59" t="s">
        <v>1535</v>
      </c>
      <c r="E59" t="s">
        <v>3980</v>
      </c>
      <c r="F59" t="s">
        <v>3983</v>
      </c>
      <c r="G59" t="s">
        <v>3984</v>
      </c>
      <c r="H59" t="s">
        <v>4284</v>
      </c>
    </row>
    <row r="60" spans="1:8">
      <c r="A60">
        <v>11103215</v>
      </c>
      <c r="B60" t="s">
        <v>155</v>
      </c>
      <c r="C60" t="s">
        <v>1076</v>
      </c>
      <c r="D60" t="s">
        <v>1535</v>
      </c>
      <c r="E60" t="s">
        <v>3980</v>
      </c>
      <c r="F60" t="s">
        <v>3985</v>
      </c>
      <c r="G60" t="s">
        <v>3986</v>
      </c>
      <c r="H60" t="s">
        <v>4284</v>
      </c>
    </row>
    <row r="61" spans="1:8">
      <c r="A61">
        <v>11103203</v>
      </c>
      <c r="B61" t="s">
        <v>156</v>
      </c>
      <c r="C61" t="s">
        <v>1077</v>
      </c>
      <c r="D61" t="s">
        <v>1529</v>
      </c>
      <c r="E61" t="s">
        <v>3976</v>
      </c>
      <c r="F61" t="s">
        <v>3977</v>
      </c>
      <c r="G61" t="s">
        <v>3978</v>
      </c>
      <c r="H61" t="s">
        <v>4284</v>
      </c>
    </row>
    <row r="62" spans="1:8">
      <c r="A62">
        <v>11107151</v>
      </c>
      <c r="B62" t="s">
        <v>157</v>
      </c>
      <c r="C62" t="s">
        <v>1078</v>
      </c>
      <c r="D62" t="s">
        <v>1543</v>
      </c>
      <c r="E62" t="s">
        <v>3987</v>
      </c>
      <c r="F62" t="s">
        <v>3954</v>
      </c>
      <c r="G62" t="s">
        <v>3955</v>
      </c>
      <c r="H62" t="s">
        <v>4284</v>
      </c>
    </row>
    <row r="63" spans="1:8">
      <c r="A63">
        <v>11107153</v>
      </c>
      <c r="B63" t="s">
        <v>158</v>
      </c>
      <c r="C63" t="s">
        <v>1079</v>
      </c>
      <c r="D63" t="s">
        <v>1544</v>
      </c>
      <c r="E63" t="s">
        <v>3988</v>
      </c>
      <c r="F63" t="s">
        <v>3954</v>
      </c>
      <c r="G63" t="s">
        <v>3955</v>
      </c>
      <c r="H63" t="s">
        <v>4284</v>
      </c>
    </row>
    <row r="64" spans="1:8">
      <c r="A64">
        <v>11107152</v>
      </c>
      <c r="B64" t="s">
        <v>159</v>
      </c>
      <c r="C64" t="s">
        <v>1011</v>
      </c>
      <c r="D64" t="s">
        <v>1543</v>
      </c>
      <c r="E64" t="s">
        <v>3987</v>
      </c>
      <c r="F64" t="s">
        <v>3954</v>
      </c>
      <c r="G64" t="s">
        <v>3955</v>
      </c>
      <c r="H64" t="s">
        <v>4284</v>
      </c>
    </row>
    <row r="65" spans="1:8">
      <c r="A65">
        <v>11107154</v>
      </c>
      <c r="B65" t="s">
        <v>160</v>
      </c>
      <c r="C65" t="s">
        <v>1080</v>
      </c>
      <c r="D65" t="s">
        <v>1544</v>
      </c>
      <c r="E65" t="s">
        <v>3988</v>
      </c>
      <c r="F65" t="s">
        <v>3954</v>
      </c>
      <c r="G65" t="s">
        <v>3955</v>
      </c>
      <c r="H65" t="s">
        <v>4284</v>
      </c>
    </row>
    <row r="66" spans="1:8">
      <c r="A66">
        <v>11107178</v>
      </c>
      <c r="B66" t="s">
        <v>161</v>
      </c>
      <c r="C66" t="s">
        <v>1081</v>
      </c>
      <c r="D66" t="s">
        <v>1546</v>
      </c>
      <c r="E66" t="s">
        <v>3989</v>
      </c>
      <c r="F66" t="s">
        <v>3947</v>
      </c>
      <c r="G66" t="s">
        <v>3948</v>
      </c>
      <c r="H66" t="s">
        <v>4284</v>
      </c>
    </row>
    <row r="67" spans="1:8">
      <c r="A67">
        <v>11103202</v>
      </c>
      <c r="B67" t="s">
        <v>162</v>
      </c>
      <c r="C67" t="s">
        <v>1082</v>
      </c>
      <c r="D67" t="s">
        <v>1529</v>
      </c>
      <c r="E67" t="s">
        <v>3976</v>
      </c>
      <c r="F67" t="s">
        <v>3977</v>
      </c>
      <c r="G67" t="s">
        <v>3978</v>
      </c>
      <c r="H67" t="s">
        <v>4284</v>
      </c>
    </row>
    <row r="68" spans="1:8">
      <c r="A68">
        <v>11107177</v>
      </c>
      <c r="B68" t="s">
        <v>163</v>
      </c>
      <c r="C68" t="s">
        <v>1083</v>
      </c>
      <c r="D68" t="s">
        <v>1546</v>
      </c>
      <c r="E68" t="s">
        <v>3989</v>
      </c>
      <c r="F68" t="s">
        <v>3947</v>
      </c>
      <c r="G68" t="s">
        <v>3948</v>
      </c>
      <c r="H68" t="s">
        <v>4284</v>
      </c>
    </row>
    <row r="69" spans="1:8">
      <c r="A69">
        <v>11106953</v>
      </c>
      <c r="B69" t="s">
        <v>164</v>
      </c>
      <c r="C69" t="s">
        <v>982</v>
      </c>
      <c r="D69" t="s">
        <v>1506</v>
      </c>
      <c r="E69" t="s">
        <v>3967</v>
      </c>
      <c r="F69" t="s">
        <v>3990</v>
      </c>
      <c r="G69" t="s">
        <v>3991</v>
      </c>
      <c r="H69" t="s">
        <v>4284</v>
      </c>
    </row>
    <row r="70" spans="1:8">
      <c r="A70">
        <v>11106954</v>
      </c>
      <c r="B70" t="s">
        <v>165</v>
      </c>
      <c r="C70" t="s">
        <v>991</v>
      </c>
      <c r="D70" t="s">
        <v>1506</v>
      </c>
      <c r="E70" t="s">
        <v>3967</v>
      </c>
      <c r="F70" t="s">
        <v>3990</v>
      </c>
      <c r="G70" t="s">
        <v>3991</v>
      </c>
      <c r="H70" t="s">
        <v>4284</v>
      </c>
    </row>
    <row r="71" spans="1:8">
      <c r="A71">
        <v>11107319</v>
      </c>
      <c r="B71" t="s">
        <v>166</v>
      </c>
      <c r="C71" t="s">
        <v>992</v>
      </c>
      <c r="D71" t="s">
        <v>1506</v>
      </c>
      <c r="E71" t="s">
        <v>3967</v>
      </c>
      <c r="F71" t="s">
        <v>3990</v>
      </c>
      <c r="G71" t="s">
        <v>3991</v>
      </c>
      <c r="H71" t="s">
        <v>4284</v>
      </c>
    </row>
    <row r="72" spans="1:8">
      <c r="A72">
        <v>11106956</v>
      </c>
      <c r="B72" t="s">
        <v>167</v>
      </c>
      <c r="C72" t="s">
        <v>997</v>
      </c>
      <c r="D72" t="s">
        <v>1504</v>
      </c>
      <c r="E72" t="s">
        <v>3966</v>
      </c>
      <c r="F72" t="s">
        <v>3992</v>
      </c>
      <c r="G72" t="s">
        <v>3993</v>
      </c>
      <c r="H72" t="s">
        <v>4284</v>
      </c>
    </row>
    <row r="73" spans="1:8">
      <c r="A73">
        <v>11106957</v>
      </c>
      <c r="B73" t="s">
        <v>168</v>
      </c>
      <c r="C73" t="s">
        <v>1091</v>
      </c>
      <c r="D73" t="s">
        <v>1504</v>
      </c>
      <c r="E73" t="s">
        <v>3966</v>
      </c>
      <c r="F73" t="s">
        <v>3992</v>
      </c>
      <c r="G73" t="s">
        <v>3993</v>
      </c>
      <c r="H73" t="s">
        <v>4284</v>
      </c>
    </row>
    <row r="74" spans="1:8">
      <c r="A74">
        <v>11106958</v>
      </c>
      <c r="B74" t="s">
        <v>169</v>
      </c>
      <c r="C74" t="s">
        <v>980</v>
      </c>
      <c r="D74" t="s">
        <v>1504</v>
      </c>
      <c r="E74" t="s">
        <v>3966</v>
      </c>
      <c r="F74" t="s">
        <v>3992</v>
      </c>
      <c r="G74" t="s">
        <v>3993</v>
      </c>
      <c r="H74" t="s">
        <v>4284</v>
      </c>
    </row>
    <row r="75" spans="1:8">
      <c r="A75">
        <v>11106959</v>
      </c>
      <c r="B75" t="s">
        <v>170</v>
      </c>
      <c r="C75" t="s">
        <v>998</v>
      </c>
      <c r="D75" t="s">
        <v>1504</v>
      </c>
      <c r="E75" t="s">
        <v>3966</v>
      </c>
      <c r="F75" t="s">
        <v>3992</v>
      </c>
      <c r="G75" t="s">
        <v>3993</v>
      </c>
      <c r="H75" t="s">
        <v>4284</v>
      </c>
    </row>
    <row r="76" spans="1:8">
      <c r="A76">
        <v>11106960</v>
      </c>
      <c r="B76" t="s">
        <v>171</v>
      </c>
      <c r="C76" t="s">
        <v>1093</v>
      </c>
      <c r="D76" t="s">
        <v>1504</v>
      </c>
      <c r="E76" t="s">
        <v>3966</v>
      </c>
      <c r="F76" t="s">
        <v>3992</v>
      </c>
      <c r="G76" t="s">
        <v>3993</v>
      </c>
      <c r="H76" t="s">
        <v>4284</v>
      </c>
    </row>
    <row r="77" spans="1:8">
      <c r="A77">
        <v>11107318</v>
      </c>
      <c r="B77" t="s">
        <v>172</v>
      </c>
      <c r="C77" t="s">
        <v>1094</v>
      </c>
      <c r="D77" t="s">
        <v>1504</v>
      </c>
      <c r="E77" t="s">
        <v>3966</v>
      </c>
      <c r="F77" t="s">
        <v>3992</v>
      </c>
      <c r="G77" t="s">
        <v>3993</v>
      </c>
      <c r="H77" t="s">
        <v>4284</v>
      </c>
    </row>
    <row r="78" spans="1:8">
      <c r="A78">
        <v>11106961</v>
      </c>
      <c r="B78" t="s">
        <v>173</v>
      </c>
      <c r="C78" t="s">
        <v>987</v>
      </c>
      <c r="D78" t="s">
        <v>1504</v>
      </c>
      <c r="E78" t="s">
        <v>3966</v>
      </c>
      <c r="F78" t="s">
        <v>3992</v>
      </c>
      <c r="G78" t="s">
        <v>3993</v>
      </c>
      <c r="H78" t="s">
        <v>4284</v>
      </c>
    </row>
    <row r="79" spans="1:8">
      <c r="A79">
        <v>11106962</v>
      </c>
      <c r="B79" t="s">
        <v>174</v>
      </c>
      <c r="C79" t="s">
        <v>993</v>
      </c>
      <c r="D79" t="s">
        <v>1506</v>
      </c>
      <c r="E79" t="s">
        <v>3967</v>
      </c>
      <c r="F79" t="s">
        <v>3990</v>
      </c>
      <c r="G79" t="s">
        <v>3991</v>
      </c>
      <c r="H79" t="s">
        <v>4284</v>
      </c>
    </row>
    <row r="80" spans="1:8">
      <c r="A80">
        <v>11106963</v>
      </c>
      <c r="B80" t="s">
        <v>175</v>
      </c>
      <c r="C80" t="s">
        <v>988</v>
      </c>
      <c r="D80" t="s">
        <v>1506</v>
      </c>
      <c r="E80" t="s">
        <v>3967</v>
      </c>
      <c r="F80" t="s">
        <v>3990</v>
      </c>
      <c r="G80" t="s">
        <v>3991</v>
      </c>
      <c r="H80" t="s">
        <v>4284</v>
      </c>
    </row>
    <row r="81" spans="1:8">
      <c r="A81">
        <v>11106964</v>
      </c>
      <c r="B81" t="s">
        <v>176</v>
      </c>
      <c r="C81" t="s">
        <v>994</v>
      </c>
      <c r="D81" t="s">
        <v>1506</v>
      </c>
      <c r="E81" t="s">
        <v>3967</v>
      </c>
      <c r="F81" t="s">
        <v>3990</v>
      </c>
      <c r="G81" t="s">
        <v>3991</v>
      </c>
      <c r="H81" t="s">
        <v>4284</v>
      </c>
    </row>
    <row r="82" spans="1:8">
      <c r="A82">
        <v>11107317</v>
      </c>
      <c r="B82" t="s">
        <v>177</v>
      </c>
      <c r="C82" t="s">
        <v>995</v>
      </c>
      <c r="D82" t="s">
        <v>1506</v>
      </c>
      <c r="E82" t="s">
        <v>3967</v>
      </c>
      <c r="F82" t="s">
        <v>3990</v>
      </c>
      <c r="G82" t="s">
        <v>3991</v>
      </c>
      <c r="H82" t="s">
        <v>4284</v>
      </c>
    </row>
    <row r="83" spans="1:8">
      <c r="A83">
        <v>11106579</v>
      </c>
      <c r="B83" t="s">
        <v>178</v>
      </c>
      <c r="C83" t="s">
        <v>996</v>
      </c>
      <c r="D83" t="s">
        <v>1552</v>
      </c>
      <c r="E83" t="s">
        <v>3994</v>
      </c>
      <c r="F83" t="s">
        <v>3992</v>
      </c>
      <c r="G83" t="s">
        <v>3993</v>
      </c>
      <c r="H83" t="s">
        <v>4284</v>
      </c>
    </row>
    <row r="84" spans="1:8">
      <c r="A84">
        <v>11106936</v>
      </c>
      <c r="B84" t="s">
        <v>179</v>
      </c>
      <c r="C84" t="s">
        <v>1095</v>
      </c>
      <c r="D84" t="s">
        <v>1554</v>
      </c>
      <c r="E84" t="s">
        <v>3995</v>
      </c>
      <c r="F84" t="s">
        <v>3960</v>
      </c>
      <c r="G84" t="s">
        <v>3961</v>
      </c>
      <c r="H84" t="s">
        <v>4284</v>
      </c>
    </row>
    <row r="85" spans="1:8">
      <c r="A85">
        <v>11106937</v>
      </c>
      <c r="B85" t="s">
        <v>180</v>
      </c>
      <c r="C85" t="s">
        <v>1096</v>
      </c>
      <c r="D85" t="s">
        <v>1556</v>
      </c>
      <c r="E85" t="s">
        <v>3996</v>
      </c>
      <c r="F85" t="s">
        <v>3960</v>
      </c>
      <c r="G85" t="s">
        <v>3961</v>
      </c>
      <c r="H85" t="s">
        <v>4284</v>
      </c>
    </row>
    <row r="86" spans="1:8">
      <c r="A86">
        <v>11106938</v>
      </c>
      <c r="B86" t="s">
        <v>181</v>
      </c>
      <c r="C86" t="s">
        <v>1097</v>
      </c>
      <c r="D86" t="s">
        <v>1558</v>
      </c>
      <c r="E86" t="s">
        <v>3997</v>
      </c>
      <c r="F86" t="s">
        <v>3960</v>
      </c>
      <c r="G86" t="s">
        <v>3961</v>
      </c>
      <c r="H86" t="s">
        <v>4284</v>
      </c>
    </row>
    <row r="87" spans="1:8">
      <c r="A87">
        <v>11106943</v>
      </c>
      <c r="B87" t="s">
        <v>182</v>
      </c>
      <c r="C87" t="s">
        <v>1103</v>
      </c>
      <c r="D87" t="s">
        <v>1558</v>
      </c>
      <c r="E87" t="s">
        <v>3997</v>
      </c>
      <c r="F87" t="s">
        <v>3960</v>
      </c>
      <c r="G87" t="s">
        <v>3961</v>
      </c>
      <c r="H87" t="s">
        <v>4284</v>
      </c>
    </row>
    <row r="88" spans="1:8">
      <c r="A88">
        <v>11101848</v>
      </c>
      <c r="B88" t="s">
        <v>183</v>
      </c>
      <c r="C88" t="s">
        <v>1104</v>
      </c>
      <c r="D88" t="s">
        <v>1510</v>
      </c>
      <c r="E88" t="s">
        <v>3969</v>
      </c>
      <c r="F88" t="s">
        <v>3970</v>
      </c>
      <c r="G88" t="s">
        <v>3971</v>
      </c>
      <c r="H88" t="s">
        <v>4284</v>
      </c>
    </row>
    <row r="89" spans="1:8">
      <c r="A89">
        <v>11103430</v>
      </c>
      <c r="B89" t="s">
        <v>184</v>
      </c>
      <c r="C89" t="s">
        <v>1105</v>
      </c>
      <c r="D89" t="s">
        <v>1560</v>
      </c>
      <c r="E89" t="s">
        <v>3998</v>
      </c>
      <c r="F89" t="s">
        <v>3963</v>
      </c>
      <c r="G89" t="s">
        <v>3964</v>
      </c>
      <c r="H89" t="s">
        <v>4284</v>
      </c>
    </row>
    <row r="90" spans="1:8">
      <c r="A90">
        <v>11103431</v>
      </c>
      <c r="B90" t="s">
        <v>185</v>
      </c>
      <c r="C90" t="s">
        <v>1106</v>
      </c>
      <c r="D90" t="s">
        <v>1560</v>
      </c>
      <c r="E90" t="s">
        <v>3998</v>
      </c>
      <c r="F90" t="s">
        <v>3963</v>
      </c>
      <c r="G90" t="s">
        <v>3964</v>
      </c>
      <c r="H90" t="s">
        <v>4284</v>
      </c>
    </row>
    <row r="91" spans="1:8">
      <c r="A91">
        <v>11103432</v>
      </c>
      <c r="B91" t="s">
        <v>186</v>
      </c>
      <c r="C91" t="s">
        <v>1107</v>
      </c>
      <c r="D91" t="s">
        <v>1560</v>
      </c>
      <c r="E91" t="s">
        <v>3998</v>
      </c>
      <c r="F91" t="s">
        <v>3963</v>
      </c>
      <c r="G91" t="s">
        <v>3964</v>
      </c>
      <c r="H91" t="s">
        <v>4284</v>
      </c>
    </row>
    <row r="92" spans="1:8">
      <c r="A92">
        <v>11107430</v>
      </c>
      <c r="B92" t="s">
        <v>187</v>
      </c>
      <c r="C92" t="s">
        <v>965</v>
      </c>
      <c r="D92" t="s">
        <v>1562</v>
      </c>
      <c r="E92" t="s">
        <v>3999</v>
      </c>
      <c r="F92" t="s">
        <v>4000</v>
      </c>
      <c r="G92" t="s">
        <v>4001</v>
      </c>
      <c r="H92" t="s">
        <v>4284</v>
      </c>
    </row>
    <row r="93" spans="1:8">
      <c r="A93">
        <v>11110464</v>
      </c>
      <c r="B93" t="s">
        <v>188</v>
      </c>
      <c r="C93" t="s">
        <v>1105</v>
      </c>
      <c r="D93" t="s">
        <v>1566</v>
      </c>
      <c r="E93" t="s">
        <v>3998</v>
      </c>
      <c r="F93" t="s">
        <v>3963</v>
      </c>
      <c r="G93" t="s">
        <v>3964</v>
      </c>
      <c r="H93" t="s">
        <v>4284</v>
      </c>
    </row>
    <row r="94" spans="1:8">
      <c r="A94">
        <v>11110465</v>
      </c>
      <c r="B94" t="s">
        <v>189</v>
      </c>
      <c r="C94" t="s">
        <v>1106</v>
      </c>
      <c r="D94" t="s">
        <v>1566</v>
      </c>
      <c r="E94" t="s">
        <v>3998</v>
      </c>
      <c r="F94" t="s">
        <v>3963</v>
      </c>
      <c r="G94" t="s">
        <v>3964</v>
      </c>
      <c r="H94" t="s">
        <v>4284</v>
      </c>
    </row>
    <row r="95" spans="1:8">
      <c r="A95">
        <v>11110466</v>
      </c>
      <c r="B95" t="s">
        <v>190</v>
      </c>
      <c r="C95" t="s">
        <v>1107</v>
      </c>
      <c r="D95" t="s">
        <v>1566</v>
      </c>
      <c r="E95" t="s">
        <v>3998</v>
      </c>
      <c r="F95" t="s">
        <v>3963</v>
      </c>
      <c r="G95" t="s">
        <v>3964</v>
      </c>
      <c r="H95" t="s">
        <v>4284</v>
      </c>
    </row>
    <row r="96" spans="1:8">
      <c r="A96">
        <v>11110214</v>
      </c>
      <c r="B96" t="s">
        <v>191</v>
      </c>
      <c r="C96" t="s">
        <v>1111</v>
      </c>
      <c r="D96" t="s">
        <v>1567</v>
      </c>
      <c r="E96" t="s">
        <v>4002</v>
      </c>
      <c r="F96" t="s">
        <v>4003</v>
      </c>
      <c r="G96" t="s">
        <v>4004</v>
      </c>
      <c r="H96" t="s">
        <v>4284</v>
      </c>
    </row>
    <row r="97" spans="1:8">
      <c r="A97">
        <v>11111150</v>
      </c>
      <c r="B97" t="s">
        <v>192</v>
      </c>
      <c r="C97" t="s">
        <v>1113</v>
      </c>
      <c r="D97" t="s">
        <v>1571</v>
      </c>
      <c r="E97" t="s">
        <v>4006</v>
      </c>
      <c r="F97" t="s">
        <v>3954</v>
      </c>
      <c r="G97" t="s">
        <v>3955</v>
      </c>
      <c r="H97" t="s">
        <v>4284</v>
      </c>
    </row>
    <row r="98" spans="1:8">
      <c r="A98">
        <v>11111171</v>
      </c>
      <c r="B98" t="s">
        <v>193</v>
      </c>
      <c r="C98" t="s">
        <v>1117</v>
      </c>
      <c r="D98" t="s">
        <v>1576</v>
      </c>
      <c r="E98" t="s">
        <v>4010</v>
      </c>
      <c r="F98" t="s">
        <v>4011</v>
      </c>
      <c r="G98" t="s">
        <v>4012</v>
      </c>
      <c r="H98" t="s">
        <v>4284</v>
      </c>
    </row>
    <row r="99" spans="1:8">
      <c r="A99">
        <v>11110189</v>
      </c>
      <c r="B99" t="s">
        <v>194</v>
      </c>
      <c r="C99" t="s">
        <v>1121</v>
      </c>
      <c r="D99" t="s">
        <v>1580</v>
      </c>
      <c r="E99" t="s">
        <v>4013</v>
      </c>
      <c r="F99" t="s">
        <v>4014</v>
      </c>
      <c r="G99" t="s">
        <v>4015</v>
      </c>
      <c r="H99" t="s">
        <v>4284</v>
      </c>
    </row>
    <row r="100" spans="1:8">
      <c r="A100">
        <v>11110193</v>
      </c>
      <c r="B100" t="s">
        <v>195</v>
      </c>
      <c r="C100" t="s">
        <v>1124</v>
      </c>
      <c r="D100" t="s">
        <v>1582</v>
      </c>
      <c r="E100" t="s">
        <v>4016</v>
      </c>
      <c r="F100" t="s">
        <v>4003</v>
      </c>
      <c r="G100" t="s">
        <v>4004</v>
      </c>
      <c r="H100" t="s">
        <v>4284</v>
      </c>
    </row>
    <row r="101" spans="1:8">
      <c r="A101">
        <v>11110196</v>
      </c>
      <c r="B101" t="s">
        <v>196</v>
      </c>
      <c r="C101" t="s">
        <v>1125</v>
      </c>
      <c r="D101" t="s">
        <v>1584</v>
      </c>
      <c r="E101" t="s">
        <v>4017</v>
      </c>
      <c r="F101" t="s">
        <v>4018</v>
      </c>
      <c r="G101" t="s">
        <v>4019</v>
      </c>
      <c r="H101" t="s">
        <v>4284</v>
      </c>
    </row>
    <row r="102" spans="1:8">
      <c r="A102">
        <v>11110199</v>
      </c>
      <c r="B102" t="s">
        <v>197</v>
      </c>
      <c r="C102" t="s">
        <v>1127</v>
      </c>
      <c r="D102" t="s">
        <v>1584</v>
      </c>
      <c r="E102" t="s">
        <v>4017</v>
      </c>
      <c r="F102" t="s">
        <v>4018</v>
      </c>
      <c r="G102" t="s">
        <v>4019</v>
      </c>
      <c r="H102" t="s">
        <v>4284</v>
      </c>
    </row>
    <row r="103" spans="1:8">
      <c r="A103">
        <v>11110203</v>
      </c>
      <c r="B103" t="s">
        <v>198</v>
      </c>
      <c r="C103" t="s">
        <v>1128</v>
      </c>
      <c r="D103" t="s">
        <v>1474</v>
      </c>
      <c r="E103" t="s">
        <v>3946</v>
      </c>
      <c r="F103" t="s">
        <v>3947</v>
      </c>
      <c r="G103" t="s">
        <v>3948</v>
      </c>
      <c r="H103" t="s">
        <v>4284</v>
      </c>
    </row>
    <row r="104" spans="1:8">
      <c r="A104">
        <v>11110206</v>
      </c>
      <c r="B104" t="s">
        <v>199</v>
      </c>
      <c r="C104" t="s">
        <v>1129</v>
      </c>
      <c r="D104" t="s">
        <v>1474</v>
      </c>
      <c r="E104" t="s">
        <v>3946</v>
      </c>
      <c r="F104" t="s">
        <v>3947</v>
      </c>
      <c r="G104" t="s">
        <v>3948</v>
      </c>
      <c r="H104" t="s">
        <v>4284</v>
      </c>
    </row>
    <row r="105" spans="1:8">
      <c r="A105">
        <v>11111013</v>
      </c>
      <c r="B105" t="s">
        <v>200</v>
      </c>
      <c r="C105" t="s">
        <v>1131</v>
      </c>
      <c r="D105" t="s">
        <v>1588</v>
      </c>
      <c r="E105" t="s">
        <v>4020</v>
      </c>
      <c r="F105" t="s">
        <v>3974</v>
      </c>
      <c r="G105" t="s">
        <v>3975</v>
      </c>
      <c r="H105" t="s">
        <v>4284</v>
      </c>
    </row>
    <row r="106" spans="1:8">
      <c r="A106">
        <v>11110407</v>
      </c>
      <c r="B106" t="s">
        <v>201</v>
      </c>
      <c r="C106" t="s">
        <v>983</v>
      </c>
      <c r="D106" t="s">
        <v>1590</v>
      </c>
      <c r="E106" t="s">
        <v>3962</v>
      </c>
      <c r="F106" t="s">
        <v>3963</v>
      </c>
      <c r="G106" t="s">
        <v>3964</v>
      </c>
      <c r="H106" t="s">
        <v>4284</v>
      </c>
    </row>
    <row r="107" spans="1:8">
      <c r="A107">
        <v>11110410</v>
      </c>
      <c r="B107" t="s">
        <v>202</v>
      </c>
      <c r="C107" t="s">
        <v>984</v>
      </c>
      <c r="D107" t="s">
        <v>1591</v>
      </c>
      <c r="E107" t="s">
        <v>3965</v>
      </c>
      <c r="F107" t="s">
        <v>3963</v>
      </c>
      <c r="G107" t="s">
        <v>3964</v>
      </c>
      <c r="H107" t="s">
        <v>4284</v>
      </c>
    </row>
    <row r="108" spans="1:8">
      <c r="A108">
        <v>11110411</v>
      </c>
      <c r="B108" t="s">
        <v>203</v>
      </c>
      <c r="C108" t="s">
        <v>1132</v>
      </c>
      <c r="D108" t="s">
        <v>1591</v>
      </c>
      <c r="E108" t="s">
        <v>3965</v>
      </c>
      <c r="F108" t="s">
        <v>3963</v>
      </c>
      <c r="G108" t="s">
        <v>3964</v>
      </c>
      <c r="H108" t="s">
        <v>4284</v>
      </c>
    </row>
    <row r="109" spans="1:8">
      <c r="A109">
        <v>11110412</v>
      </c>
      <c r="B109" t="s">
        <v>204</v>
      </c>
      <c r="C109" t="s">
        <v>1133</v>
      </c>
      <c r="D109" t="s">
        <v>1591</v>
      </c>
      <c r="E109" t="s">
        <v>3965</v>
      </c>
      <c r="F109" t="s">
        <v>3963</v>
      </c>
      <c r="G109" t="s">
        <v>3964</v>
      </c>
      <c r="H109" t="s">
        <v>4284</v>
      </c>
    </row>
    <row r="110" spans="1:8">
      <c r="A110">
        <v>11103355</v>
      </c>
      <c r="B110" t="s">
        <v>205</v>
      </c>
      <c r="C110" t="s">
        <v>1134</v>
      </c>
      <c r="D110" t="s">
        <v>1533</v>
      </c>
      <c r="E110" t="s">
        <v>3979</v>
      </c>
      <c r="F110" t="s">
        <v>4021</v>
      </c>
      <c r="G110" t="s">
        <v>4022</v>
      </c>
      <c r="H110" t="s">
        <v>4284</v>
      </c>
    </row>
    <row r="111" spans="1:8">
      <c r="A111">
        <v>11111259</v>
      </c>
      <c r="B111" t="s">
        <v>206</v>
      </c>
      <c r="C111" t="s">
        <v>1136</v>
      </c>
      <c r="D111" t="s">
        <v>1478</v>
      </c>
      <c r="E111" t="s">
        <v>3949</v>
      </c>
      <c r="F111" t="s">
        <v>3947</v>
      </c>
      <c r="G111" t="s">
        <v>3948</v>
      </c>
      <c r="H111" t="s">
        <v>4284</v>
      </c>
    </row>
    <row r="112" spans="1:8">
      <c r="A112">
        <v>11111260</v>
      </c>
      <c r="B112" t="s">
        <v>207</v>
      </c>
      <c r="C112" t="s">
        <v>961</v>
      </c>
      <c r="D112" t="s">
        <v>1478</v>
      </c>
      <c r="E112" t="s">
        <v>3949</v>
      </c>
      <c r="F112" t="s">
        <v>3947</v>
      </c>
      <c r="G112" t="s">
        <v>3948</v>
      </c>
      <c r="H112" t="s">
        <v>4284</v>
      </c>
    </row>
    <row r="113" spans="1:8">
      <c r="A113">
        <v>11111264</v>
      </c>
      <c r="B113" t="s">
        <v>208</v>
      </c>
      <c r="C113" t="s">
        <v>964</v>
      </c>
      <c r="D113" t="s">
        <v>1480</v>
      </c>
      <c r="E113" t="s">
        <v>3950</v>
      </c>
      <c r="F113" t="s">
        <v>3947</v>
      </c>
      <c r="G113" t="s">
        <v>3948</v>
      </c>
      <c r="H113" t="s">
        <v>4284</v>
      </c>
    </row>
    <row r="114" spans="1:8">
      <c r="A114">
        <v>11112071</v>
      </c>
      <c r="B114" t="s">
        <v>209</v>
      </c>
      <c r="C114" t="s">
        <v>1146</v>
      </c>
      <c r="D114" t="s">
        <v>1582</v>
      </c>
      <c r="E114" t="s">
        <v>4016</v>
      </c>
      <c r="F114" t="s">
        <v>4003</v>
      </c>
      <c r="G114" t="s">
        <v>4004</v>
      </c>
      <c r="H114" t="s">
        <v>4284</v>
      </c>
    </row>
    <row r="115" spans="1:8">
      <c r="A115">
        <v>11112073</v>
      </c>
      <c r="B115" t="s">
        <v>210</v>
      </c>
      <c r="C115" t="s">
        <v>1147</v>
      </c>
      <c r="D115" t="s">
        <v>1582</v>
      </c>
      <c r="E115" t="s">
        <v>4016</v>
      </c>
      <c r="F115" t="s">
        <v>4003</v>
      </c>
      <c r="G115" t="s">
        <v>4004</v>
      </c>
      <c r="H115" t="s">
        <v>4284</v>
      </c>
    </row>
    <row r="116" spans="1:8">
      <c r="A116">
        <v>11112074</v>
      </c>
      <c r="B116" t="s">
        <v>211</v>
      </c>
      <c r="C116" t="s">
        <v>1148</v>
      </c>
      <c r="D116" t="s">
        <v>1582</v>
      </c>
      <c r="E116" t="s">
        <v>4016</v>
      </c>
      <c r="F116" t="s">
        <v>4003</v>
      </c>
      <c r="G116" t="s">
        <v>4004</v>
      </c>
      <c r="H116" t="s">
        <v>4284</v>
      </c>
    </row>
    <row r="117" spans="1:8">
      <c r="A117">
        <v>11112075</v>
      </c>
      <c r="B117" t="s">
        <v>212</v>
      </c>
      <c r="C117" t="s">
        <v>1125</v>
      </c>
      <c r="D117" t="s">
        <v>1584</v>
      </c>
      <c r="E117" t="s">
        <v>4017</v>
      </c>
      <c r="F117" t="s">
        <v>4018</v>
      </c>
      <c r="G117" t="s">
        <v>4019</v>
      </c>
      <c r="H117" t="s">
        <v>4284</v>
      </c>
    </row>
    <row r="118" spans="1:8">
      <c r="A118">
        <v>11112076</v>
      </c>
      <c r="B118" t="s">
        <v>213</v>
      </c>
      <c r="C118" t="s">
        <v>1126</v>
      </c>
      <c r="D118" t="s">
        <v>1584</v>
      </c>
      <c r="E118" t="s">
        <v>4017</v>
      </c>
      <c r="F118" t="s">
        <v>4018</v>
      </c>
      <c r="G118" t="s">
        <v>4019</v>
      </c>
      <c r="H118" t="s">
        <v>4284</v>
      </c>
    </row>
    <row r="119" spans="1:8">
      <c r="A119">
        <v>11112077</v>
      </c>
      <c r="B119" t="s">
        <v>214</v>
      </c>
      <c r="C119" t="s">
        <v>1149</v>
      </c>
      <c r="D119" t="s">
        <v>1584</v>
      </c>
      <c r="E119" t="s">
        <v>4017</v>
      </c>
      <c r="F119" t="s">
        <v>4018</v>
      </c>
      <c r="G119" t="s">
        <v>4019</v>
      </c>
      <c r="H119" t="s">
        <v>4284</v>
      </c>
    </row>
    <row r="120" spans="1:8">
      <c r="A120">
        <v>11112078</v>
      </c>
      <c r="B120" t="s">
        <v>215</v>
      </c>
      <c r="C120" t="s">
        <v>1127</v>
      </c>
      <c r="D120" t="s">
        <v>1584</v>
      </c>
      <c r="E120" t="s">
        <v>4017</v>
      </c>
      <c r="F120" t="s">
        <v>4018</v>
      </c>
      <c r="G120" t="s">
        <v>4019</v>
      </c>
      <c r="H120" t="s">
        <v>4284</v>
      </c>
    </row>
    <row r="121" spans="1:8">
      <c r="A121">
        <v>11112079</v>
      </c>
      <c r="B121" t="s">
        <v>216</v>
      </c>
      <c r="C121" t="s">
        <v>1150</v>
      </c>
      <c r="D121" t="s">
        <v>1584</v>
      </c>
      <c r="E121" t="s">
        <v>4017</v>
      </c>
      <c r="F121" t="s">
        <v>4018</v>
      </c>
      <c r="G121" t="s">
        <v>4019</v>
      </c>
      <c r="H121" t="s">
        <v>4284</v>
      </c>
    </row>
    <row r="122" spans="1:8">
      <c r="A122">
        <v>11112080</v>
      </c>
      <c r="B122" t="s">
        <v>217</v>
      </c>
      <c r="C122" t="s">
        <v>1151</v>
      </c>
      <c r="D122" t="s">
        <v>1584</v>
      </c>
      <c r="E122" t="s">
        <v>4017</v>
      </c>
      <c r="F122" t="s">
        <v>4018</v>
      </c>
      <c r="G122" t="s">
        <v>4019</v>
      </c>
      <c r="H122" t="s">
        <v>4284</v>
      </c>
    </row>
    <row r="123" spans="1:8">
      <c r="A123">
        <v>11111796</v>
      </c>
      <c r="B123" t="s">
        <v>218</v>
      </c>
      <c r="C123" t="s">
        <v>1152</v>
      </c>
      <c r="D123" t="s">
        <v>1594</v>
      </c>
      <c r="E123" t="s">
        <v>4023</v>
      </c>
      <c r="F123" t="s">
        <v>4024</v>
      </c>
      <c r="G123" t="s">
        <v>4025</v>
      </c>
      <c r="H123" t="s">
        <v>4284</v>
      </c>
    </row>
    <row r="124" spans="1:8">
      <c r="A124">
        <v>11111798</v>
      </c>
      <c r="B124" t="s">
        <v>219</v>
      </c>
      <c r="C124" t="s">
        <v>1153</v>
      </c>
      <c r="D124" t="s">
        <v>1594</v>
      </c>
      <c r="E124" t="s">
        <v>4023</v>
      </c>
      <c r="F124" t="s">
        <v>4024</v>
      </c>
      <c r="G124" t="s">
        <v>4025</v>
      </c>
      <c r="H124" t="s">
        <v>4284</v>
      </c>
    </row>
    <row r="125" spans="1:8">
      <c r="A125">
        <v>11111655</v>
      </c>
      <c r="B125" t="s">
        <v>220</v>
      </c>
      <c r="C125" t="s">
        <v>1156</v>
      </c>
      <c r="D125" t="s">
        <v>1598</v>
      </c>
      <c r="E125" t="s">
        <v>4026</v>
      </c>
      <c r="F125" t="s">
        <v>3954</v>
      </c>
      <c r="G125" t="s">
        <v>3955</v>
      </c>
      <c r="H125" t="s">
        <v>4284</v>
      </c>
    </row>
    <row r="126" spans="1:8">
      <c r="A126">
        <v>11111659</v>
      </c>
      <c r="B126" t="s">
        <v>221</v>
      </c>
      <c r="C126" t="s">
        <v>1160</v>
      </c>
      <c r="D126" t="s">
        <v>1598</v>
      </c>
      <c r="E126" t="s">
        <v>4026</v>
      </c>
      <c r="F126" t="s">
        <v>3954</v>
      </c>
      <c r="G126" t="s">
        <v>3955</v>
      </c>
      <c r="H126" t="s">
        <v>4284</v>
      </c>
    </row>
    <row r="127" spans="1:8">
      <c r="A127">
        <v>11111614</v>
      </c>
      <c r="B127" t="s">
        <v>222</v>
      </c>
      <c r="C127" t="s">
        <v>1162</v>
      </c>
      <c r="D127" t="s">
        <v>1492</v>
      </c>
      <c r="E127" t="s">
        <v>3958</v>
      </c>
      <c r="F127" t="s">
        <v>3954</v>
      </c>
      <c r="G127" t="s">
        <v>3955</v>
      </c>
      <c r="H127" t="s">
        <v>4284</v>
      </c>
    </row>
    <row r="128" spans="1:8">
      <c r="A128">
        <v>11111615</v>
      </c>
      <c r="B128" t="s">
        <v>223</v>
      </c>
      <c r="C128" t="s">
        <v>975</v>
      </c>
      <c r="D128" t="s">
        <v>1492</v>
      </c>
      <c r="E128" t="s">
        <v>3958</v>
      </c>
      <c r="F128" t="s">
        <v>3954</v>
      </c>
      <c r="G128" t="s">
        <v>3955</v>
      </c>
      <c r="H128" t="s">
        <v>4284</v>
      </c>
    </row>
    <row r="129" spans="1:8">
      <c r="A129">
        <v>11111616</v>
      </c>
      <c r="B129" t="s">
        <v>224</v>
      </c>
      <c r="C129" t="s">
        <v>1163</v>
      </c>
      <c r="D129" t="s">
        <v>1600</v>
      </c>
      <c r="E129" t="s">
        <v>4027</v>
      </c>
      <c r="F129" t="s">
        <v>3954</v>
      </c>
      <c r="G129" t="s">
        <v>3955</v>
      </c>
      <c r="H129" t="s">
        <v>4284</v>
      </c>
    </row>
    <row r="130" spans="1:8">
      <c r="A130">
        <v>11111617</v>
      </c>
      <c r="B130" t="s">
        <v>225</v>
      </c>
      <c r="C130" t="s">
        <v>1164</v>
      </c>
      <c r="D130" t="s">
        <v>1600</v>
      </c>
      <c r="E130" t="s">
        <v>4027</v>
      </c>
      <c r="F130" t="s">
        <v>3954</v>
      </c>
      <c r="G130" t="s">
        <v>3955</v>
      </c>
      <c r="H130" t="s">
        <v>4284</v>
      </c>
    </row>
    <row r="131" spans="1:8">
      <c r="A131">
        <v>11111618</v>
      </c>
      <c r="B131" t="s">
        <v>226</v>
      </c>
      <c r="C131" t="s">
        <v>1165</v>
      </c>
      <c r="D131" t="s">
        <v>1602</v>
      </c>
      <c r="E131" t="s">
        <v>4028</v>
      </c>
      <c r="F131" t="s">
        <v>3954</v>
      </c>
      <c r="G131" t="s">
        <v>3955</v>
      </c>
      <c r="H131" t="s">
        <v>4284</v>
      </c>
    </row>
    <row r="132" spans="1:8">
      <c r="A132">
        <v>11111619</v>
      </c>
      <c r="B132" t="s">
        <v>227</v>
      </c>
      <c r="C132" t="s">
        <v>1166</v>
      </c>
      <c r="D132" t="s">
        <v>1602</v>
      </c>
      <c r="E132" t="s">
        <v>4028</v>
      </c>
      <c r="F132" t="s">
        <v>3954</v>
      </c>
      <c r="G132" t="s">
        <v>3955</v>
      </c>
      <c r="H132" t="s">
        <v>4284</v>
      </c>
    </row>
    <row r="133" spans="1:8">
      <c r="A133">
        <v>11111620</v>
      </c>
      <c r="B133" t="s">
        <v>228</v>
      </c>
      <c r="C133" t="s">
        <v>1167</v>
      </c>
      <c r="D133" t="s">
        <v>1604</v>
      </c>
      <c r="E133" t="s">
        <v>4029</v>
      </c>
      <c r="F133" t="s">
        <v>3954</v>
      </c>
      <c r="G133" t="s">
        <v>3955</v>
      </c>
      <c r="H133" t="s">
        <v>4284</v>
      </c>
    </row>
    <row r="134" spans="1:8">
      <c r="A134">
        <v>11111621</v>
      </c>
      <c r="B134" t="s">
        <v>229</v>
      </c>
      <c r="C134" t="s">
        <v>1168</v>
      </c>
      <c r="D134" t="s">
        <v>1604</v>
      </c>
      <c r="E134" t="s">
        <v>4029</v>
      </c>
      <c r="F134" t="s">
        <v>3954</v>
      </c>
      <c r="G134" t="s">
        <v>3955</v>
      </c>
      <c r="H134" t="s">
        <v>4284</v>
      </c>
    </row>
    <row r="135" spans="1:8">
      <c r="A135">
        <v>11111622</v>
      </c>
      <c r="B135" t="s">
        <v>230</v>
      </c>
      <c r="C135" t="s">
        <v>1169</v>
      </c>
      <c r="D135" t="s">
        <v>1604</v>
      </c>
      <c r="E135" t="s">
        <v>4029</v>
      </c>
      <c r="F135" t="s">
        <v>3954</v>
      </c>
      <c r="G135" t="s">
        <v>3955</v>
      </c>
      <c r="H135" t="s">
        <v>4284</v>
      </c>
    </row>
    <row r="136" spans="1:8">
      <c r="A136">
        <v>11111624</v>
      </c>
      <c r="B136" t="s">
        <v>231</v>
      </c>
      <c r="C136" t="s">
        <v>1170</v>
      </c>
      <c r="D136" t="s">
        <v>1606</v>
      </c>
      <c r="E136" t="s">
        <v>4030</v>
      </c>
      <c r="F136" t="s">
        <v>3954</v>
      </c>
      <c r="G136" t="s">
        <v>3955</v>
      </c>
      <c r="H136" t="s">
        <v>4284</v>
      </c>
    </row>
    <row r="137" spans="1:8">
      <c r="A137">
        <v>11111625</v>
      </c>
      <c r="B137" t="s">
        <v>232</v>
      </c>
      <c r="C137" t="s">
        <v>1171</v>
      </c>
      <c r="D137" t="s">
        <v>1606</v>
      </c>
      <c r="E137" t="s">
        <v>4030</v>
      </c>
      <c r="F137" t="s">
        <v>3954</v>
      </c>
      <c r="G137" t="s">
        <v>3955</v>
      </c>
      <c r="H137" t="s">
        <v>4284</v>
      </c>
    </row>
    <row r="138" spans="1:8">
      <c r="A138">
        <v>11111626</v>
      </c>
      <c r="B138" t="s">
        <v>233</v>
      </c>
      <c r="C138" t="s">
        <v>1172</v>
      </c>
      <c r="D138" t="s">
        <v>1606</v>
      </c>
      <c r="E138" t="s">
        <v>4030</v>
      </c>
      <c r="F138" t="s">
        <v>3954</v>
      </c>
      <c r="G138" t="s">
        <v>3955</v>
      </c>
      <c r="H138" t="s">
        <v>4284</v>
      </c>
    </row>
    <row r="139" spans="1:8">
      <c r="A139">
        <v>11112452</v>
      </c>
      <c r="B139" t="s">
        <v>234</v>
      </c>
      <c r="C139" t="s">
        <v>1156</v>
      </c>
      <c r="D139" t="s">
        <v>1608</v>
      </c>
      <c r="E139" t="s">
        <v>4031</v>
      </c>
      <c r="F139" t="s">
        <v>3954</v>
      </c>
      <c r="G139" t="s">
        <v>3955</v>
      </c>
      <c r="H139" t="s">
        <v>4284</v>
      </c>
    </row>
    <row r="140" spans="1:8">
      <c r="A140">
        <v>11112453</v>
      </c>
      <c r="B140" t="s">
        <v>235</v>
      </c>
      <c r="C140" t="s">
        <v>1157</v>
      </c>
      <c r="D140" t="s">
        <v>1608</v>
      </c>
      <c r="E140" t="s">
        <v>4031</v>
      </c>
      <c r="F140" t="s">
        <v>3954</v>
      </c>
      <c r="G140" t="s">
        <v>3955</v>
      </c>
      <c r="H140" t="s">
        <v>4284</v>
      </c>
    </row>
    <row r="141" spans="1:8">
      <c r="A141">
        <v>11112454</v>
      </c>
      <c r="B141" t="s">
        <v>236</v>
      </c>
      <c r="C141" t="s">
        <v>1158</v>
      </c>
      <c r="D141" t="s">
        <v>1608</v>
      </c>
      <c r="E141" t="s">
        <v>4031</v>
      </c>
      <c r="F141" t="s">
        <v>3954</v>
      </c>
      <c r="G141" t="s">
        <v>3955</v>
      </c>
      <c r="H141" t="s">
        <v>4284</v>
      </c>
    </row>
    <row r="142" spans="1:8">
      <c r="A142">
        <v>11112455</v>
      </c>
      <c r="B142" t="s">
        <v>237</v>
      </c>
      <c r="C142" t="s">
        <v>1159</v>
      </c>
      <c r="D142" t="s">
        <v>1608</v>
      </c>
      <c r="E142" t="s">
        <v>4031</v>
      </c>
      <c r="F142" t="s">
        <v>3954</v>
      </c>
      <c r="G142" t="s">
        <v>3955</v>
      </c>
      <c r="H142" t="s">
        <v>4284</v>
      </c>
    </row>
    <row r="143" spans="1:8">
      <c r="A143">
        <v>11112456</v>
      </c>
      <c r="B143" t="s">
        <v>238</v>
      </c>
      <c r="C143" t="s">
        <v>1160</v>
      </c>
      <c r="D143" t="s">
        <v>1608</v>
      </c>
      <c r="E143" t="s">
        <v>4031</v>
      </c>
      <c r="F143" t="s">
        <v>3954</v>
      </c>
      <c r="G143" t="s">
        <v>3955</v>
      </c>
      <c r="H143" t="s">
        <v>4284</v>
      </c>
    </row>
    <row r="144" spans="1:8">
      <c r="A144">
        <v>11112457</v>
      </c>
      <c r="B144" t="s">
        <v>239</v>
      </c>
      <c r="C144" t="s">
        <v>1161</v>
      </c>
      <c r="D144" t="s">
        <v>1608</v>
      </c>
      <c r="E144" t="s">
        <v>4031</v>
      </c>
      <c r="F144" t="s">
        <v>3954</v>
      </c>
      <c r="G144" t="s">
        <v>3955</v>
      </c>
      <c r="H144" t="s">
        <v>4284</v>
      </c>
    </row>
    <row r="145" spans="1:8">
      <c r="A145">
        <v>11110152</v>
      </c>
      <c r="B145" t="s">
        <v>240</v>
      </c>
      <c r="C145" t="s">
        <v>1173</v>
      </c>
      <c r="D145" t="s">
        <v>1610</v>
      </c>
      <c r="E145" t="s">
        <v>4032</v>
      </c>
      <c r="F145" t="s">
        <v>4003</v>
      </c>
      <c r="G145" t="s">
        <v>4004</v>
      </c>
      <c r="H145" t="s">
        <v>4284</v>
      </c>
    </row>
    <row r="146" spans="1:8">
      <c r="A146">
        <v>11110153</v>
      </c>
      <c r="B146" t="s">
        <v>241</v>
      </c>
      <c r="C146" t="s">
        <v>1174</v>
      </c>
      <c r="D146" t="s">
        <v>1610</v>
      </c>
      <c r="E146" t="s">
        <v>4032</v>
      </c>
      <c r="F146" t="s">
        <v>4003</v>
      </c>
      <c r="G146" t="s">
        <v>4004</v>
      </c>
      <c r="H146" t="s">
        <v>4284</v>
      </c>
    </row>
    <row r="147" spans="1:8">
      <c r="A147">
        <v>11110150</v>
      </c>
      <c r="B147" t="s">
        <v>242</v>
      </c>
      <c r="C147" t="s">
        <v>1175</v>
      </c>
      <c r="D147" t="s">
        <v>1610</v>
      </c>
      <c r="E147" t="s">
        <v>4032</v>
      </c>
      <c r="F147" t="s">
        <v>4003</v>
      </c>
      <c r="G147" t="s">
        <v>4004</v>
      </c>
      <c r="H147" t="s">
        <v>4284</v>
      </c>
    </row>
    <row r="148" spans="1:8">
      <c r="A148">
        <v>11110151</v>
      </c>
      <c r="B148" t="s">
        <v>243</v>
      </c>
      <c r="C148" t="s">
        <v>1176</v>
      </c>
      <c r="D148" t="s">
        <v>1610</v>
      </c>
      <c r="E148" t="s">
        <v>4032</v>
      </c>
      <c r="F148" t="s">
        <v>4003</v>
      </c>
      <c r="G148" t="s">
        <v>4004</v>
      </c>
      <c r="H148" t="s">
        <v>4284</v>
      </c>
    </row>
    <row r="149" spans="1:8">
      <c r="A149">
        <v>11110137</v>
      </c>
      <c r="B149" t="s">
        <v>244</v>
      </c>
      <c r="C149" t="s">
        <v>1038</v>
      </c>
      <c r="D149" t="s">
        <v>1612</v>
      </c>
      <c r="E149" t="s">
        <v>4033</v>
      </c>
      <c r="F149" t="s">
        <v>4024</v>
      </c>
      <c r="G149" t="s">
        <v>4025</v>
      </c>
      <c r="H149" t="s">
        <v>4284</v>
      </c>
    </row>
    <row r="150" spans="1:8">
      <c r="A150">
        <v>11110139</v>
      </c>
      <c r="B150" t="s">
        <v>245</v>
      </c>
      <c r="C150" t="s">
        <v>1141</v>
      </c>
      <c r="D150" t="s">
        <v>1612</v>
      </c>
      <c r="E150" t="s">
        <v>4033</v>
      </c>
      <c r="F150" t="s">
        <v>4024</v>
      </c>
      <c r="G150" t="s">
        <v>4025</v>
      </c>
      <c r="H150" t="s">
        <v>4284</v>
      </c>
    </row>
    <row r="151" spans="1:8">
      <c r="A151">
        <v>11110143</v>
      </c>
      <c r="B151" t="s">
        <v>246</v>
      </c>
      <c r="C151" t="s">
        <v>1043</v>
      </c>
      <c r="D151" t="s">
        <v>1614</v>
      </c>
      <c r="E151" t="s">
        <v>4034</v>
      </c>
      <c r="F151" t="s">
        <v>3947</v>
      </c>
      <c r="G151" t="s">
        <v>3948</v>
      </c>
      <c r="H151" t="s">
        <v>4284</v>
      </c>
    </row>
    <row r="152" spans="1:8">
      <c r="A152">
        <v>11110145</v>
      </c>
      <c r="B152" t="s">
        <v>247</v>
      </c>
      <c r="C152" t="s">
        <v>1142</v>
      </c>
      <c r="D152" t="s">
        <v>1614</v>
      </c>
      <c r="E152" t="s">
        <v>4034</v>
      </c>
      <c r="F152" t="s">
        <v>3947</v>
      </c>
      <c r="G152" t="s">
        <v>3948</v>
      </c>
      <c r="H152" t="s">
        <v>4284</v>
      </c>
    </row>
    <row r="153" spans="1:8">
      <c r="A153">
        <v>11110638</v>
      </c>
      <c r="B153" t="s">
        <v>248</v>
      </c>
      <c r="C153" t="s">
        <v>1081</v>
      </c>
      <c r="D153" t="s">
        <v>1616</v>
      </c>
      <c r="E153" t="s">
        <v>4035</v>
      </c>
      <c r="F153" t="s">
        <v>3947</v>
      </c>
      <c r="G153" t="s">
        <v>3948</v>
      </c>
      <c r="H153" t="s">
        <v>4284</v>
      </c>
    </row>
    <row r="154" spans="1:8">
      <c r="A154">
        <v>11111688</v>
      </c>
      <c r="B154" t="s">
        <v>249</v>
      </c>
      <c r="C154" t="s">
        <v>1057</v>
      </c>
      <c r="D154" t="s">
        <v>1618</v>
      </c>
      <c r="E154" t="s">
        <v>4036</v>
      </c>
      <c r="F154" t="s">
        <v>3981</v>
      </c>
      <c r="G154" t="s">
        <v>3982</v>
      </c>
      <c r="H154" t="s">
        <v>4284</v>
      </c>
    </row>
    <row r="155" spans="1:8">
      <c r="A155">
        <v>11111689</v>
      </c>
      <c r="B155" t="s">
        <v>250</v>
      </c>
      <c r="C155" t="s">
        <v>1058</v>
      </c>
      <c r="D155" t="s">
        <v>1618</v>
      </c>
      <c r="E155" t="s">
        <v>4036</v>
      </c>
      <c r="F155" t="s">
        <v>3983</v>
      </c>
      <c r="G155" t="s">
        <v>3984</v>
      </c>
      <c r="H155" t="s">
        <v>4284</v>
      </c>
    </row>
    <row r="156" spans="1:8">
      <c r="A156">
        <v>11111690</v>
      </c>
      <c r="B156" t="s">
        <v>251</v>
      </c>
      <c r="C156" t="s">
        <v>1059</v>
      </c>
      <c r="D156" t="s">
        <v>1618</v>
      </c>
      <c r="E156" t="s">
        <v>4036</v>
      </c>
      <c r="F156" t="s">
        <v>3985</v>
      </c>
      <c r="G156" t="s">
        <v>3986</v>
      </c>
      <c r="H156" t="s">
        <v>4284</v>
      </c>
    </row>
    <row r="157" spans="1:8">
      <c r="A157">
        <v>11111691</v>
      </c>
      <c r="B157" t="s">
        <v>252</v>
      </c>
      <c r="C157" t="s">
        <v>1056</v>
      </c>
      <c r="D157" t="s">
        <v>1620</v>
      </c>
      <c r="E157" t="s">
        <v>4037</v>
      </c>
      <c r="F157" t="s">
        <v>3977</v>
      </c>
      <c r="G157" t="s">
        <v>3978</v>
      </c>
      <c r="H157" t="s">
        <v>4284</v>
      </c>
    </row>
    <row r="158" spans="1:8">
      <c r="A158">
        <v>11111692</v>
      </c>
      <c r="B158" t="s">
        <v>253</v>
      </c>
      <c r="C158" t="s">
        <v>1055</v>
      </c>
      <c r="D158" t="s">
        <v>1622</v>
      </c>
      <c r="E158" t="s">
        <v>4038</v>
      </c>
      <c r="F158" t="s">
        <v>4021</v>
      </c>
      <c r="G158" t="s">
        <v>4022</v>
      </c>
      <c r="H158" t="s">
        <v>4284</v>
      </c>
    </row>
    <row r="159" spans="1:8">
      <c r="A159">
        <v>11111693</v>
      </c>
      <c r="B159" t="s">
        <v>254</v>
      </c>
      <c r="C159" t="s">
        <v>1178</v>
      </c>
      <c r="D159" t="s">
        <v>1622</v>
      </c>
      <c r="E159" t="s">
        <v>4038</v>
      </c>
      <c r="F159" t="s">
        <v>4021</v>
      </c>
      <c r="G159" t="s">
        <v>4022</v>
      </c>
      <c r="H159" t="s">
        <v>4284</v>
      </c>
    </row>
    <row r="160" spans="1:8">
      <c r="A160">
        <v>11111694</v>
      </c>
      <c r="B160" t="s">
        <v>255</v>
      </c>
      <c r="C160" t="s">
        <v>1033</v>
      </c>
      <c r="D160" t="s">
        <v>1622</v>
      </c>
      <c r="E160" t="s">
        <v>4038</v>
      </c>
      <c r="F160" t="s">
        <v>4021</v>
      </c>
      <c r="G160" t="s">
        <v>4022</v>
      </c>
      <c r="H160" t="s">
        <v>4284</v>
      </c>
    </row>
    <row r="161" spans="1:8">
      <c r="A161">
        <v>11111696</v>
      </c>
      <c r="B161" t="s">
        <v>256</v>
      </c>
      <c r="C161" t="s">
        <v>1035</v>
      </c>
      <c r="D161" t="s">
        <v>1620</v>
      </c>
      <c r="E161" t="s">
        <v>4037</v>
      </c>
      <c r="F161" t="s">
        <v>3977</v>
      </c>
      <c r="G161" t="s">
        <v>3978</v>
      </c>
      <c r="H161" t="s">
        <v>4284</v>
      </c>
    </row>
    <row r="162" spans="1:8">
      <c r="A162">
        <v>11111697</v>
      </c>
      <c r="B162" t="s">
        <v>257</v>
      </c>
      <c r="C162" t="s">
        <v>1112</v>
      </c>
      <c r="D162" t="s">
        <v>1620</v>
      </c>
      <c r="E162" t="s">
        <v>4037</v>
      </c>
      <c r="F162" t="s">
        <v>3977</v>
      </c>
      <c r="G162" t="s">
        <v>3978</v>
      </c>
      <c r="H162" t="s">
        <v>4284</v>
      </c>
    </row>
    <row r="163" spans="1:8">
      <c r="A163">
        <v>11111698</v>
      </c>
      <c r="B163" t="s">
        <v>258</v>
      </c>
      <c r="C163" t="s">
        <v>1036</v>
      </c>
      <c r="D163" t="s">
        <v>1620</v>
      </c>
      <c r="E163" t="s">
        <v>4037</v>
      </c>
      <c r="F163" t="s">
        <v>3977</v>
      </c>
      <c r="G163" t="s">
        <v>3978</v>
      </c>
      <c r="H163" t="s">
        <v>4284</v>
      </c>
    </row>
    <row r="164" spans="1:8">
      <c r="A164">
        <v>11111699</v>
      </c>
      <c r="B164" t="s">
        <v>259</v>
      </c>
      <c r="C164" t="s">
        <v>1026</v>
      </c>
      <c r="D164" t="s">
        <v>1624</v>
      </c>
      <c r="E164" t="s">
        <v>4039</v>
      </c>
      <c r="F164" t="s">
        <v>3981</v>
      </c>
      <c r="G164" t="s">
        <v>3982</v>
      </c>
      <c r="H164" t="s">
        <v>4284</v>
      </c>
    </row>
    <row r="165" spans="1:8">
      <c r="A165">
        <v>11111700</v>
      </c>
      <c r="B165" t="s">
        <v>260</v>
      </c>
      <c r="C165" t="s">
        <v>1179</v>
      </c>
      <c r="D165" t="s">
        <v>1624</v>
      </c>
      <c r="E165" t="s">
        <v>4039</v>
      </c>
      <c r="F165" t="s">
        <v>3981</v>
      </c>
      <c r="G165" t="s">
        <v>3982</v>
      </c>
      <c r="H165" t="s">
        <v>4284</v>
      </c>
    </row>
    <row r="166" spans="1:8">
      <c r="A166">
        <v>11111701</v>
      </c>
      <c r="B166" t="s">
        <v>261</v>
      </c>
      <c r="C166" t="s">
        <v>1180</v>
      </c>
      <c r="D166" t="s">
        <v>1624</v>
      </c>
      <c r="E166" t="s">
        <v>4039</v>
      </c>
      <c r="F166" t="s">
        <v>3983</v>
      </c>
      <c r="G166" t="s">
        <v>3984</v>
      </c>
      <c r="H166" t="s">
        <v>4284</v>
      </c>
    </row>
    <row r="167" spans="1:8">
      <c r="A167">
        <v>11111734</v>
      </c>
      <c r="B167" t="s">
        <v>262</v>
      </c>
      <c r="C167" t="s">
        <v>1181</v>
      </c>
      <c r="D167" t="s">
        <v>1626</v>
      </c>
      <c r="E167" t="s">
        <v>4040</v>
      </c>
      <c r="F167" t="s">
        <v>3981</v>
      </c>
      <c r="G167" t="s">
        <v>3982</v>
      </c>
      <c r="H167" t="s">
        <v>4284</v>
      </c>
    </row>
    <row r="168" spans="1:8">
      <c r="A168">
        <v>11111735</v>
      </c>
      <c r="B168" t="s">
        <v>263</v>
      </c>
      <c r="C168" t="s">
        <v>1182</v>
      </c>
      <c r="D168" t="s">
        <v>1626</v>
      </c>
      <c r="E168" t="s">
        <v>4040</v>
      </c>
      <c r="F168" t="s">
        <v>3981</v>
      </c>
      <c r="G168" t="s">
        <v>3982</v>
      </c>
      <c r="H168" t="s">
        <v>4284</v>
      </c>
    </row>
    <row r="169" spans="1:8">
      <c r="A169">
        <v>11111736</v>
      </c>
      <c r="B169" t="s">
        <v>264</v>
      </c>
      <c r="C169" t="s">
        <v>1183</v>
      </c>
      <c r="D169" t="s">
        <v>1626</v>
      </c>
      <c r="E169" t="s">
        <v>4040</v>
      </c>
      <c r="F169" t="s">
        <v>3983</v>
      </c>
      <c r="G169" t="s">
        <v>3984</v>
      </c>
      <c r="H169" t="s">
        <v>4284</v>
      </c>
    </row>
    <row r="170" spans="1:8">
      <c r="A170">
        <v>11111737</v>
      </c>
      <c r="B170" t="s">
        <v>265</v>
      </c>
      <c r="C170" t="s">
        <v>1184</v>
      </c>
      <c r="D170" t="s">
        <v>1626</v>
      </c>
      <c r="E170" t="s">
        <v>4040</v>
      </c>
      <c r="F170" t="s">
        <v>3983</v>
      </c>
      <c r="G170" t="s">
        <v>3984</v>
      </c>
      <c r="H170" t="s">
        <v>4284</v>
      </c>
    </row>
    <row r="171" spans="1:8">
      <c r="A171">
        <v>11111738</v>
      </c>
      <c r="B171" t="s">
        <v>266</v>
      </c>
      <c r="C171" t="s">
        <v>1185</v>
      </c>
      <c r="D171" t="s">
        <v>1626</v>
      </c>
      <c r="E171" t="s">
        <v>4040</v>
      </c>
      <c r="F171" t="s">
        <v>3985</v>
      </c>
      <c r="G171" t="s">
        <v>3986</v>
      </c>
      <c r="H171" t="s">
        <v>4284</v>
      </c>
    </row>
    <row r="172" spans="1:8">
      <c r="A172">
        <v>11111739</v>
      </c>
      <c r="B172" t="s">
        <v>267</v>
      </c>
      <c r="C172" t="s">
        <v>1186</v>
      </c>
      <c r="D172" t="s">
        <v>1626</v>
      </c>
      <c r="E172" t="s">
        <v>4040</v>
      </c>
      <c r="F172" t="s">
        <v>3985</v>
      </c>
      <c r="G172" t="s">
        <v>3986</v>
      </c>
      <c r="H172" t="s">
        <v>4284</v>
      </c>
    </row>
    <row r="173" spans="1:8">
      <c r="A173">
        <v>11111807</v>
      </c>
      <c r="B173" t="s">
        <v>268</v>
      </c>
      <c r="C173" t="s">
        <v>1187</v>
      </c>
      <c r="D173" t="s">
        <v>1628</v>
      </c>
      <c r="E173" t="s">
        <v>4041</v>
      </c>
      <c r="F173" t="s">
        <v>4018</v>
      </c>
      <c r="G173" t="s">
        <v>4019</v>
      </c>
      <c r="H173" t="s">
        <v>4284</v>
      </c>
    </row>
    <row r="174" spans="1:8">
      <c r="A174">
        <v>11111808</v>
      </c>
      <c r="B174" t="s">
        <v>269</v>
      </c>
      <c r="C174" t="s">
        <v>1188</v>
      </c>
      <c r="D174" t="s">
        <v>1628</v>
      </c>
      <c r="E174" t="s">
        <v>4041</v>
      </c>
      <c r="F174" t="s">
        <v>4018</v>
      </c>
      <c r="G174" t="s">
        <v>4019</v>
      </c>
      <c r="H174" t="s">
        <v>4284</v>
      </c>
    </row>
    <row r="175" spans="1:8">
      <c r="A175">
        <v>11111809</v>
      </c>
      <c r="B175" t="s">
        <v>270</v>
      </c>
      <c r="C175" t="s">
        <v>1189</v>
      </c>
      <c r="D175" t="s">
        <v>1628</v>
      </c>
      <c r="E175" t="s">
        <v>4041</v>
      </c>
      <c r="F175" t="s">
        <v>4018</v>
      </c>
      <c r="G175" t="s">
        <v>4019</v>
      </c>
      <c r="H175" t="s">
        <v>4284</v>
      </c>
    </row>
    <row r="176" spans="1:8">
      <c r="A176">
        <v>11111810</v>
      </c>
      <c r="B176" t="s">
        <v>271</v>
      </c>
      <c r="C176" t="s">
        <v>1190</v>
      </c>
      <c r="D176" t="s">
        <v>1628</v>
      </c>
      <c r="E176" t="s">
        <v>4041</v>
      </c>
      <c r="F176" t="s">
        <v>4018</v>
      </c>
      <c r="G176" t="s">
        <v>4019</v>
      </c>
      <c r="H176" t="s">
        <v>4284</v>
      </c>
    </row>
    <row r="177" spans="1:8">
      <c r="A177">
        <v>11111811</v>
      </c>
      <c r="B177" t="s">
        <v>272</v>
      </c>
      <c r="C177" t="s">
        <v>1191</v>
      </c>
      <c r="D177" t="s">
        <v>1628</v>
      </c>
      <c r="E177" t="s">
        <v>4041</v>
      </c>
      <c r="F177" t="s">
        <v>4018</v>
      </c>
      <c r="G177" t="s">
        <v>4019</v>
      </c>
      <c r="H177" t="s">
        <v>4284</v>
      </c>
    </row>
    <row r="178" spans="1:8">
      <c r="A178">
        <v>11111812</v>
      </c>
      <c r="B178" t="s">
        <v>273</v>
      </c>
      <c r="C178" t="s">
        <v>1192</v>
      </c>
      <c r="D178" t="s">
        <v>1628</v>
      </c>
      <c r="E178" t="s">
        <v>4041</v>
      </c>
      <c r="F178" t="s">
        <v>4018</v>
      </c>
      <c r="G178" t="s">
        <v>4019</v>
      </c>
      <c r="H178" t="s">
        <v>4284</v>
      </c>
    </row>
    <row r="179" spans="1:8">
      <c r="A179">
        <v>11112172</v>
      </c>
      <c r="B179" t="s">
        <v>274</v>
      </c>
      <c r="C179" t="s">
        <v>1193</v>
      </c>
      <c r="D179" t="s">
        <v>1630</v>
      </c>
      <c r="E179" t="s">
        <v>4042</v>
      </c>
      <c r="F179" t="s">
        <v>3954</v>
      </c>
      <c r="G179" t="s">
        <v>3955</v>
      </c>
      <c r="H179" t="s">
        <v>4284</v>
      </c>
    </row>
    <row r="180" spans="1:8">
      <c r="A180">
        <v>11112173</v>
      </c>
      <c r="B180" t="s">
        <v>275</v>
      </c>
      <c r="C180" t="s">
        <v>1086</v>
      </c>
      <c r="D180" t="s">
        <v>1630</v>
      </c>
      <c r="E180" t="s">
        <v>4042</v>
      </c>
      <c r="F180" t="s">
        <v>3954</v>
      </c>
      <c r="G180" t="s">
        <v>3955</v>
      </c>
      <c r="H180" t="s">
        <v>4284</v>
      </c>
    </row>
    <row r="181" spans="1:8">
      <c r="A181">
        <v>11112831</v>
      </c>
      <c r="B181" t="s">
        <v>276</v>
      </c>
      <c r="C181" t="s">
        <v>972</v>
      </c>
      <c r="D181" t="s">
        <v>1528</v>
      </c>
      <c r="E181" t="s">
        <v>3956</v>
      </c>
      <c r="F181" t="s">
        <v>3947</v>
      </c>
      <c r="G181" t="s">
        <v>3948</v>
      </c>
      <c r="H181" t="s">
        <v>4284</v>
      </c>
    </row>
    <row r="182" spans="1:8">
      <c r="A182">
        <v>11112836</v>
      </c>
      <c r="B182" t="s">
        <v>277</v>
      </c>
      <c r="C182" t="s">
        <v>1064</v>
      </c>
      <c r="D182" t="s">
        <v>1528</v>
      </c>
      <c r="E182" t="s">
        <v>3956</v>
      </c>
      <c r="F182" t="s">
        <v>3947</v>
      </c>
      <c r="G182" t="s">
        <v>3948</v>
      </c>
      <c r="H182" t="s">
        <v>4284</v>
      </c>
    </row>
    <row r="183" spans="1:8">
      <c r="A183">
        <v>11112833</v>
      </c>
      <c r="B183" t="s">
        <v>278</v>
      </c>
      <c r="C183" t="s">
        <v>968</v>
      </c>
      <c r="D183" t="s">
        <v>1528</v>
      </c>
      <c r="E183" t="s">
        <v>3956</v>
      </c>
      <c r="F183" t="s">
        <v>3947</v>
      </c>
      <c r="G183" t="s">
        <v>3948</v>
      </c>
      <c r="H183" t="s">
        <v>4284</v>
      </c>
    </row>
    <row r="184" spans="1:8">
      <c r="A184">
        <v>11103500</v>
      </c>
      <c r="B184" t="s">
        <v>279</v>
      </c>
      <c r="C184" t="s">
        <v>1069</v>
      </c>
      <c r="D184" t="s">
        <v>1529</v>
      </c>
      <c r="E184" t="s">
        <v>3976</v>
      </c>
      <c r="F184" t="s">
        <v>3977</v>
      </c>
      <c r="G184" t="s">
        <v>3978</v>
      </c>
      <c r="H184" t="s">
        <v>4284</v>
      </c>
    </row>
    <row r="185" spans="1:8">
      <c r="A185">
        <v>11103501</v>
      </c>
      <c r="B185" t="s">
        <v>280</v>
      </c>
      <c r="C185" t="s">
        <v>1068</v>
      </c>
      <c r="D185" t="s">
        <v>1529</v>
      </c>
      <c r="E185" t="s">
        <v>3976</v>
      </c>
      <c r="F185" t="s">
        <v>3977</v>
      </c>
      <c r="G185" t="s">
        <v>3978</v>
      </c>
      <c r="H185" t="s">
        <v>4284</v>
      </c>
    </row>
    <row r="186" spans="1:8">
      <c r="A186">
        <v>11117130</v>
      </c>
      <c r="B186" t="s">
        <v>281</v>
      </c>
      <c r="C186" t="s">
        <v>994</v>
      </c>
      <c r="D186" t="s">
        <v>1632</v>
      </c>
      <c r="E186" t="s">
        <v>4043</v>
      </c>
      <c r="F186" t="s">
        <v>3990</v>
      </c>
      <c r="G186" t="s">
        <v>3991</v>
      </c>
      <c r="H186" t="s">
        <v>4284</v>
      </c>
    </row>
    <row r="187" spans="1:8">
      <c r="A187">
        <v>11117138</v>
      </c>
      <c r="B187" t="s">
        <v>282</v>
      </c>
      <c r="C187" t="s">
        <v>1093</v>
      </c>
      <c r="D187" t="s">
        <v>1634</v>
      </c>
      <c r="E187" t="s">
        <v>4044</v>
      </c>
      <c r="F187" t="s">
        <v>3992</v>
      </c>
      <c r="G187" t="s">
        <v>3993</v>
      </c>
      <c r="H187" t="s">
        <v>4284</v>
      </c>
    </row>
    <row r="188" spans="1:8">
      <c r="A188">
        <v>11117081</v>
      </c>
      <c r="B188" t="s">
        <v>283</v>
      </c>
      <c r="C188" t="s">
        <v>1139</v>
      </c>
      <c r="D188" t="s">
        <v>1636</v>
      </c>
      <c r="E188" t="s">
        <v>4045</v>
      </c>
      <c r="F188" t="s">
        <v>3954</v>
      </c>
      <c r="G188" t="s">
        <v>3955</v>
      </c>
      <c r="H188" t="s">
        <v>4284</v>
      </c>
    </row>
    <row r="189" spans="1:8">
      <c r="A189">
        <v>11117152</v>
      </c>
      <c r="B189" t="s">
        <v>284</v>
      </c>
      <c r="C189" t="s">
        <v>1156</v>
      </c>
      <c r="D189" t="s">
        <v>1638</v>
      </c>
      <c r="E189" t="s">
        <v>4046</v>
      </c>
      <c r="F189" t="s">
        <v>3954</v>
      </c>
      <c r="G189" t="s">
        <v>3955</v>
      </c>
      <c r="H189" t="s">
        <v>4284</v>
      </c>
    </row>
    <row r="190" spans="1:8">
      <c r="A190">
        <v>11117129</v>
      </c>
      <c r="B190" t="s">
        <v>285</v>
      </c>
      <c r="C190" t="s">
        <v>1116</v>
      </c>
      <c r="D190" t="s">
        <v>1640</v>
      </c>
      <c r="E190" t="s">
        <v>4047</v>
      </c>
      <c r="F190" t="s">
        <v>3951</v>
      </c>
      <c r="G190" t="s">
        <v>3952</v>
      </c>
      <c r="H190" t="s">
        <v>4284</v>
      </c>
    </row>
    <row r="191" spans="1:8">
      <c r="A191">
        <v>11117131</v>
      </c>
      <c r="B191" t="s">
        <v>286</v>
      </c>
      <c r="C191" t="s">
        <v>995</v>
      </c>
      <c r="D191" t="s">
        <v>1632</v>
      </c>
      <c r="E191" t="s">
        <v>4043</v>
      </c>
      <c r="F191" t="s">
        <v>3990</v>
      </c>
      <c r="G191" t="s">
        <v>3991</v>
      </c>
      <c r="H191" t="s">
        <v>4284</v>
      </c>
    </row>
    <row r="192" spans="1:8">
      <c r="A192">
        <v>11117132</v>
      </c>
      <c r="B192" t="s">
        <v>287</v>
      </c>
      <c r="C192" t="s">
        <v>988</v>
      </c>
      <c r="D192" t="s">
        <v>1632</v>
      </c>
      <c r="E192" t="s">
        <v>4043</v>
      </c>
      <c r="F192" t="s">
        <v>3990</v>
      </c>
      <c r="G192" t="s">
        <v>3991</v>
      </c>
      <c r="H192" t="s">
        <v>4284</v>
      </c>
    </row>
    <row r="193" spans="1:8">
      <c r="A193">
        <v>11117133</v>
      </c>
      <c r="B193" t="s">
        <v>288</v>
      </c>
      <c r="C193" t="s">
        <v>993</v>
      </c>
      <c r="D193" t="s">
        <v>1632</v>
      </c>
      <c r="E193" t="s">
        <v>4043</v>
      </c>
      <c r="F193" t="s">
        <v>3990</v>
      </c>
      <c r="G193" t="s">
        <v>3991</v>
      </c>
      <c r="H193" t="s">
        <v>4284</v>
      </c>
    </row>
    <row r="194" spans="1:8">
      <c r="A194">
        <v>11117134</v>
      </c>
      <c r="B194" t="s">
        <v>289</v>
      </c>
      <c r="C194" t="s">
        <v>989</v>
      </c>
      <c r="D194" t="s">
        <v>1632</v>
      </c>
      <c r="E194" t="s">
        <v>4043</v>
      </c>
      <c r="F194" t="s">
        <v>3990</v>
      </c>
      <c r="G194" t="s">
        <v>3991</v>
      </c>
      <c r="H194" t="s">
        <v>4284</v>
      </c>
    </row>
    <row r="195" spans="1:8">
      <c r="A195">
        <v>11117135</v>
      </c>
      <c r="B195" t="s">
        <v>290</v>
      </c>
      <c r="C195" t="s">
        <v>991</v>
      </c>
      <c r="D195" t="s">
        <v>1632</v>
      </c>
      <c r="E195" t="s">
        <v>4043</v>
      </c>
      <c r="F195" t="s">
        <v>3990</v>
      </c>
      <c r="G195" t="s">
        <v>3991</v>
      </c>
      <c r="H195" t="s">
        <v>4284</v>
      </c>
    </row>
    <row r="196" spans="1:8">
      <c r="A196">
        <v>11117136</v>
      </c>
      <c r="B196" t="s">
        <v>291</v>
      </c>
      <c r="C196" t="s">
        <v>982</v>
      </c>
      <c r="D196" t="s">
        <v>1632</v>
      </c>
      <c r="E196" t="s">
        <v>4043</v>
      </c>
      <c r="F196" t="s">
        <v>3990</v>
      </c>
      <c r="G196" t="s">
        <v>3991</v>
      </c>
      <c r="H196" t="s">
        <v>4284</v>
      </c>
    </row>
    <row r="197" spans="1:8">
      <c r="A197">
        <v>11117137</v>
      </c>
      <c r="B197" t="s">
        <v>292</v>
      </c>
      <c r="C197" t="s">
        <v>992</v>
      </c>
      <c r="D197" t="s">
        <v>1632</v>
      </c>
      <c r="E197" t="s">
        <v>4043</v>
      </c>
      <c r="F197" t="s">
        <v>3990</v>
      </c>
      <c r="G197" t="s">
        <v>3991</v>
      </c>
      <c r="H197" t="s">
        <v>4284</v>
      </c>
    </row>
    <row r="198" spans="1:8">
      <c r="A198">
        <v>11117139</v>
      </c>
      <c r="B198" t="s">
        <v>293</v>
      </c>
      <c r="C198" t="s">
        <v>1094</v>
      </c>
      <c r="D198" t="s">
        <v>1634</v>
      </c>
      <c r="E198" t="s">
        <v>4044</v>
      </c>
      <c r="F198" t="s">
        <v>3992</v>
      </c>
      <c r="G198" t="s">
        <v>3993</v>
      </c>
      <c r="H198" t="s">
        <v>4284</v>
      </c>
    </row>
    <row r="199" spans="1:8">
      <c r="A199">
        <v>11117140</v>
      </c>
      <c r="B199" t="s">
        <v>294</v>
      </c>
      <c r="C199" t="s">
        <v>987</v>
      </c>
      <c r="D199" t="s">
        <v>1634</v>
      </c>
      <c r="E199" t="s">
        <v>4044</v>
      </c>
      <c r="F199" t="s">
        <v>3992</v>
      </c>
      <c r="G199" t="s">
        <v>3993</v>
      </c>
      <c r="H199" t="s">
        <v>4284</v>
      </c>
    </row>
    <row r="200" spans="1:8">
      <c r="A200">
        <v>11117141</v>
      </c>
      <c r="B200" t="s">
        <v>295</v>
      </c>
      <c r="C200" t="s">
        <v>998</v>
      </c>
      <c r="D200" t="s">
        <v>1634</v>
      </c>
      <c r="E200" t="s">
        <v>4044</v>
      </c>
      <c r="F200" t="s">
        <v>3992</v>
      </c>
      <c r="G200" t="s">
        <v>3993</v>
      </c>
      <c r="H200" t="s">
        <v>4284</v>
      </c>
    </row>
    <row r="201" spans="1:8">
      <c r="A201">
        <v>11117142</v>
      </c>
      <c r="B201" t="s">
        <v>296</v>
      </c>
      <c r="C201" t="s">
        <v>996</v>
      </c>
      <c r="D201" t="s">
        <v>1634</v>
      </c>
      <c r="E201" t="s">
        <v>4044</v>
      </c>
      <c r="F201" t="s">
        <v>3992</v>
      </c>
      <c r="G201" t="s">
        <v>3993</v>
      </c>
      <c r="H201" t="s">
        <v>4284</v>
      </c>
    </row>
    <row r="202" spans="1:8">
      <c r="A202">
        <v>11117143</v>
      </c>
      <c r="B202" t="s">
        <v>297</v>
      </c>
      <c r="C202" t="s">
        <v>997</v>
      </c>
      <c r="D202" t="s">
        <v>1634</v>
      </c>
      <c r="E202" t="s">
        <v>4044</v>
      </c>
      <c r="F202" t="s">
        <v>3992</v>
      </c>
      <c r="G202" t="s">
        <v>3993</v>
      </c>
      <c r="H202" t="s">
        <v>4284</v>
      </c>
    </row>
    <row r="203" spans="1:8">
      <c r="A203">
        <v>11117144</v>
      </c>
      <c r="B203" t="s">
        <v>298</v>
      </c>
      <c r="C203" t="s">
        <v>979</v>
      </c>
      <c r="D203" t="s">
        <v>1634</v>
      </c>
      <c r="E203" t="s">
        <v>4044</v>
      </c>
      <c r="F203" t="s">
        <v>3992</v>
      </c>
      <c r="G203" t="s">
        <v>3993</v>
      </c>
      <c r="H203" t="s">
        <v>4284</v>
      </c>
    </row>
    <row r="204" spans="1:8">
      <c r="A204">
        <v>11117145</v>
      </c>
      <c r="B204" t="s">
        <v>299</v>
      </c>
      <c r="C204" t="s">
        <v>980</v>
      </c>
      <c r="D204" t="s">
        <v>1634</v>
      </c>
      <c r="E204" t="s">
        <v>4044</v>
      </c>
      <c r="F204" t="s">
        <v>3992</v>
      </c>
      <c r="G204" t="s">
        <v>3993</v>
      </c>
      <c r="H204" t="s">
        <v>4284</v>
      </c>
    </row>
    <row r="205" spans="1:8">
      <c r="A205">
        <v>11117146</v>
      </c>
      <c r="B205" t="s">
        <v>300</v>
      </c>
      <c r="C205" t="s">
        <v>1204</v>
      </c>
      <c r="D205" t="s">
        <v>1642</v>
      </c>
      <c r="E205" t="s">
        <v>4048</v>
      </c>
      <c r="F205" t="s">
        <v>4000</v>
      </c>
      <c r="G205" t="s">
        <v>4001</v>
      </c>
      <c r="H205" t="s">
        <v>4284</v>
      </c>
    </row>
    <row r="206" spans="1:8">
      <c r="A206">
        <v>11117147</v>
      </c>
      <c r="B206" t="s">
        <v>301</v>
      </c>
      <c r="C206" t="s">
        <v>1205</v>
      </c>
      <c r="D206" t="s">
        <v>1642</v>
      </c>
      <c r="E206" t="s">
        <v>4048</v>
      </c>
      <c r="F206" t="s">
        <v>4000</v>
      </c>
      <c r="G206" t="s">
        <v>4001</v>
      </c>
      <c r="H206" t="s">
        <v>4284</v>
      </c>
    </row>
    <row r="207" spans="1:8">
      <c r="A207">
        <v>11117148</v>
      </c>
      <c r="B207" t="s">
        <v>302</v>
      </c>
      <c r="C207" t="s">
        <v>965</v>
      </c>
      <c r="D207" t="s">
        <v>1642</v>
      </c>
      <c r="E207" t="s">
        <v>4048</v>
      </c>
      <c r="F207" t="s">
        <v>4000</v>
      </c>
      <c r="G207" t="s">
        <v>4001</v>
      </c>
      <c r="H207" t="s">
        <v>4284</v>
      </c>
    </row>
    <row r="208" spans="1:8">
      <c r="A208" s="69">
        <v>11117149</v>
      </c>
      <c r="B208" s="69" t="s">
        <v>303</v>
      </c>
      <c r="C208" s="69" t="s">
        <v>1206</v>
      </c>
      <c r="D208" s="69" t="s">
        <v>1642</v>
      </c>
      <c r="E208" s="69" t="s">
        <v>4048</v>
      </c>
      <c r="F208" s="69" t="s">
        <v>4000</v>
      </c>
      <c r="G208" s="69" t="s">
        <v>4001</v>
      </c>
      <c r="H208" t="s">
        <v>4284</v>
      </c>
    </row>
    <row r="209" spans="1:8">
      <c r="A209">
        <v>11117150</v>
      </c>
      <c r="B209" t="s">
        <v>304</v>
      </c>
      <c r="C209" t="s">
        <v>977</v>
      </c>
      <c r="D209" t="s">
        <v>1642</v>
      </c>
      <c r="E209" t="s">
        <v>4048</v>
      </c>
      <c r="F209" t="s">
        <v>4000</v>
      </c>
      <c r="G209" t="s">
        <v>4001</v>
      </c>
      <c r="H209" t="s">
        <v>4284</v>
      </c>
    </row>
    <row r="210" spans="1:8">
      <c r="A210">
        <v>11117151</v>
      </c>
      <c r="B210" t="s">
        <v>305</v>
      </c>
      <c r="C210" t="s">
        <v>976</v>
      </c>
      <c r="D210" t="s">
        <v>1642</v>
      </c>
      <c r="E210" t="s">
        <v>4048</v>
      </c>
      <c r="F210" t="s">
        <v>4000</v>
      </c>
      <c r="G210" t="s">
        <v>4001</v>
      </c>
      <c r="H210" t="s">
        <v>4284</v>
      </c>
    </row>
    <row r="211" spans="1:8">
      <c r="A211">
        <v>11117153</v>
      </c>
      <c r="B211" t="s">
        <v>306</v>
      </c>
      <c r="C211" t="s">
        <v>1157</v>
      </c>
      <c r="D211" t="s">
        <v>1638</v>
      </c>
      <c r="E211" t="s">
        <v>4046</v>
      </c>
      <c r="F211" t="s">
        <v>3954</v>
      </c>
      <c r="G211" t="s">
        <v>3955</v>
      </c>
      <c r="H211" t="s">
        <v>4284</v>
      </c>
    </row>
    <row r="212" spans="1:8">
      <c r="A212">
        <v>11117154</v>
      </c>
      <c r="B212" t="s">
        <v>307</v>
      </c>
      <c r="C212" t="s">
        <v>1158</v>
      </c>
      <c r="D212" t="s">
        <v>1638</v>
      </c>
      <c r="E212" t="s">
        <v>4046</v>
      </c>
      <c r="F212" t="s">
        <v>3954</v>
      </c>
      <c r="G212" t="s">
        <v>3955</v>
      </c>
      <c r="H212" t="s">
        <v>4284</v>
      </c>
    </row>
    <row r="213" spans="1:8">
      <c r="A213">
        <v>11117155</v>
      </c>
      <c r="B213" t="s">
        <v>308</v>
      </c>
      <c r="C213" t="s">
        <v>1159</v>
      </c>
      <c r="D213" t="s">
        <v>1638</v>
      </c>
      <c r="E213" t="s">
        <v>4046</v>
      </c>
      <c r="F213" t="s">
        <v>3954</v>
      </c>
      <c r="G213" t="s">
        <v>3955</v>
      </c>
      <c r="H213" t="s">
        <v>4284</v>
      </c>
    </row>
    <row r="214" spans="1:8">
      <c r="A214">
        <v>11117156</v>
      </c>
      <c r="B214" t="s">
        <v>309</v>
      </c>
      <c r="C214" t="s">
        <v>1160</v>
      </c>
      <c r="D214" t="s">
        <v>1638</v>
      </c>
      <c r="E214" t="s">
        <v>4046</v>
      </c>
      <c r="F214" t="s">
        <v>3954</v>
      </c>
      <c r="G214" t="s">
        <v>3955</v>
      </c>
      <c r="H214" t="s">
        <v>4284</v>
      </c>
    </row>
    <row r="215" spans="1:8">
      <c r="A215">
        <v>11117157</v>
      </c>
      <c r="B215" t="s">
        <v>310</v>
      </c>
      <c r="C215" t="s">
        <v>1161</v>
      </c>
      <c r="D215" t="s">
        <v>1638</v>
      </c>
      <c r="E215" t="s">
        <v>4046</v>
      </c>
      <c r="F215" t="s">
        <v>3954</v>
      </c>
      <c r="G215" t="s">
        <v>3955</v>
      </c>
      <c r="H215" t="s">
        <v>4284</v>
      </c>
    </row>
    <row r="216" spans="1:8">
      <c r="A216">
        <v>11117107</v>
      </c>
      <c r="B216" t="s">
        <v>311</v>
      </c>
      <c r="C216" t="s">
        <v>1054</v>
      </c>
      <c r="D216" t="s">
        <v>1644</v>
      </c>
      <c r="E216" t="s">
        <v>4049</v>
      </c>
      <c r="F216" t="s">
        <v>3954</v>
      </c>
      <c r="G216" t="s">
        <v>3955</v>
      </c>
      <c r="H216" t="s">
        <v>4284</v>
      </c>
    </row>
    <row r="217" spans="1:8">
      <c r="A217">
        <v>11117121</v>
      </c>
      <c r="B217" t="s">
        <v>2</v>
      </c>
      <c r="C217" t="s">
        <v>1108</v>
      </c>
      <c r="D217" t="s">
        <v>34</v>
      </c>
      <c r="E217" t="s">
        <v>4050</v>
      </c>
      <c r="F217" t="s">
        <v>4014</v>
      </c>
      <c r="G217" t="s">
        <v>4015</v>
      </c>
      <c r="H217" t="s">
        <v>4284</v>
      </c>
    </row>
    <row r="218" spans="1:8">
      <c r="A218">
        <v>11117122</v>
      </c>
      <c r="B218" t="s">
        <v>312</v>
      </c>
      <c r="C218" t="s">
        <v>1109</v>
      </c>
      <c r="D218" t="s">
        <v>34</v>
      </c>
      <c r="E218" t="s">
        <v>4050</v>
      </c>
      <c r="F218" t="s">
        <v>4014</v>
      </c>
      <c r="G218" t="s">
        <v>4015</v>
      </c>
      <c r="H218" t="s">
        <v>4284</v>
      </c>
    </row>
    <row r="219" spans="1:8">
      <c r="A219">
        <v>11117123</v>
      </c>
      <c r="B219" t="s">
        <v>313</v>
      </c>
      <c r="C219" t="s">
        <v>1110</v>
      </c>
      <c r="D219" t="s">
        <v>34</v>
      </c>
      <c r="E219" t="s">
        <v>4050</v>
      </c>
      <c r="F219" t="s">
        <v>4014</v>
      </c>
      <c r="G219" t="s">
        <v>4015</v>
      </c>
      <c r="H219" t="s">
        <v>4284</v>
      </c>
    </row>
    <row r="220" spans="1:8">
      <c r="A220">
        <v>11117126</v>
      </c>
      <c r="B220" t="s">
        <v>314</v>
      </c>
      <c r="C220" t="s">
        <v>1144</v>
      </c>
      <c r="D220" t="s">
        <v>1646</v>
      </c>
      <c r="E220" t="s">
        <v>4051</v>
      </c>
      <c r="F220" t="s">
        <v>4003</v>
      </c>
      <c r="G220" t="s">
        <v>4004</v>
      </c>
      <c r="H220" t="s">
        <v>4284</v>
      </c>
    </row>
    <row r="221" spans="1:8">
      <c r="A221">
        <v>11117082</v>
      </c>
      <c r="B221" t="s">
        <v>315</v>
      </c>
      <c r="C221" t="s">
        <v>1080</v>
      </c>
      <c r="D221" t="s">
        <v>1636</v>
      </c>
      <c r="E221" t="s">
        <v>4045</v>
      </c>
      <c r="F221" t="s">
        <v>3954</v>
      </c>
      <c r="G221" t="s">
        <v>3955</v>
      </c>
      <c r="H221" t="s">
        <v>4284</v>
      </c>
    </row>
    <row r="222" spans="1:8">
      <c r="A222">
        <v>11117083</v>
      </c>
      <c r="B222" t="s">
        <v>316</v>
      </c>
      <c r="C222" t="s">
        <v>1140</v>
      </c>
      <c r="D222" t="s">
        <v>1648</v>
      </c>
      <c r="E222" t="s">
        <v>4052</v>
      </c>
      <c r="F222" t="s">
        <v>3954</v>
      </c>
      <c r="G222" t="s">
        <v>3955</v>
      </c>
      <c r="H222" t="s">
        <v>4284</v>
      </c>
    </row>
    <row r="223" spans="1:8">
      <c r="A223">
        <v>11117084</v>
      </c>
      <c r="B223" t="s">
        <v>317</v>
      </c>
      <c r="C223" t="s">
        <v>1011</v>
      </c>
      <c r="D223" t="s">
        <v>1648</v>
      </c>
      <c r="E223" t="s">
        <v>4052</v>
      </c>
      <c r="F223" t="s">
        <v>3954</v>
      </c>
      <c r="G223" t="s">
        <v>3955</v>
      </c>
      <c r="H223" t="s">
        <v>4284</v>
      </c>
    </row>
    <row r="224" spans="1:8">
      <c r="A224">
        <v>11117448</v>
      </c>
      <c r="B224" t="s">
        <v>318</v>
      </c>
      <c r="C224" t="s">
        <v>1104</v>
      </c>
      <c r="D224" t="s">
        <v>1650</v>
      </c>
      <c r="E224" t="s">
        <v>4053</v>
      </c>
      <c r="F224" t="s">
        <v>3970</v>
      </c>
      <c r="G224" t="s">
        <v>3971</v>
      </c>
      <c r="H224" t="s">
        <v>4284</v>
      </c>
    </row>
    <row r="225" spans="1:8">
      <c r="A225">
        <v>11117449</v>
      </c>
      <c r="B225" t="s">
        <v>319</v>
      </c>
      <c r="C225" t="s">
        <v>1001</v>
      </c>
      <c r="D225" t="s">
        <v>1650</v>
      </c>
      <c r="E225" t="s">
        <v>4053</v>
      </c>
      <c r="F225" t="s">
        <v>3970</v>
      </c>
      <c r="G225" t="s">
        <v>3971</v>
      </c>
      <c r="H225" t="s">
        <v>4284</v>
      </c>
    </row>
    <row r="226" spans="1:8">
      <c r="A226">
        <v>11117450</v>
      </c>
      <c r="B226" t="s">
        <v>320</v>
      </c>
      <c r="C226" t="s">
        <v>1002</v>
      </c>
      <c r="D226" t="s">
        <v>1650</v>
      </c>
      <c r="E226" t="s">
        <v>4053</v>
      </c>
      <c r="F226" t="s">
        <v>3970</v>
      </c>
      <c r="G226" t="s">
        <v>3971</v>
      </c>
      <c r="H226" t="s">
        <v>4284</v>
      </c>
    </row>
    <row r="227" spans="1:8">
      <c r="A227">
        <v>11117451</v>
      </c>
      <c r="B227" t="s">
        <v>321</v>
      </c>
      <c r="C227" t="s">
        <v>999</v>
      </c>
      <c r="D227" t="s">
        <v>1650</v>
      </c>
      <c r="E227" t="s">
        <v>4053</v>
      </c>
      <c r="F227" t="s">
        <v>3970</v>
      </c>
      <c r="G227" t="s">
        <v>3971</v>
      </c>
      <c r="H227" t="s">
        <v>4284</v>
      </c>
    </row>
    <row r="228" spans="1:8">
      <c r="A228">
        <v>11117455</v>
      </c>
      <c r="B228" t="s">
        <v>322</v>
      </c>
      <c r="C228" t="s">
        <v>1005</v>
      </c>
      <c r="D228" t="s">
        <v>1652</v>
      </c>
      <c r="E228" t="s">
        <v>4054</v>
      </c>
      <c r="F228" t="s">
        <v>4055</v>
      </c>
      <c r="G228" t="s">
        <v>4056</v>
      </c>
      <c r="H228" t="s">
        <v>4284</v>
      </c>
    </row>
    <row r="229" spans="1:8">
      <c r="A229">
        <v>11117456</v>
      </c>
      <c r="B229" t="s">
        <v>323</v>
      </c>
      <c r="C229" t="s">
        <v>1006</v>
      </c>
      <c r="D229" t="s">
        <v>1652</v>
      </c>
      <c r="E229" t="s">
        <v>4054</v>
      </c>
      <c r="F229" t="s">
        <v>3947</v>
      </c>
      <c r="G229" t="s">
        <v>3948</v>
      </c>
      <c r="H229" t="s">
        <v>4284</v>
      </c>
    </row>
    <row r="230" spans="1:8">
      <c r="A230">
        <v>11117457</v>
      </c>
      <c r="B230" t="s">
        <v>324</v>
      </c>
      <c r="C230" t="s">
        <v>1007</v>
      </c>
      <c r="D230" t="s">
        <v>1652</v>
      </c>
      <c r="E230" t="s">
        <v>4054</v>
      </c>
      <c r="F230" t="s">
        <v>3947</v>
      </c>
      <c r="G230" t="s">
        <v>3948</v>
      </c>
      <c r="H230" t="s">
        <v>4284</v>
      </c>
    </row>
    <row r="231" spans="1:8">
      <c r="A231">
        <v>11117458</v>
      </c>
      <c r="B231" t="s">
        <v>325</v>
      </c>
      <c r="C231" t="s">
        <v>1008</v>
      </c>
      <c r="D231" t="s">
        <v>1652</v>
      </c>
      <c r="E231" t="s">
        <v>4054</v>
      </c>
      <c r="F231" t="s">
        <v>3947</v>
      </c>
      <c r="G231" t="s">
        <v>3948</v>
      </c>
      <c r="H231" t="s">
        <v>4284</v>
      </c>
    </row>
    <row r="232" spans="1:8">
      <c r="A232">
        <v>11117541</v>
      </c>
      <c r="B232" t="s">
        <v>326</v>
      </c>
      <c r="C232" t="s">
        <v>1138</v>
      </c>
      <c r="D232" t="s">
        <v>1656</v>
      </c>
      <c r="E232" t="s">
        <v>4057</v>
      </c>
      <c r="F232" t="s">
        <v>3954</v>
      </c>
      <c r="G232" t="s">
        <v>3955</v>
      </c>
      <c r="H232" t="s">
        <v>4284</v>
      </c>
    </row>
    <row r="233" spans="1:8">
      <c r="A233">
        <v>11117537</v>
      </c>
      <c r="B233" t="s">
        <v>327</v>
      </c>
      <c r="C233" t="s">
        <v>1085</v>
      </c>
      <c r="D233" t="s">
        <v>1658</v>
      </c>
      <c r="E233" t="s">
        <v>4058</v>
      </c>
      <c r="F233" t="s">
        <v>3954</v>
      </c>
      <c r="G233" t="s">
        <v>3955</v>
      </c>
      <c r="H233" t="s">
        <v>4284</v>
      </c>
    </row>
    <row r="234" spans="1:8">
      <c r="A234">
        <v>11117534</v>
      </c>
      <c r="B234" t="s">
        <v>328</v>
      </c>
      <c r="C234" t="s">
        <v>1203</v>
      </c>
      <c r="D234" t="s">
        <v>1660</v>
      </c>
      <c r="E234" t="s">
        <v>4059</v>
      </c>
      <c r="F234" t="s">
        <v>3954</v>
      </c>
      <c r="G234" t="s">
        <v>3955</v>
      </c>
      <c r="H234" t="s">
        <v>4284</v>
      </c>
    </row>
    <row r="235" spans="1:8">
      <c r="A235">
        <v>11117539</v>
      </c>
      <c r="B235" t="s">
        <v>329</v>
      </c>
      <c r="C235" t="s">
        <v>1137</v>
      </c>
      <c r="D235" t="s">
        <v>1656</v>
      </c>
      <c r="E235" t="s">
        <v>4057</v>
      </c>
      <c r="F235" t="s">
        <v>3954</v>
      </c>
      <c r="G235" t="s">
        <v>3955</v>
      </c>
      <c r="H235" t="s">
        <v>4284</v>
      </c>
    </row>
    <row r="236" spans="1:8">
      <c r="A236">
        <v>11117540</v>
      </c>
      <c r="B236" t="s">
        <v>330</v>
      </c>
      <c r="C236" t="s">
        <v>1021</v>
      </c>
      <c r="D236" t="s">
        <v>1656</v>
      </c>
      <c r="E236" t="s">
        <v>4057</v>
      </c>
      <c r="F236" t="s">
        <v>3954</v>
      </c>
      <c r="G236" t="s">
        <v>3955</v>
      </c>
      <c r="H236" t="s">
        <v>4284</v>
      </c>
    </row>
    <row r="237" spans="1:8">
      <c r="A237">
        <v>11117530</v>
      </c>
      <c r="B237" t="s">
        <v>331</v>
      </c>
      <c r="C237" t="s">
        <v>1208</v>
      </c>
      <c r="D237" t="s">
        <v>1662</v>
      </c>
      <c r="E237" t="s">
        <v>4060</v>
      </c>
      <c r="F237" t="s">
        <v>3954</v>
      </c>
      <c r="G237" t="s">
        <v>3955</v>
      </c>
      <c r="H237" t="s">
        <v>4284</v>
      </c>
    </row>
    <row r="238" spans="1:8">
      <c r="A238">
        <v>11117518</v>
      </c>
      <c r="B238" t="s">
        <v>332</v>
      </c>
      <c r="C238" t="s">
        <v>1060</v>
      </c>
      <c r="D238" t="s">
        <v>1664</v>
      </c>
      <c r="E238" t="s">
        <v>4061</v>
      </c>
      <c r="F238" t="s">
        <v>3954</v>
      </c>
      <c r="G238" t="s">
        <v>3955</v>
      </c>
      <c r="H238" t="s">
        <v>4284</v>
      </c>
    </row>
    <row r="239" spans="1:8">
      <c r="A239">
        <v>11117519</v>
      </c>
      <c r="B239" t="s">
        <v>333</v>
      </c>
      <c r="C239" t="s">
        <v>1023</v>
      </c>
      <c r="D239" t="s">
        <v>1664</v>
      </c>
      <c r="E239" t="s">
        <v>4061</v>
      </c>
      <c r="F239" t="s">
        <v>3954</v>
      </c>
      <c r="G239" t="s">
        <v>3955</v>
      </c>
      <c r="H239" t="s">
        <v>4284</v>
      </c>
    </row>
    <row r="240" spans="1:8">
      <c r="A240">
        <v>11117520</v>
      </c>
      <c r="B240" t="s">
        <v>334</v>
      </c>
      <c r="C240" t="s">
        <v>1209</v>
      </c>
      <c r="D240" t="s">
        <v>1664</v>
      </c>
      <c r="E240" t="s">
        <v>4061</v>
      </c>
      <c r="F240" t="s">
        <v>3954</v>
      </c>
      <c r="G240" t="s">
        <v>3955</v>
      </c>
      <c r="H240" t="s">
        <v>4284</v>
      </c>
    </row>
    <row r="241" spans="1:8">
      <c r="A241">
        <v>11117521</v>
      </c>
      <c r="B241" t="s">
        <v>335</v>
      </c>
      <c r="C241" t="s">
        <v>1210</v>
      </c>
      <c r="D241" t="s">
        <v>1664</v>
      </c>
      <c r="E241" t="s">
        <v>4061</v>
      </c>
      <c r="F241" t="s">
        <v>3954</v>
      </c>
      <c r="G241" t="s">
        <v>3955</v>
      </c>
      <c r="H241" t="s">
        <v>4284</v>
      </c>
    </row>
    <row r="242" spans="1:8">
      <c r="A242">
        <v>11117522</v>
      </c>
      <c r="B242" t="s">
        <v>336</v>
      </c>
      <c r="C242" t="s">
        <v>1211</v>
      </c>
      <c r="D242" t="s">
        <v>1664</v>
      </c>
      <c r="E242" t="s">
        <v>4061</v>
      </c>
      <c r="F242" t="s">
        <v>3954</v>
      </c>
      <c r="G242" t="s">
        <v>3955</v>
      </c>
      <c r="H242" t="s">
        <v>4284</v>
      </c>
    </row>
    <row r="243" spans="1:8">
      <c r="A243">
        <v>11117523</v>
      </c>
      <c r="B243" t="s">
        <v>337</v>
      </c>
      <c r="C243" t="s">
        <v>1212</v>
      </c>
      <c r="D243" t="s">
        <v>1664</v>
      </c>
      <c r="E243" t="s">
        <v>4061</v>
      </c>
      <c r="F243" t="s">
        <v>3954</v>
      </c>
      <c r="G243" t="s">
        <v>3955</v>
      </c>
      <c r="H243" t="s">
        <v>4284</v>
      </c>
    </row>
    <row r="244" spans="1:8">
      <c r="A244">
        <v>11117524</v>
      </c>
      <c r="B244" t="s">
        <v>338</v>
      </c>
      <c r="C244" t="s">
        <v>1066</v>
      </c>
      <c r="D244" t="s">
        <v>1662</v>
      </c>
      <c r="E244" t="s">
        <v>4060</v>
      </c>
      <c r="F244" t="s">
        <v>3954</v>
      </c>
      <c r="G244" t="s">
        <v>3955</v>
      </c>
      <c r="H244" t="s">
        <v>4284</v>
      </c>
    </row>
    <row r="245" spans="1:8">
      <c r="A245">
        <v>11117525</v>
      </c>
      <c r="B245" t="s">
        <v>339</v>
      </c>
      <c r="C245" t="s">
        <v>1087</v>
      </c>
      <c r="D245" t="s">
        <v>1662</v>
      </c>
      <c r="E245" t="s">
        <v>4060</v>
      </c>
      <c r="F245" t="s">
        <v>3954</v>
      </c>
      <c r="G245" t="s">
        <v>3955</v>
      </c>
      <c r="H245" t="s">
        <v>4284</v>
      </c>
    </row>
    <row r="246" spans="1:8">
      <c r="A246">
        <v>11117526</v>
      </c>
      <c r="B246" t="s">
        <v>340</v>
      </c>
      <c r="C246" t="s">
        <v>1024</v>
      </c>
      <c r="D246" t="s">
        <v>1662</v>
      </c>
      <c r="E246" t="s">
        <v>4060</v>
      </c>
      <c r="F246" t="s">
        <v>4062</v>
      </c>
      <c r="G246" t="s">
        <v>4063</v>
      </c>
      <c r="H246" t="s">
        <v>4284</v>
      </c>
    </row>
    <row r="247" spans="1:8">
      <c r="A247">
        <v>11117527</v>
      </c>
      <c r="B247" t="s">
        <v>341</v>
      </c>
      <c r="C247" t="s">
        <v>1025</v>
      </c>
      <c r="D247" t="s">
        <v>1662</v>
      </c>
      <c r="E247" t="s">
        <v>4060</v>
      </c>
      <c r="F247" t="s">
        <v>3954</v>
      </c>
      <c r="G247" t="s">
        <v>3955</v>
      </c>
      <c r="H247" t="s">
        <v>4284</v>
      </c>
    </row>
    <row r="248" spans="1:8">
      <c r="A248">
        <v>11117528</v>
      </c>
      <c r="B248" t="s">
        <v>342</v>
      </c>
      <c r="C248" t="s">
        <v>1213</v>
      </c>
      <c r="D248" t="s">
        <v>1662</v>
      </c>
      <c r="E248" t="s">
        <v>4060</v>
      </c>
      <c r="F248" t="s">
        <v>3954</v>
      </c>
      <c r="G248" t="s">
        <v>3955</v>
      </c>
      <c r="H248" t="s">
        <v>4284</v>
      </c>
    </row>
    <row r="249" spans="1:8">
      <c r="A249">
        <v>11117529</v>
      </c>
      <c r="B249" t="s">
        <v>343</v>
      </c>
      <c r="C249" t="s">
        <v>1214</v>
      </c>
      <c r="D249" t="s">
        <v>1662</v>
      </c>
      <c r="E249" t="s">
        <v>4060</v>
      </c>
      <c r="F249" t="s">
        <v>3954</v>
      </c>
      <c r="G249" t="s">
        <v>3955</v>
      </c>
      <c r="H249" t="s">
        <v>4284</v>
      </c>
    </row>
    <row r="250" spans="1:8">
      <c r="A250">
        <v>11117531</v>
      </c>
      <c r="B250" t="s">
        <v>344</v>
      </c>
      <c r="C250" t="s">
        <v>1215</v>
      </c>
      <c r="D250" t="s">
        <v>1662</v>
      </c>
      <c r="E250" t="s">
        <v>4060</v>
      </c>
      <c r="F250" t="s">
        <v>3954</v>
      </c>
      <c r="G250" t="s">
        <v>3955</v>
      </c>
      <c r="H250" t="s">
        <v>4284</v>
      </c>
    </row>
    <row r="251" spans="1:8">
      <c r="A251">
        <v>11117532</v>
      </c>
      <c r="B251" t="s">
        <v>345</v>
      </c>
      <c r="C251" t="s">
        <v>1216</v>
      </c>
      <c r="D251" t="s">
        <v>1668</v>
      </c>
      <c r="E251" t="s">
        <v>4064</v>
      </c>
      <c r="F251" t="s">
        <v>3954</v>
      </c>
      <c r="G251" t="s">
        <v>3955</v>
      </c>
      <c r="H251" t="s">
        <v>4284</v>
      </c>
    </row>
    <row r="252" spans="1:8">
      <c r="A252">
        <v>11117533</v>
      </c>
      <c r="B252" t="s">
        <v>346</v>
      </c>
      <c r="C252" t="s">
        <v>1030</v>
      </c>
      <c r="D252" t="s">
        <v>1668</v>
      </c>
      <c r="E252" t="s">
        <v>4064</v>
      </c>
      <c r="F252" t="s">
        <v>3954</v>
      </c>
      <c r="G252" t="s">
        <v>3955</v>
      </c>
      <c r="H252" t="s">
        <v>4284</v>
      </c>
    </row>
    <row r="253" spans="1:8">
      <c r="A253">
        <v>11117535</v>
      </c>
      <c r="B253" t="s">
        <v>347</v>
      </c>
      <c r="C253" t="s">
        <v>1020</v>
      </c>
      <c r="D253" t="s">
        <v>1660</v>
      </c>
      <c r="E253" t="s">
        <v>4059</v>
      </c>
      <c r="F253" t="s">
        <v>3954</v>
      </c>
      <c r="G253" t="s">
        <v>3955</v>
      </c>
      <c r="H253" t="s">
        <v>4284</v>
      </c>
    </row>
    <row r="254" spans="1:8">
      <c r="A254">
        <v>11117536</v>
      </c>
      <c r="B254" t="s">
        <v>348</v>
      </c>
      <c r="C254" t="s">
        <v>1084</v>
      </c>
      <c r="D254" t="s">
        <v>1660</v>
      </c>
      <c r="E254" t="s">
        <v>4059</v>
      </c>
      <c r="F254" t="s">
        <v>3954</v>
      </c>
      <c r="G254" t="s">
        <v>3955</v>
      </c>
      <c r="H254" t="s">
        <v>4284</v>
      </c>
    </row>
    <row r="255" spans="1:8">
      <c r="A255">
        <v>11117538</v>
      </c>
      <c r="B255" t="s">
        <v>349</v>
      </c>
      <c r="C255" t="s">
        <v>1086</v>
      </c>
      <c r="D255" t="s">
        <v>1658</v>
      </c>
      <c r="E255" t="s">
        <v>4058</v>
      </c>
      <c r="F255" t="s">
        <v>3954</v>
      </c>
      <c r="G255" t="s">
        <v>3955</v>
      </c>
      <c r="H255" t="s">
        <v>4284</v>
      </c>
    </row>
    <row r="256" spans="1:8">
      <c r="A256">
        <v>11117542</v>
      </c>
      <c r="B256" t="s">
        <v>350</v>
      </c>
      <c r="C256" t="s">
        <v>1022</v>
      </c>
      <c r="D256" t="s">
        <v>1656</v>
      </c>
      <c r="E256" t="s">
        <v>4057</v>
      </c>
      <c r="F256" t="s">
        <v>3954</v>
      </c>
      <c r="G256" t="s">
        <v>3955</v>
      </c>
      <c r="H256" t="s">
        <v>4284</v>
      </c>
    </row>
    <row r="257" spans="1:8">
      <c r="A257">
        <v>11118506</v>
      </c>
      <c r="B257" t="s">
        <v>351</v>
      </c>
      <c r="C257" t="s">
        <v>1217</v>
      </c>
      <c r="D257" t="s">
        <v>1670</v>
      </c>
      <c r="E257" t="s">
        <v>4065</v>
      </c>
      <c r="F257" t="s">
        <v>4014</v>
      </c>
      <c r="G257" t="s">
        <v>4015</v>
      </c>
      <c r="H257" t="s">
        <v>4284</v>
      </c>
    </row>
    <row r="258" spans="1:8">
      <c r="A258">
        <v>11118512</v>
      </c>
      <c r="B258" t="s">
        <v>352</v>
      </c>
      <c r="C258" t="s">
        <v>1146</v>
      </c>
      <c r="D258" t="s">
        <v>1672</v>
      </c>
      <c r="E258" t="s">
        <v>4066</v>
      </c>
      <c r="F258" t="s">
        <v>4003</v>
      </c>
      <c r="G258" t="s">
        <v>4004</v>
      </c>
      <c r="H258" t="s">
        <v>4284</v>
      </c>
    </row>
    <row r="259" spans="1:8">
      <c r="A259">
        <v>11118514</v>
      </c>
      <c r="B259" t="s">
        <v>353</v>
      </c>
      <c r="C259" t="s">
        <v>1147</v>
      </c>
      <c r="D259" t="s">
        <v>1672</v>
      </c>
      <c r="E259" t="s">
        <v>4066</v>
      </c>
      <c r="F259" t="s">
        <v>4003</v>
      </c>
      <c r="G259" t="s">
        <v>4004</v>
      </c>
      <c r="H259" t="s">
        <v>4284</v>
      </c>
    </row>
    <row r="260" spans="1:8">
      <c r="A260">
        <v>11118518</v>
      </c>
      <c r="B260" t="s">
        <v>354</v>
      </c>
      <c r="C260" t="s">
        <v>1149</v>
      </c>
      <c r="D260" t="s">
        <v>1674</v>
      </c>
      <c r="E260" t="s">
        <v>4067</v>
      </c>
      <c r="F260" t="s">
        <v>4018</v>
      </c>
      <c r="G260" t="s">
        <v>4019</v>
      </c>
      <c r="H260" t="s">
        <v>4284</v>
      </c>
    </row>
    <row r="261" spans="1:8">
      <c r="A261">
        <v>11118543</v>
      </c>
      <c r="B261" t="s">
        <v>355</v>
      </c>
      <c r="C261" t="s">
        <v>968</v>
      </c>
      <c r="D261" t="s">
        <v>1676</v>
      </c>
      <c r="E261" t="s">
        <v>4068</v>
      </c>
      <c r="F261" t="s">
        <v>3947</v>
      </c>
      <c r="G261" t="s">
        <v>3948</v>
      </c>
      <c r="H261" t="s">
        <v>4284</v>
      </c>
    </row>
    <row r="262" spans="1:8">
      <c r="A262">
        <v>11118521</v>
      </c>
      <c r="B262" t="s">
        <v>356</v>
      </c>
      <c r="C262" t="s">
        <v>1151</v>
      </c>
      <c r="D262" t="s">
        <v>1674</v>
      </c>
      <c r="E262" t="s">
        <v>4067</v>
      </c>
      <c r="F262" t="s">
        <v>4018</v>
      </c>
      <c r="G262" t="s">
        <v>4019</v>
      </c>
      <c r="H262" t="s">
        <v>4284</v>
      </c>
    </row>
    <row r="263" spans="1:8">
      <c r="A263">
        <v>11118504</v>
      </c>
      <c r="B263" t="s">
        <v>357</v>
      </c>
      <c r="C263" t="s">
        <v>1118</v>
      </c>
      <c r="D263" t="s">
        <v>1670</v>
      </c>
      <c r="E263" t="s">
        <v>4065</v>
      </c>
      <c r="F263" t="s">
        <v>4014</v>
      </c>
      <c r="G263" t="s">
        <v>4015</v>
      </c>
      <c r="H263" t="s">
        <v>4284</v>
      </c>
    </row>
    <row r="264" spans="1:8">
      <c r="A264">
        <v>11118505</v>
      </c>
      <c r="B264" t="s">
        <v>358</v>
      </c>
      <c r="C264" t="s">
        <v>1119</v>
      </c>
      <c r="D264" t="s">
        <v>1670</v>
      </c>
      <c r="E264" t="s">
        <v>4065</v>
      </c>
      <c r="F264" t="s">
        <v>4014</v>
      </c>
      <c r="G264" t="s">
        <v>4015</v>
      </c>
      <c r="H264" t="s">
        <v>4284</v>
      </c>
    </row>
    <row r="265" spans="1:8">
      <c r="A265">
        <v>11118507</v>
      </c>
      <c r="B265" t="s">
        <v>359</v>
      </c>
      <c r="C265" t="s">
        <v>1120</v>
      </c>
      <c r="D265" t="s">
        <v>1670</v>
      </c>
      <c r="E265" t="s">
        <v>4065</v>
      </c>
      <c r="F265" t="s">
        <v>4014</v>
      </c>
      <c r="G265" t="s">
        <v>4015</v>
      </c>
      <c r="H265" t="s">
        <v>4284</v>
      </c>
    </row>
    <row r="266" spans="1:8">
      <c r="A266">
        <v>11118508</v>
      </c>
      <c r="B266" t="s">
        <v>360</v>
      </c>
      <c r="C266" t="s">
        <v>1218</v>
      </c>
      <c r="D266" t="s">
        <v>1670</v>
      </c>
      <c r="E266" t="s">
        <v>4065</v>
      </c>
      <c r="F266" t="s">
        <v>4014</v>
      </c>
      <c r="G266" t="s">
        <v>4015</v>
      </c>
      <c r="H266" t="s">
        <v>4284</v>
      </c>
    </row>
    <row r="267" spans="1:8">
      <c r="A267">
        <v>11118509</v>
      </c>
      <c r="B267" t="s">
        <v>361</v>
      </c>
      <c r="C267" t="s">
        <v>1121</v>
      </c>
      <c r="D267" t="s">
        <v>1670</v>
      </c>
      <c r="E267" t="s">
        <v>4065</v>
      </c>
      <c r="F267" t="s">
        <v>4014</v>
      </c>
      <c r="G267" t="s">
        <v>4015</v>
      </c>
      <c r="H267" t="s">
        <v>4284</v>
      </c>
    </row>
    <row r="268" spans="1:8">
      <c r="A268">
        <v>11118510</v>
      </c>
      <c r="B268" t="s">
        <v>362</v>
      </c>
      <c r="C268" t="s">
        <v>1122</v>
      </c>
      <c r="D268" t="s">
        <v>1672</v>
      </c>
      <c r="E268" t="s">
        <v>4066</v>
      </c>
      <c r="F268" t="s">
        <v>4003</v>
      </c>
      <c r="G268" t="s">
        <v>4004</v>
      </c>
      <c r="H268" t="s">
        <v>4284</v>
      </c>
    </row>
    <row r="269" spans="1:8">
      <c r="A269">
        <v>11118511</v>
      </c>
      <c r="B269" t="s">
        <v>363</v>
      </c>
      <c r="C269" t="s">
        <v>1123</v>
      </c>
      <c r="D269" t="s">
        <v>1672</v>
      </c>
      <c r="E269" t="s">
        <v>4066</v>
      </c>
      <c r="F269" t="s">
        <v>4003</v>
      </c>
      <c r="G269" t="s">
        <v>4004</v>
      </c>
      <c r="H269" t="s">
        <v>4284</v>
      </c>
    </row>
    <row r="270" spans="1:8">
      <c r="A270">
        <v>11118513</v>
      </c>
      <c r="B270" t="s">
        <v>364</v>
      </c>
      <c r="C270" t="s">
        <v>1124</v>
      </c>
      <c r="D270" t="s">
        <v>1672</v>
      </c>
      <c r="E270" t="s">
        <v>4066</v>
      </c>
      <c r="F270" t="s">
        <v>4003</v>
      </c>
      <c r="G270" t="s">
        <v>4004</v>
      </c>
      <c r="H270" t="s">
        <v>4284</v>
      </c>
    </row>
    <row r="271" spans="1:8">
      <c r="A271">
        <v>11118515</v>
      </c>
      <c r="B271" t="s">
        <v>365</v>
      </c>
      <c r="C271" t="s">
        <v>1148</v>
      </c>
      <c r="D271" t="s">
        <v>1672</v>
      </c>
      <c r="E271" t="s">
        <v>4066</v>
      </c>
      <c r="F271" t="s">
        <v>4003</v>
      </c>
      <c r="G271" t="s">
        <v>4004</v>
      </c>
      <c r="H271" t="s">
        <v>4284</v>
      </c>
    </row>
    <row r="272" spans="1:8">
      <c r="A272">
        <v>11118516</v>
      </c>
      <c r="B272" t="s">
        <v>366</v>
      </c>
      <c r="C272" t="s">
        <v>1125</v>
      </c>
      <c r="D272" t="s">
        <v>1674</v>
      </c>
      <c r="E272" t="s">
        <v>4067</v>
      </c>
      <c r="F272" t="s">
        <v>4018</v>
      </c>
      <c r="G272" t="s">
        <v>4019</v>
      </c>
      <c r="H272" t="s">
        <v>4284</v>
      </c>
    </row>
    <row r="273" spans="1:8">
      <c r="A273">
        <v>11118517</v>
      </c>
      <c r="B273" t="s">
        <v>367</v>
      </c>
      <c r="C273" t="s">
        <v>1126</v>
      </c>
      <c r="D273" t="s">
        <v>1674</v>
      </c>
      <c r="E273" t="s">
        <v>4067</v>
      </c>
      <c r="F273" t="s">
        <v>4018</v>
      </c>
      <c r="G273" t="s">
        <v>4019</v>
      </c>
      <c r="H273" t="s">
        <v>4284</v>
      </c>
    </row>
    <row r="274" spans="1:8">
      <c r="A274">
        <v>11118519</v>
      </c>
      <c r="B274" t="s">
        <v>368</v>
      </c>
      <c r="C274" t="s">
        <v>1127</v>
      </c>
      <c r="D274" t="s">
        <v>1674</v>
      </c>
      <c r="E274" t="s">
        <v>4067</v>
      </c>
      <c r="F274" t="s">
        <v>4018</v>
      </c>
      <c r="G274" t="s">
        <v>4019</v>
      </c>
      <c r="H274" t="s">
        <v>4284</v>
      </c>
    </row>
    <row r="275" spans="1:8">
      <c r="A275">
        <v>11118520</v>
      </c>
      <c r="B275" t="s">
        <v>369</v>
      </c>
      <c r="C275" t="s">
        <v>1150</v>
      </c>
      <c r="D275" t="s">
        <v>1674</v>
      </c>
      <c r="E275" t="s">
        <v>4067</v>
      </c>
      <c r="F275" t="s">
        <v>4018</v>
      </c>
      <c r="G275" t="s">
        <v>4019</v>
      </c>
      <c r="H275" t="s">
        <v>4284</v>
      </c>
    </row>
    <row r="276" spans="1:8">
      <c r="A276">
        <v>11118522</v>
      </c>
      <c r="B276" t="s">
        <v>370</v>
      </c>
      <c r="C276" t="s">
        <v>1219</v>
      </c>
      <c r="D276" t="s">
        <v>1678</v>
      </c>
      <c r="E276" t="s">
        <v>4069</v>
      </c>
      <c r="F276" t="s">
        <v>3947</v>
      </c>
      <c r="G276" t="s">
        <v>3948</v>
      </c>
      <c r="H276" t="s">
        <v>4284</v>
      </c>
    </row>
    <row r="277" spans="1:8">
      <c r="A277">
        <v>11118523</v>
      </c>
      <c r="B277" t="s">
        <v>371</v>
      </c>
      <c r="C277" t="s">
        <v>1220</v>
      </c>
      <c r="D277" t="s">
        <v>1678</v>
      </c>
      <c r="E277" t="s">
        <v>4069</v>
      </c>
      <c r="F277" t="s">
        <v>3947</v>
      </c>
      <c r="G277" t="s">
        <v>3948</v>
      </c>
      <c r="H277" t="s">
        <v>4284</v>
      </c>
    </row>
    <row r="278" spans="1:8">
      <c r="A278">
        <v>11118524</v>
      </c>
      <c r="B278" t="s">
        <v>372</v>
      </c>
      <c r="C278" t="s">
        <v>1049</v>
      </c>
      <c r="D278" t="s">
        <v>1678</v>
      </c>
      <c r="E278" t="s">
        <v>4069</v>
      </c>
      <c r="F278" t="s">
        <v>3947</v>
      </c>
      <c r="G278" t="s">
        <v>3948</v>
      </c>
      <c r="H278" t="s">
        <v>4284</v>
      </c>
    </row>
    <row r="279" spans="1:8">
      <c r="A279">
        <v>11118525</v>
      </c>
      <c r="B279" t="s">
        <v>373</v>
      </c>
      <c r="C279" t="s">
        <v>1221</v>
      </c>
      <c r="D279" t="s">
        <v>1678</v>
      </c>
      <c r="E279" t="s">
        <v>4069</v>
      </c>
      <c r="F279" t="s">
        <v>3947</v>
      </c>
      <c r="G279" t="s">
        <v>3948</v>
      </c>
      <c r="H279" t="s">
        <v>4284</v>
      </c>
    </row>
    <row r="280" spans="1:8">
      <c r="A280">
        <v>11118526</v>
      </c>
      <c r="B280" t="s">
        <v>374</v>
      </c>
      <c r="C280" t="s">
        <v>1048</v>
      </c>
      <c r="D280" t="s">
        <v>1678</v>
      </c>
      <c r="E280" t="s">
        <v>4069</v>
      </c>
      <c r="F280" t="s">
        <v>3947</v>
      </c>
      <c r="G280" t="s">
        <v>3948</v>
      </c>
      <c r="H280" t="s">
        <v>4284</v>
      </c>
    </row>
    <row r="281" spans="1:8">
      <c r="A281">
        <v>11118527</v>
      </c>
      <c r="B281" t="s">
        <v>375</v>
      </c>
      <c r="C281" t="s">
        <v>1222</v>
      </c>
      <c r="D281" t="s">
        <v>1678</v>
      </c>
      <c r="E281" t="s">
        <v>4069</v>
      </c>
      <c r="F281" t="s">
        <v>3947</v>
      </c>
      <c r="G281" t="s">
        <v>3948</v>
      </c>
      <c r="H281" t="s">
        <v>4284</v>
      </c>
    </row>
    <row r="282" spans="1:8">
      <c r="A282">
        <v>11118528</v>
      </c>
      <c r="B282" t="s">
        <v>376</v>
      </c>
      <c r="C282" t="s">
        <v>1223</v>
      </c>
      <c r="D282" t="s">
        <v>1680</v>
      </c>
      <c r="E282" t="s">
        <v>4070</v>
      </c>
      <c r="F282" t="s">
        <v>3947</v>
      </c>
      <c r="G282" t="s">
        <v>3948</v>
      </c>
      <c r="H282" t="s">
        <v>4284</v>
      </c>
    </row>
    <row r="283" spans="1:8">
      <c r="A283">
        <v>11118529</v>
      </c>
      <c r="B283" t="s">
        <v>377</v>
      </c>
      <c r="C283" t="s">
        <v>1224</v>
      </c>
      <c r="D283" t="s">
        <v>1680</v>
      </c>
      <c r="E283" t="s">
        <v>4070</v>
      </c>
      <c r="F283" t="s">
        <v>3947</v>
      </c>
      <c r="G283" t="s">
        <v>3948</v>
      </c>
      <c r="H283" t="s">
        <v>4284</v>
      </c>
    </row>
    <row r="284" spans="1:8">
      <c r="A284">
        <v>11118530</v>
      </c>
      <c r="B284" t="s">
        <v>378</v>
      </c>
      <c r="C284" t="s">
        <v>1195</v>
      </c>
      <c r="D284" t="s">
        <v>1680</v>
      </c>
      <c r="E284" t="s">
        <v>4070</v>
      </c>
      <c r="F284" t="s">
        <v>3947</v>
      </c>
      <c r="G284" t="s">
        <v>3948</v>
      </c>
      <c r="H284" t="s">
        <v>4284</v>
      </c>
    </row>
    <row r="285" spans="1:8">
      <c r="A285">
        <v>11118531</v>
      </c>
      <c r="B285" t="s">
        <v>379</v>
      </c>
      <c r="C285" t="s">
        <v>1196</v>
      </c>
      <c r="D285" t="s">
        <v>1680</v>
      </c>
      <c r="E285" t="s">
        <v>4070</v>
      </c>
      <c r="F285" t="s">
        <v>3947</v>
      </c>
      <c r="G285" t="s">
        <v>3948</v>
      </c>
      <c r="H285" t="s">
        <v>4284</v>
      </c>
    </row>
    <row r="286" spans="1:8">
      <c r="A286">
        <v>11118532</v>
      </c>
      <c r="B286" t="s">
        <v>380</v>
      </c>
      <c r="C286" t="s">
        <v>1051</v>
      </c>
      <c r="D286" t="s">
        <v>1682</v>
      </c>
      <c r="E286" t="s">
        <v>4071</v>
      </c>
      <c r="F286" t="s">
        <v>3974</v>
      </c>
      <c r="G286" t="s">
        <v>3975</v>
      </c>
      <c r="H286" t="s">
        <v>4284</v>
      </c>
    </row>
    <row r="287" spans="1:8">
      <c r="A287">
        <v>11118533</v>
      </c>
      <c r="B287" t="s">
        <v>381</v>
      </c>
      <c r="C287" t="s">
        <v>1052</v>
      </c>
      <c r="D287" t="s">
        <v>1682</v>
      </c>
      <c r="E287" t="s">
        <v>4071</v>
      </c>
      <c r="F287" t="s">
        <v>3974</v>
      </c>
      <c r="G287" t="s">
        <v>3975</v>
      </c>
      <c r="H287" t="s">
        <v>4284</v>
      </c>
    </row>
    <row r="288" spans="1:8">
      <c r="A288">
        <v>11118534</v>
      </c>
      <c r="B288" t="s">
        <v>382</v>
      </c>
      <c r="C288" t="s">
        <v>1053</v>
      </c>
      <c r="D288" t="s">
        <v>1682</v>
      </c>
      <c r="E288" t="s">
        <v>4071</v>
      </c>
      <c r="F288" t="s">
        <v>3974</v>
      </c>
      <c r="G288" t="s">
        <v>3975</v>
      </c>
      <c r="H288" t="s">
        <v>4284</v>
      </c>
    </row>
    <row r="289" spans="1:8">
      <c r="A289">
        <v>11118535</v>
      </c>
      <c r="B289" t="s">
        <v>383</v>
      </c>
      <c r="C289" t="s">
        <v>971</v>
      </c>
      <c r="D289" t="s">
        <v>1682</v>
      </c>
      <c r="E289" t="s">
        <v>4071</v>
      </c>
      <c r="F289" t="s">
        <v>3974</v>
      </c>
      <c r="G289" t="s">
        <v>3975</v>
      </c>
      <c r="H289" t="s">
        <v>4284</v>
      </c>
    </row>
    <row r="290" spans="1:8">
      <c r="A290">
        <v>11118536</v>
      </c>
      <c r="B290" t="s">
        <v>384</v>
      </c>
      <c r="C290" t="s">
        <v>969</v>
      </c>
      <c r="D290" t="s">
        <v>1682</v>
      </c>
      <c r="E290" t="s">
        <v>4071</v>
      </c>
      <c r="F290" t="s">
        <v>3974</v>
      </c>
      <c r="G290" t="s">
        <v>3975</v>
      </c>
      <c r="H290" t="s">
        <v>4284</v>
      </c>
    </row>
    <row r="291" spans="1:8">
      <c r="A291">
        <v>11118537</v>
      </c>
      <c r="B291" t="s">
        <v>385</v>
      </c>
      <c r="C291" t="s">
        <v>967</v>
      </c>
      <c r="D291" t="s">
        <v>1682</v>
      </c>
      <c r="E291" t="s">
        <v>4071</v>
      </c>
      <c r="F291" t="s">
        <v>3974</v>
      </c>
      <c r="G291" t="s">
        <v>3975</v>
      </c>
      <c r="H291" t="s">
        <v>4284</v>
      </c>
    </row>
    <row r="292" spans="1:8">
      <c r="A292">
        <v>11118538</v>
      </c>
      <c r="B292" t="s">
        <v>386</v>
      </c>
      <c r="C292" t="s">
        <v>970</v>
      </c>
      <c r="D292" t="s">
        <v>1676</v>
      </c>
      <c r="E292" t="s">
        <v>4068</v>
      </c>
      <c r="F292" t="s">
        <v>3947</v>
      </c>
      <c r="G292" t="s">
        <v>3948</v>
      </c>
      <c r="H292" t="s">
        <v>4284</v>
      </c>
    </row>
    <row r="293" spans="1:8">
      <c r="A293">
        <v>11118539</v>
      </c>
      <c r="B293" t="s">
        <v>387</v>
      </c>
      <c r="C293" t="s">
        <v>972</v>
      </c>
      <c r="D293" t="s">
        <v>1676</v>
      </c>
      <c r="E293" t="s">
        <v>4068</v>
      </c>
      <c r="F293" t="s">
        <v>3947</v>
      </c>
      <c r="G293" t="s">
        <v>3948</v>
      </c>
      <c r="H293" t="s">
        <v>4284</v>
      </c>
    </row>
    <row r="294" spans="1:8">
      <c r="A294">
        <v>11118540</v>
      </c>
      <c r="B294" t="s">
        <v>388</v>
      </c>
      <c r="C294" t="s">
        <v>973</v>
      </c>
      <c r="D294" t="s">
        <v>1676</v>
      </c>
      <c r="E294" t="s">
        <v>4068</v>
      </c>
      <c r="F294" t="s">
        <v>3947</v>
      </c>
      <c r="G294" t="s">
        <v>3948</v>
      </c>
      <c r="H294" t="s">
        <v>4284</v>
      </c>
    </row>
    <row r="295" spans="1:8">
      <c r="A295">
        <v>11118541</v>
      </c>
      <c r="B295" t="s">
        <v>389</v>
      </c>
      <c r="C295" t="s">
        <v>974</v>
      </c>
      <c r="D295" t="s">
        <v>1676</v>
      </c>
      <c r="E295" t="s">
        <v>4068</v>
      </c>
      <c r="F295" t="s">
        <v>3947</v>
      </c>
      <c r="G295" t="s">
        <v>3948</v>
      </c>
      <c r="H295" t="s">
        <v>4284</v>
      </c>
    </row>
    <row r="296" spans="1:8">
      <c r="A296">
        <v>11118542</v>
      </c>
      <c r="B296" t="s">
        <v>390</v>
      </c>
      <c r="C296" t="s">
        <v>1064</v>
      </c>
      <c r="D296" t="s">
        <v>1676</v>
      </c>
      <c r="E296" t="s">
        <v>4068</v>
      </c>
      <c r="F296" t="s">
        <v>3947</v>
      </c>
      <c r="G296" t="s">
        <v>3948</v>
      </c>
      <c r="H296" t="s">
        <v>4284</v>
      </c>
    </row>
    <row r="297" spans="1:8">
      <c r="A297">
        <v>11118544</v>
      </c>
      <c r="B297" t="s">
        <v>391</v>
      </c>
      <c r="C297" t="s">
        <v>1038</v>
      </c>
      <c r="D297" t="s">
        <v>1684</v>
      </c>
      <c r="E297" t="s">
        <v>4072</v>
      </c>
      <c r="F297" t="s">
        <v>4024</v>
      </c>
      <c r="G297" t="s">
        <v>4025</v>
      </c>
      <c r="H297" t="s">
        <v>4284</v>
      </c>
    </row>
    <row r="298" spans="1:8">
      <c r="A298">
        <v>11118545</v>
      </c>
      <c r="B298" t="s">
        <v>392</v>
      </c>
      <c r="C298" t="s">
        <v>1039</v>
      </c>
      <c r="D298" t="s">
        <v>1684</v>
      </c>
      <c r="E298" t="s">
        <v>4072</v>
      </c>
      <c r="F298" t="s">
        <v>4024</v>
      </c>
      <c r="G298" t="s">
        <v>4025</v>
      </c>
      <c r="H298" t="s">
        <v>4284</v>
      </c>
    </row>
    <row r="299" spans="1:8">
      <c r="A299">
        <v>11118546</v>
      </c>
      <c r="B299" t="s">
        <v>393</v>
      </c>
      <c r="C299" t="s">
        <v>1040</v>
      </c>
      <c r="D299" t="s">
        <v>1684</v>
      </c>
      <c r="E299" t="s">
        <v>4072</v>
      </c>
      <c r="F299" t="s">
        <v>4024</v>
      </c>
      <c r="G299" t="s">
        <v>4025</v>
      </c>
      <c r="H299" t="s">
        <v>4284</v>
      </c>
    </row>
    <row r="300" spans="1:8">
      <c r="A300">
        <v>11118547</v>
      </c>
      <c r="B300" t="s">
        <v>394</v>
      </c>
      <c r="C300" t="s">
        <v>1041</v>
      </c>
      <c r="D300" t="s">
        <v>1684</v>
      </c>
      <c r="E300" t="s">
        <v>4072</v>
      </c>
      <c r="F300" t="s">
        <v>4024</v>
      </c>
      <c r="G300" t="s">
        <v>4025</v>
      </c>
      <c r="H300" t="s">
        <v>4284</v>
      </c>
    </row>
    <row r="301" spans="1:8">
      <c r="A301">
        <v>11118548</v>
      </c>
      <c r="B301" t="s">
        <v>395</v>
      </c>
      <c r="C301" t="s">
        <v>1141</v>
      </c>
      <c r="D301" t="s">
        <v>1684</v>
      </c>
      <c r="E301" t="s">
        <v>4072</v>
      </c>
      <c r="F301" t="s">
        <v>4024</v>
      </c>
      <c r="G301" t="s">
        <v>4025</v>
      </c>
      <c r="H301" t="s">
        <v>4284</v>
      </c>
    </row>
    <row r="302" spans="1:8">
      <c r="A302">
        <v>11118549</v>
      </c>
      <c r="B302" t="s">
        <v>396</v>
      </c>
      <c r="C302" t="s">
        <v>1042</v>
      </c>
      <c r="D302" t="s">
        <v>1684</v>
      </c>
      <c r="E302" t="s">
        <v>4072</v>
      </c>
      <c r="F302" t="s">
        <v>4024</v>
      </c>
      <c r="G302" t="s">
        <v>4025</v>
      </c>
      <c r="H302" t="s">
        <v>4284</v>
      </c>
    </row>
    <row r="303" spans="1:8">
      <c r="A303">
        <v>11118550</v>
      </c>
      <c r="B303" t="s">
        <v>397</v>
      </c>
      <c r="C303" t="s">
        <v>1043</v>
      </c>
      <c r="D303" t="s">
        <v>1686</v>
      </c>
      <c r="E303" t="s">
        <v>4073</v>
      </c>
      <c r="F303" t="s">
        <v>4074</v>
      </c>
      <c r="G303" t="s">
        <v>4075</v>
      </c>
      <c r="H303" t="s">
        <v>4284</v>
      </c>
    </row>
    <row r="304" spans="1:8">
      <c r="A304">
        <v>11118551</v>
      </c>
      <c r="B304" t="s">
        <v>398</v>
      </c>
      <c r="C304" t="s">
        <v>1044</v>
      </c>
      <c r="D304" t="s">
        <v>1686</v>
      </c>
      <c r="E304" t="s">
        <v>4073</v>
      </c>
      <c r="F304" t="s">
        <v>4074</v>
      </c>
      <c r="G304" t="s">
        <v>4075</v>
      </c>
      <c r="H304" t="s">
        <v>4284</v>
      </c>
    </row>
    <row r="305" spans="1:8">
      <c r="A305">
        <v>11118552</v>
      </c>
      <c r="B305" t="s">
        <v>399</v>
      </c>
      <c r="C305" t="s">
        <v>1045</v>
      </c>
      <c r="D305" t="s">
        <v>1686</v>
      </c>
      <c r="E305" t="s">
        <v>4073</v>
      </c>
      <c r="F305" t="s">
        <v>4074</v>
      </c>
      <c r="G305" t="s">
        <v>4075</v>
      </c>
      <c r="H305" t="s">
        <v>4284</v>
      </c>
    </row>
    <row r="306" spans="1:8">
      <c r="A306">
        <v>11118553</v>
      </c>
      <c r="B306" t="s">
        <v>400</v>
      </c>
      <c r="C306" t="s">
        <v>1046</v>
      </c>
      <c r="D306" t="s">
        <v>1686</v>
      </c>
      <c r="E306" t="s">
        <v>4073</v>
      </c>
      <c r="F306" t="s">
        <v>4074</v>
      </c>
      <c r="G306" t="s">
        <v>4075</v>
      </c>
      <c r="H306" t="s">
        <v>4284</v>
      </c>
    </row>
    <row r="307" spans="1:8">
      <c r="A307">
        <v>11118554</v>
      </c>
      <c r="B307" t="s">
        <v>401</v>
      </c>
      <c r="C307" t="s">
        <v>1142</v>
      </c>
      <c r="D307" t="s">
        <v>1686</v>
      </c>
      <c r="E307" t="s">
        <v>4073</v>
      </c>
      <c r="F307" t="s">
        <v>4074</v>
      </c>
      <c r="G307" t="s">
        <v>4075</v>
      </c>
      <c r="H307" t="s">
        <v>4284</v>
      </c>
    </row>
    <row r="308" spans="1:8">
      <c r="A308">
        <v>11118555</v>
      </c>
      <c r="B308" t="s">
        <v>402</v>
      </c>
      <c r="C308" t="s">
        <v>1047</v>
      </c>
      <c r="D308" t="s">
        <v>1686</v>
      </c>
      <c r="E308" t="s">
        <v>4073</v>
      </c>
      <c r="F308" t="s">
        <v>4074</v>
      </c>
      <c r="G308" t="s">
        <v>4075</v>
      </c>
      <c r="H308" t="s">
        <v>4284</v>
      </c>
    </row>
    <row r="309" spans="1:8">
      <c r="A309">
        <v>11118556</v>
      </c>
      <c r="B309" t="s">
        <v>403</v>
      </c>
      <c r="C309" t="s">
        <v>1225</v>
      </c>
      <c r="D309" t="s">
        <v>1690</v>
      </c>
      <c r="E309" t="s">
        <v>4076</v>
      </c>
      <c r="F309" t="s">
        <v>3947</v>
      </c>
      <c r="G309" t="s">
        <v>3948</v>
      </c>
      <c r="H309" t="s">
        <v>4284</v>
      </c>
    </row>
    <row r="310" spans="1:8">
      <c r="A310">
        <v>11118557</v>
      </c>
      <c r="B310" t="s">
        <v>404</v>
      </c>
      <c r="C310" t="s">
        <v>1226</v>
      </c>
      <c r="D310" t="s">
        <v>1690</v>
      </c>
      <c r="E310" t="s">
        <v>4076</v>
      </c>
      <c r="F310" t="s">
        <v>3947</v>
      </c>
      <c r="G310" t="s">
        <v>3948</v>
      </c>
      <c r="H310" t="s">
        <v>4284</v>
      </c>
    </row>
    <row r="311" spans="1:8">
      <c r="A311">
        <v>11103640</v>
      </c>
      <c r="B311" t="s">
        <v>405</v>
      </c>
      <c r="C311" t="s">
        <v>994</v>
      </c>
      <c r="D311" t="s">
        <v>1569</v>
      </c>
      <c r="E311" t="s">
        <v>4005</v>
      </c>
      <c r="F311" t="s">
        <v>3990</v>
      </c>
      <c r="G311" t="s">
        <v>3991</v>
      </c>
      <c r="H311" t="s">
        <v>4284</v>
      </c>
    </row>
    <row r="312" spans="1:8">
      <c r="A312">
        <v>11121553</v>
      </c>
      <c r="B312" t="s">
        <v>406</v>
      </c>
      <c r="C312" t="s">
        <v>1136</v>
      </c>
      <c r="D312" t="s">
        <v>1692</v>
      </c>
      <c r="E312" t="s">
        <v>3949</v>
      </c>
      <c r="F312" t="s">
        <v>4077</v>
      </c>
      <c r="G312" t="s">
        <v>4078</v>
      </c>
      <c r="H312" t="s">
        <v>4284</v>
      </c>
    </row>
    <row r="313" spans="1:8">
      <c r="A313">
        <v>11121554</v>
      </c>
      <c r="B313" t="s">
        <v>407</v>
      </c>
      <c r="C313" t="s">
        <v>961</v>
      </c>
      <c r="D313" t="s">
        <v>1692</v>
      </c>
      <c r="E313" t="s">
        <v>3949</v>
      </c>
      <c r="F313" t="s">
        <v>4077</v>
      </c>
      <c r="G313" t="s">
        <v>4078</v>
      </c>
      <c r="H313" t="s">
        <v>4284</v>
      </c>
    </row>
    <row r="314" spans="1:8">
      <c r="A314">
        <v>11121558</v>
      </c>
      <c r="B314" t="s">
        <v>408</v>
      </c>
      <c r="C314" t="s">
        <v>963</v>
      </c>
      <c r="D314" t="s">
        <v>1695</v>
      </c>
      <c r="E314" t="s">
        <v>3950</v>
      </c>
      <c r="F314" t="s">
        <v>4079</v>
      </c>
      <c r="G314" t="s">
        <v>4080</v>
      </c>
      <c r="H314" t="s">
        <v>4284</v>
      </c>
    </row>
    <row r="315" spans="1:8">
      <c r="A315">
        <v>11121559</v>
      </c>
      <c r="B315" t="s">
        <v>409</v>
      </c>
      <c r="C315" t="s">
        <v>964</v>
      </c>
      <c r="D315" t="s">
        <v>1695</v>
      </c>
      <c r="E315" t="s">
        <v>3950</v>
      </c>
      <c r="F315" t="s">
        <v>4079</v>
      </c>
      <c r="G315" t="s">
        <v>4080</v>
      </c>
      <c r="H315" t="s">
        <v>4284</v>
      </c>
    </row>
    <row r="316" spans="1:8">
      <c r="A316">
        <v>11122020</v>
      </c>
      <c r="B316" t="s">
        <v>410</v>
      </c>
      <c r="C316" t="s">
        <v>1135</v>
      </c>
      <c r="D316" t="s">
        <v>1698</v>
      </c>
      <c r="E316" t="s">
        <v>3972</v>
      </c>
      <c r="F316" t="s">
        <v>4077</v>
      </c>
      <c r="G316" t="s">
        <v>4078</v>
      </c>
      <c r="H316" t="s">
        <v>4284</v>
      </c>
    </row>
    <row r="317" spans="1:8">
      <c r="A317">
        <v>11122021</v>
      </c>
      <c r="B317" t="s">
        <v>411</v>
      </c>
      <c r="C317" t="s">
        <v>1136</v>
      </c>
      <c r="D317" t="s">
        <v>1698</v>
      </c>
      <c r="E317" t="s">
        <v>3972</v>
      </c>
      <c r="F317" t="s">
        <v>4077</v>
      </c>
      <c r="G317" t="s">
        <v>4078</v>
      </c>
      <c r="H317" t="s">
        <v>4284</v>
      </c>
    </row>
    <row r="318" spans="1:8">
      <c r="A318">
        <v>11125102</v>
      </c>
      <c r="B318" t="s">
        <v>412</v>
      </c>
      <c r="C318" t="s">
        <v>1227</v>
      </c>
      <c r="D318" t="s">
        <v>1699</v>
      </c>
      <c r="E318" t="s">
        <v>4081</v>
      </c>
      <c r="F318" t="s">
        <v>4082</v>
      </c>
      <c r="G318" t="s">
        <v>4083</v>
      </c>
      <c r="H318" t="s">
        <v>4284</v>
      </c>
    </row>
    <row r="319" spans="1:8">
      <c r="A319">
        <v>11125103</v>
      </c>
      <c r="B319" t="s">
        <v>413</v>
      </c>
      <c r="C319" t="s">
        <v>1228</v>
      </c>
      <c r="D319" t="s">
        <v>1699</v>
      </c>
      <c r="E319" t="s">
        <v>4081</v>
      </c>
      <c r="F319" t="s">
        <v>4082</v>
      </c>
      <c r="G319" t="s">
        <v>4083</v>
      </c>
      <c r="H319" t="s">
        <v>4284</v>
      </c>
    </row>
    <row r="320" spans="1:8">
      <c r="A320">
        <v>11123488</v>
      </c>
      <c r="B320" t="s">
        <v>414</v>
      </c>
      <c r="C320" t="s">
        <v>1229</v>
      </c>
      <c r="D320" t="s">
        <v>1703</v>
      </c>
      <c r="E320" t="s">
        <v>4084</v>
      </c>
      <c r="F320" t="s">
        <v>4008</v>
      </c>
      <c r="G320" t="s">
        <v>4009</v>
      </c>
      <c r="H320" t="s">
        <v>4284</v>
      </c>
    </row>
    <row r="321" spans="1:8">
      <c r="A321">
        <v>11120139</v>
      </c>
      <c r="B321" t="s">
        <v>415</v>
      </c>
      <c r="C321" t="s">
        <v>1230</v>
      </c>
      <c r="D321" t="s">
        <v>1705</v>
      </c>
      <c r="E321" t="s">
        <v>4041</v>
      </c>
      <c r="F321" t="s">
        <v>4018</v>
      </c>
      <c r="G321" t="s">
        <v>4019</v>
      </c>
      <c r="H321" t="s">
        <v>4284</v>
      </c>
    </row>
    <row r="322" spans="1:8">
      <c r="A322">
        <v>11120162</v>
      </c>
      <c r="B322" t="s">
        <v>416</v>
      </c>
      <c r="C322" t="s">
        <v>1114</v>
      </c>
      <c r="D322" t="s">
        <v>1703</v>
      </c>
      <c r="E322" t="s">
        <v>4084</v>
      </c>
      <c r="F322" t="s">
        <v>4008</v>
      </c>
      <c r="G322" t="s">
        <v>4009</v>
      </c>
      <c r="H322" t="s">
        <v>4284</v>
      </c>
    </row>
    <row r="323" spans="1:8">
      <c r="A323">
        <v>11123489</v>
      </c>
      <c r="B323" t="s">
        <v>417</v>
      </c>
      <c r="C323" t="s">
        <v>1231</v>
      </c>
      <c r="D323" t="s">
        <v>1703</v>
      </c>
      <c r="E323" t="s">
        <v>4084</v>
      </c>
      <c r="F323" t="s">
        <v>4008</v>
      </c>
      <c r="G323" t="s">
        <v>4009</v>
      </c>
      <c r="H323" t="s">
        <v>4284</v>
      </c>
    </row>
    <row r="324" spans="1:8">
      <c r="A324">
        <v>11123490</v>
      </c>
      <c r="B324" t="s">
        <v>418</v>
      </c>
      <c r="C324" t="s">
        <v>1232</v>
      </c>
      <c r="D324" t="s">
        <v>1703</v>
      </c>
      <c r="E324" t="s">
        <v>4084</v>
      </c>
      <c r="F324" t="s">
        <v>4008</v>
      </c>
      <c r="G324" t="s">
        <v>4009</v>
      </c>
      <c r="H324" t="s">
        <v>4284</v>
      </c>
    </row>
    <row r="325" spans="1:8">
      <c r="A325">
        <v>11120164</v>
      </c>
      <c r="B325" t="s">
        <v>419</v>
      </c>
      <c r="C325" t="s">
        <v>1115</v>
      </c>
      <c r="D325" t="s">
        <v>1703</v>
      </c>
      <c r="E325" t="s">
        <v>4084</v>
      </c>
      <c r="F325" t="s">
        <v>4008</v>
      </c>
      <c r="G325" t="s">
        <v>4009</v>
      </c>
      <c r="H325" t="s">
        <v>4284</v>
      </c>
    </row>
    <row r="326" spans="1:8">
      <c r="A326">
        <v>11123511</v>
      </c>
      <c r="B326" t="s">
        <v>420</v>
      </c>
      <c r="C326" t="s">
        <v>1233</v>
      </c>
      <c r="D326" t="s">
        <v>1705</v>
      </c>
      <c r="E326" t="s">
        <v>4041</v>
      </c>
      <c r="F326" t="s">
        <v>4018</v>
      </c>
      <c r="G326" t="s">
        <v>4019</v>
      </c>
      <c r="H326" t="s">
        <v>4284</v>
      </c>
    </row>
    <row r="327" spans="1:8">
      <c r="A327">
        <v>11120163</v>
      </c>
      <c r="B327" t="s">
        <v>421</v>
      </c>
      <c r="C327" t="s">
        <v>1234</v>
      </c>
      <c r="D327" t="s">
        <v>1703</v>
      </c>
      <c r="E327" t="s">
        <v>4084</v>
      </c>
      <c r="F327" t="s">
        <v>4008</v>
      </c>
      <c r="G327" t="s">
        <v>4009</v>
      </c>
      <c r="H327" t="s">
        <v>4284</v>
      </c>
    </row>
    <row r="328" spans="1:8">
      <c r="A328">
        <v>11123513</v>
      </c>
      <c r="B328" t="s">
        <v>422</v>
      </c>
      <c r="C328" t="s">
        <v>1235</v>
      </c>
      <c r="D328" t="s">
        <v>1705</v>
      </c>
      <c r="E328" t="s">
        <v>4041</v>
      </c>
      <c r="F328" t="s">
        <v>4018</v>
      </c>
      <c r="G328" t="s">
        <v>4019</v>
      </c>
      <c r="H328" t="s">
        <v>4284</v>
      </c>
    </row>
    <row r="329" spans="1:8">
      <c r="A329">
        <v>11120138</v>
      </c>
      <c r="B329" t="s">
        <v>423</v>
      </c>
      <c r="C329" t="s">
        <v>1236</v>
      </c>
      <c r="D329" t="s">
        <v>1705</v>
      </c>
      <c r="E329" t="s">
        <v>4041</v>
      </c>
      <c r="F329" t="s">
        <v>4018</v>
      </c>
      <c r="G329" t="s">
        <v>4019</v>
      </c>
      <c r="H329" t="s">
        <v>4284</v>
      </c>
    </row>
    <row r="330" spans="1:8">
      <c r="A330">
        <v>11123503</v>
      </c>
      <c r="B330" t="s">
        <v>424</v>
      </c>
      <c r="C330" t="s">
        <v>1237</v>
      </c>
      <c r="D330" t="s">
        <v>1706</v>
      </c>
      <c r="E330" t="s">
        <v>4085</v>
      </c>
      <c r="F330" t="s">
        <v>4011</v>
      </c>
      <c r="G330" t="s">
        <v>4012</v>
      </c>
      <c r="H330" t="s">
        <v>4284</v>
      </c>
    </row>
    <row r="331" spans="1:8">
      <c r="A331">
        <v>11123504</v>
      </c>
      <c r="B331" t="s">
        <v>425</v>
      </c>
      <c r="C331" t="s">
        <v>1238</v>
      </c>
      <c r="D331" t="s">
        <v>1706</v>
      </c>
      <c r="E331" t="s">
        <v>4085</v>
      </c>
      <c r="F331" t="s">
        <v>4011</v>
      </c>
      <c r="G331" t="s">
        <v>4012</v>
      </c>
      <c r="H331" t="s">
        <v>4284</v>
      </c>
    </row>
    <row r="332" spans="1:8">
      <c r="A332">
        <v>11123505</v>
      </c>
      <c r="B332" t="s">
        <v>426</v>
      </c>
      <c r="C332" t="s">
        <v>1239</v>
      </c>
      <c r="D332" t="s">
        <v>1706</v>
      </c>
      <c r="E332" t="s">
        <v>4085</v>
      </c>
      <c r="F332" t="s">
        <v>4011</v>
      </c>
      <c r="G332" t="s">
        <v>4012</v>
      </c>
      <c r="H332" t="s">
        <v>4284</v>
      </c>
    </row>
    <row r="333" spans="1:8">
      <c r="A333">
        <v>11123506</v>
      </c>
      <c r="B333" t="s">
        <v>427</v>
      </c>
      <c r="C333" t="s">
        <v>1240</v>
      </c>
      <c r="D333" t="s">
        <v>1706</v>
      </c>
      <c r="E333" t="s">
        <v>4085</v>
      </c>
      <c r="F333" t="s">
        <v>4011</v>
      </c>
      <c r="G333" t="s">
        <v>4012</v>
      </c>
      <c r="H333" t="s">
        <v>4284</v>
      </c>
    </row>
    <row r="334" spans="1:8">
      <c r="A334">
        <v>11123509</v>
      </c>
      <c r="B334" t="s">
        <v>428</v>
      </c>
      <c r="C334" t="s">
        <v>1227</v>
      </c>
      <c r="D334" t="s">
        <v>1708</v>
      </c>
      <c r="E334" t="s">
        <v>4086</v>
      </c>
      <c r="F334" t="s">
        <v>4082</v>
      </c>
      <c r="G334" t="s">
        <v>4083</v>
      </c>
      <c r="H334" t="s">
        <v>4284</v>
      </c>
    </row>
    <row r="335" spans="1:8">
      <c r="A335">
        <v>11123510</v>
      </c>
      <c r="B335" t="s">
        <v>429</v>
      </c>
      <c r="C335" t="s">
        <v>1228</v>
      </c>
      <c r="D335" t="s">
        <v>1708</v>
      </c>
      <c r="E335" t="s">
        <v>4086</v>
      </c>
      <c r="F335" t="s">
        <v>4082</v>
      </c>
      <c r="G335" t="s">
        <v>4083</v>
      </c>
      <c r="H335" t="s">
        <v>4284</v>
      </c>
    </row>
    <row r="336" spans="1:8">
      <c r="A336">
        <v>11123515</v>
      </c>
      <c r="B336" t="s">
        <v>430</v>
      </c>
      <c r="C336" t="s">
        <v>1241</v>
      </c>
      <c r="D336" t="s">
        <v>1710</v>
      </c>
      <c r="E336" t="s">
        <v>4087</v>
      </c>
      <c r="F336" t="s">
        <v>4088</v>
      </c>
      <c r="G336" t="s">
        <v>4089</v>
      </c>
      <c r="H336" t="s">
        <v>4284</v>
      </c>
    </row>
    <row r="337" spans="1:8">
      <c r="A337">
        <v>11123516</v>
      </c>
      <c r="B337" t="s">
        <v>431</v>
      </c>
      <c r="C337" t="s">
        <v>1242</v>
      </c>
      <c r="D337" t="s">
        <v>1710</v>
      </c>
      <c r="E337" t="s">
        <v>4087</v>
      </c>
      <c r="F337" t="s">
        <v>4088</v>
      </c>
      <c r="G337" t="s">
        <v>4089</v>
      </c>
      <c r="H337" t="s">
        <v>4284</v>
      </c>
    </row>
    <row r="338" spans="1:8">
      <c r="A338">
        <v>11123517</v>
      </c>
      <c r="B338" t="s">
        <v>432</v>
      </c>
      <c r="C338" t="s">
        <v>1243</v>
      </c>
      <c r="D338" t="s">
        <v>1710</v>
      </c>
      <c r="E338" t="s">
        <v>4087</v>
      </c>
      <c r="F338" t="s">
        <v>4088</v>
      </c>
      <c r="G338" t="s">
        <v>4089</v>
      </c>
      <c r="H338" t="s">
        <v>4284</v>
      </c>
    </row>
    <row r="339" spans="1:8">
      <c r="A339">
        <v>11123518</v>
      </c>
      <c r="B339" t="s">
        <v>433</v>
      </c>
      <c r="C339" t="s">
        <v>1244</v>
      </c>
      <c r="D339" t="s">
        <v>1710</v>
      </c>
      <c r="E339" t="s">
        <v>4087</v>
      </c>
      <c r="F339" t="s">
        <v>4088</v>
      </c>
      <c r="G339" t="s">
        <v>4089</v>
      </c>
      <c r="H339" t="s">
        <v>4284</v>
      </c>
    </row>
    <row r="340" spans="1:8">
      <c r="A340">
        <v>11123519</v>
      </c>
      <c r="B340" t="s">
        <v>434</v>
      </c>
      <c r="C340" t="s">
        <v>1245</v>
      </c>
      <c r="D340" t="s">
        <v>1710</v>
      </c>
      <c r="E340" t="s">
        <v>4087</v>
      </c>
      <c r="F340" t="s">
        <v>4088</v>
      </c>
      <c r="G340" t="s">
        <v>4089</v>
      </c>
      <c r="H340" t="s">
        <v>4284</v>
      </c>
    </row>
    <row r="341" spans="1:8">
      <c r="A341">
        <v>11123520</v>
      </c>
      <c r="B341" t="s">
        <v>435</v>
      </c>
      <c r="C341" t="s">
        <v>1246</v>
      </c>
      <c r="D341" t="s">
        <v>1710</v>
      </c>
      <c r="E341" t="s">
        <v>4087</v>
      </c>
      <c r="F341" t="s">
        <v>4088</v>
      </c>
      <c r="G341" t="s">
        <v>4089</v>
      </c>
      <c r="H341" t="s">
        <v>4284</v>
      </c>
    </row>
    <row r="342" spans="1:8">
      <c r="A342">
        <v>11123521</v>
      </c>
      <c r="B342" t="s">
        <v>436</v>
      </c>
      <c r="C342" t="s">
        <v>1241</v>
      </c>
      <c r="D342" t="s">
        <v>1714</v>
      </c>
      <c r="E342" t="s">
        <v>4090</v>
      </c>
      <c r="F342" t="s">
        <v>4091</v>
      </c>
      <c r="G342" t="s">
        <v>4092</v>
      </c>
      <c r="H342" t="s">
        <v>4284</v>
      </c>
    </row>
    <row r="343" spans="1:8">
      <c r="A343">
        <v>11123522</v>
      </c>
      <c r="B343" t="s">
        <v>437</v>
      </c>
      <c r="C343" t="s">
        <v>1242</v>
      </c>
      <c r="D343" t="s">
        <v>1714</v>
      </c>
      <c r="E343" t="s">
        <v>4090</v>
      </c>
      <c r="F343" t="s">
        <v>4091</v>
      </c>
      <c r="G343" t="s">
        <v>4092</v>
      </c>
      <c r="H343" t="s">
        <v>4284</v>
      </c>
    </row>
    <row r="344" spans="1:8">
      <c r="A344">
        <v>11123523</v>
      </c>
      <c r="B344" t="s">
        <v>438</v>
      </c>
      <c r="C344" t="s">
        <v>1243</v>
      </c>
      <c r="D344" t="s">
        <v>1714</v>
      </c>
      <c r="E344" t="s">
        <v>4090</v>
      </c>
      <c r="F344" t="s">
        <v>4091</v>
      </c>
      <c r="G344" t="s">
        <v>4092</v>
      </c>
      <c r="H344" t="s">
        <v>4284</v>
      </c>
    </row>
    <row r="345" spans="1:8">
      <c r="A345">
        <v>11123524</v>
      </c>
      <c r="B345" t="s">
        <v>439</v>
      </c>
      <c r="C345" t="s">
        <v>1244</v>
      </c>
      <c r="D345" t="s">
        <v>1714</v>
      </c>
      <c r="E345" t="s">
        <v>4090</v>
      </c>
      <c r="F345" t="s">
        <v>4091</v>
      </c>
      <c r="G345" t="s">
        <v>4092</v>
      </c>
      <c r="H345" t="s">
        <v>4284</v>
      </c>
    </row>
    <row r="346" spans="1:8">
      <c r="A346">
        <v>11123525</v>
      </c>
      <c r="B346" t="s">
        <v>440</v>
      </c>
      <c r="C346" t="s">
        <v>1245</v>
      </c>
      <c r="D346" t="s">
        <v>1714</v>
      </c>
      <c r="E346" t="s">
        <v>4090</v>
      </c>
      <c r="F346" t="s">
        <v>4091</v>
      </c>
      <c r="G346" t="s">
        <v>4092</v>
      </c>
      <c r="H346" t="s">
        <v>4284</v>
      </c>
    </row>
    <row r="347" spans="1:8">
      <c r="A347">
        <v>11123526</v>
      </c>
      <c r="B347" t="s">
        <v>441</v>
      </c>
      <c r="C347" t="s">
        <v>1246</v>
      </c>
      <c r="D347" t="s">
        <v>1714</v>
      </c>
      <c r="E347" t="s">
        <v>4090</v>
      </c>
      <c r="F347" t="s">
        <v>4091</v>
      </c>
      <c r="G347" t="s">
        <v>4092</v>
      </c>
      <c r="H347" t="s">
        <v>4284</v>
      </c>
    </row>
    <row r="348" spans="1:8">
      <c r="A348">
        <v>11123512</v>
      </c>
      <c r="B348" t="s">
        <v>442</v>
      </c>
      <c r="C348" t="s">
        <v>1247</v>
      </c>
      <c r="D348" t="s">
        <v>1705</v>
      </c>
      <c r="E348" t="s">
        <v>4041</v>
      </c>
      <c r="F348" t="s">
        <v>4018</v>
      </c>
      <c r="G348" t="s">
        <v>4019</v>
      </c>
      <c r="H348" t="s">
        <v>4284</v>
      </c>
    </row>
    <row r="349" spans="1:8">
      <c r="A349">
        <v>11123514</v>
      </c>
      <c r="B349" t="s">
        <v>443</v>
      </c>
      <c r="C349" t="s">
        <v>1248</v>
      </c>
      <c r="D349" t="s">
        <v>1705</v>
      </c>
      <c r="E349" t="s">
        <v>4041</v>
      </c>
      <c r="F349" t="s">
        <v>4018</v>
      </c>
      <c r="G349" t="s">
        <v>4019</v>
      </c>
      <c r="H349" t="s">
        <v>4284</v>
      </c>
    </row>
    <row r="350" spans="1:8">
      <c r="A350">
        <v>11123536</v>
      </c>
      <c r="B350" t="s">
        <v>444</v>
      </c>
      <c r="C350" t="s">
        <v>1249</v>
      </c>
      <c r="D350" t="s">
        <v>1718</v>
      </c>
      <c r="E350" t="s">
        <v>4093</v>
      </c>
      <c r="F350" t="s">
        <v>4094</v>
      </c>
      <c r="G350" t="s">
        <v>4095</v>
      </c>
      <c r="H350" t="s">
        <v>4284</v>
      </c>
    </row>
    <row r="351" spans="1:8">
      <c r="A351">
        <v>11123345</v>
      </c>
      <c r="B351" t="s">
        <v>445</v>
      </c>
      <c r="C351" t="s">
        <v>1250</v>
      </c>
      <c r="D351" t="s">
        <v>1722</v>
      </c>
      <c r="E351" t="s">
        <v>4096</v>
      </c>
      <c r="F351" t="s">
        <v>4097</v>
      </c>
      <c r="G351" t="s">
        <v>4098</v>
      </c>
      <c r="H351" t="s">
        <v>4284</v>
      </c>
    </row>
    <row r="352" spans="1:8">
      <c r="A352">
        <v>11123347</v>
      </c>
      <c r="B352" t="s">
        <v>446</v>
      </c>
      <c r="C352" t="s">
        <v>1251</v>
      </c>
      <c r="D352" t="s">
        <v>1722</v>
      </c>
      <c r="E352" t="s">
        <v>4096</v>
      </c>
      <c r="F352" t="s">
        <v>4097</v>
      </c>
      <c r="G352" t="s">
        <v>4098</v>
      </c>
      <c r="H352" t="s">
        <v>4284</v>
      </c>
    </row>
    <row r="353" spans="1:8">
      <c r="A353">
        <v>11125675</v>
      </c>
      <c r="B353" t="s">
        <v>447</v>
      </c>
      <c r="C353" t="s">
        <v>968</v>
      </c>
      <c r="D353" t="s">
        <v>1726</v>
      </c>
      <c r="E353" t="s">
        <v>3956</v>
      </c>
      <c r="F353" t="s">
        <v>4099</v>
      </c>
      <c r="G353" t="s">
        <v>4100</v>
      </c>
      <c r="H353" t="s">
        <v>4284</v>
      </c>
    </row>
    <row r="354" spans="1:8">
      <c r="A354">
        <v>11125674</v>
      </c>
      <c r="B354" t="s">
        <v>448</v>
      </c>
      <c r="C354" t="s">
        <v>1064</v>
      </c>
      <c r="D354" t="s">
        <v>1726</v>
      </c>
      <c r="E354" t="s">
        <v>3956</v>
      </c>
      <c r="F354" t="s">
        <v>4099</v>
      </c>
      <c r="G354" t="s">
        <v>4100</v>
      </c>
      <c r="H354" t="s">
        <v>4284</v>
      </c>
    </row>
    <row r="355" spans="1:8">
      <c r="A355">
        <v>11125723</v>
      </c>
      <c r="B355" t="s">
        <v>449</v>
      </c>
      <c r="C355" t="s">
        <v>996</v>
      </c>
      <c r="D355" t="s">
        <v>1730</v>
      </c>
      <c r="E355" t="s">
        <v>4101</v>
      </c>
      <c r="F355" t="s">
        <v>3992</v>
      </c>
      <c r="G355" t="s">
        <v>3993</v>
      </c>
      <c r="H355" t="s">
        <v>4284</v>
      </c>
    </row>
    <row r="356" spans="1:8">
      <c r="A356">
        <v>11125715</v>
      </c>
      <c r="B356" t="s">
        <v>450</v>
      </c>
      <c r="C356" t="s">
        <v>989</v>
      </c>
      <c r="D356" t="s">
        <v>1732</v>
      </c>
      <c r="E356" t="s">
        <v>4102</v>
      </c>
      <c r="F356" t="s">
        <v>3990</v>
      </c>
      <c r="G356" t="s">
        <v>3991</v>
      </c>
      <c r="H356" t="s">
        <v>4284</v>
      </c>
    </row>
    <row r="357" spans="1:8">
      <c r="A357">
        <v>11125078</v>
      </c>
      <c r="B357" t="s">
        <v>451</v>
      </c>
      <c r="C357" t="s">
        <v>1252</v>
      </c>
      <c r="D357" t="s">
        <v>1734</v>
      </c>
      <c r="E357" t="s">
        <v>4103</v>
      </c>
      <c r="F357" t="s">
        <v>3970</v>
      </c>
      <c r="G357" t="s">
        <v>3971</v>
      </c>
      <c r="H357" t="s">
        <v>4284</v>
      </c>
    </row>
    <row r="358" spans="1:8">
      <c r="A358">
        <v>11124954</v>
      </c>
      <c r="B358" t="s">
        <v>452</v>
      </c>
      <c r="C358" t="s">
        <v>1217</v>
      </c>
      <c r="D358" t="s">
        <v>1736</v>
      </c>
      <c r="E358" t="s">
        <v>4013</v>
      </c>
      <c r="F358" t="s">
        <v>4014</v>
      </c>
      <c r="G358" t="s">
        <v>4015</v>
      </c>
      <c r="H358" t="s">
        <v>4284</v>
      </c>
    </row>
    <row r="359" spans="1:8">
      <c r="A359">
        <v>11124958</v>
      </c>
      <c r="B359" t="s">
        <v>453</v>
      </c>
      <c r="C359" t="s">
        <v>1146</v>
      </c>
      <c r="D359" t="s">
        <v>1737</v>
      </c>
      <c r="E359" t="s">
        <v>4016</v>
      </c>
      <c r="F359" t="s">
        <v>4003</v>
      </c>
      <c r="G359" t="s">
        <v>4004</v>
      </c>
      <c r="H359" t="s">
        <v>4284</v>
      </c>
    </row>
    <row r="360" spans="1:8">
      <c r="A360">
        <v>11124962</v>
      </c>
      <c r="B360" t="s">
        <v>454</v>
      </c>
      <c r="C360" t="s">
        <v>1149</v>
      </c>
      <c r="D360" t="s">
        <v>1738</v>
      </c>
      <c r="E360" t="s">
        <v>4017</v>
      </c>
      <c r="F360" t="s">
        <v>4018</v>
      </c>
      <c r="G360" t="s">
        <v>4019</v>
      </c>
      <c r="H360" t="s">
        <v>4284</v>
      </c>
    </row>
    <row r="361" spans="1:8">
      <c r="A361">
        <v>11124940</v>
      </c>
      <c r="B361" t="s">
        <v>455</v>
      </c>
      <c r="C361" t="s">
        <v>1253</v>
      </c>
      <c r="D361" t="s">
        <v>1739</v>
      </c>
      <c r="E361" t="s">
        <v>4104</v>
      </c>
      <c r="F361" t="s">
        <v>3960</v>
      </c>
      <c r="G361" t="s">
        <v>3961</v>
      </c>
      <c r="H361" t="s">
        <v>4284</v>
      </c>
    </row>
    <row r="362" spans="1:8">
      <c r="A362">
        <v>11124941</v>
      </c>
      <c r="B362" t="s">
        <v>456</v>
      </c>
      <c r="C362" t="s">
        <v>1254</v>
      </c>
      <c r="D362" t="s">
        <v>1741</v>
      </c>
      <c r="E362" t="s">
        <v>4105</v>
      </c>
      <c r="F362" t="s">
        <v>3960</v>
      </c>
      <c r="G362" t="s">
        <v>3961</v>
      </c>
      <c r="H362" t="s">
        <v>4284</v>
      </c>
    </row>
    <row r="363" spans="1:8">
      <c r="A363">
        <v>11124942</v>
      </c>
      <c r="B363" t="s">
        <v>457</v>
      </c>
      <c r="C363" t="s">
        <v>981</v>
      </c>
      <c r="D363" t="s">
        <v>1743</v>
      </c>
      <c r="E363" t="s">
        <v>4106</v>
      </c>
      <c r="F363" t="s">
        <v>3960</v>
      </c>
      <c r="G363" t="s">
        <v>3961</v>
      </c>
      <c r="H363" t="s">
        <v>4284</v>
      </c>
    </row>
    <row r="364" spans="1:8">
      <c r="A364">
        <v>11125099</v>
      </c>
      <c r="B364" t="s">
        <v>458</v>
      </c>
      <c r="C364" t="s">
        <v>1255</v>
      </c>
      <c r="D364" t="s">
        <v>1745</v>
      </c>
      <c r="E364" t="s">
        <v>4107</v>
      </c>
      <c r="F364" t="s">
        <v>4108</v>
      </c>
      <c r="G364" t="s">
        <v>4109</v>
      </c>
      <c r="H364" t="s">
        <v>4284</v>
      </c>
    </row>
    <row r="365" spans="1:8">
      <c r="A365">
        <v>11125072</v>
      </c>
      <c r="B365" t="s">
        <v>459</v>
      </c>
      <c r="C365" t="s">
        <v>1229</v>
      </c>
      <c r="D365" t="s">
        <v>1749</v>
      </c>
      <c r="E365" t="s">
        <v>4007</v>
      </c>
      <c r="F365" t="s">
        <v>4008</v>
      </c>
      <c r="G365" t="s">
        <v>4009</v>
      </c>
      <c r="H365" t="s">
        <v>4284</v>
      </c>
    </row>
    <row r="366" spans="1:8">
      <c r="A366">
        <v>11125073</v>
      </c>
      <c r="B366" t="s">
        <v>460</v>
      </c>
      <c r="C366" t="s">
        <v>1232</v>
      </c>
      <c r="D366" t="s">
        <v>1749</v>
      </c>
      <c r="E366" t="s">
        <v>4007</v>
      </c>
      <c r="F366" t="s">
        <v>4008</v>
      </c>
      <c r="G366" t="s">
        <v>4009</v>
      </c>
      <c r="H366" t="s">
        <v>4284</v>
      </c>
    </row>
    <row r="367" spans="1:8">
      <c r="A367">
        <v>11125084</v>
      </c>
      <c r="B367" t="s">
        <v>461</v>
      </c>
      <c r="C367" t="s">
        <v>1256</v>
      </c>
      <c r="D367" t="s">
        <v>1750</v>
      </c>
      <c r="E367" t="s">
        <v>4010</v>
      </c>
      <c r="F367" t="s">
        <v>4094</v>
      </c>
      <c r="G367" t="s">
        <v>4095</v>
      </c>
      <c r="H367" t="s">
        <v>4284</v>
      </c>
    </row>
    <row r="368" spans="1:8">
      <c r="A368">
        <v>11125082</v>
      </c>
      <c r="B368" t="s">
        <v>462</v>
      </c>
      <c r="C368" t="s">
        <v>1257</v>
      </c>
      <c r="D368" t="s">
        <v>1750</v>
      </c>
      <c r="E368" t="s">
        <v>4010</v>
      </c>
      <c r="F368" t="s">
        <v>4094</v>
      </c>
      <c r="G368" t="s">
        <v>4095</v>
      </c>
      <c r="H368" t="s">
        <v>4284</v>
      </c>
    </row>
    <row r="369" spans="1:8">
      <c r="A369">
        <v>11125012</v>
      </c>
      <c r="B369" t="s">
        <v>463</v>
      </c>
      <c r="C369" t="s">
        <v>1258</v>
      </c>
      <c r="D369" t="s">
        <v>1751</v>
      </c>
      <c r="E369" t="s">
        <v>4006</v>
      </c>
      <c r="F369" t="s">
        <v>4110</v>
      </c>
      <c r="G369" t="s">
        <v>4111</v>
      </c>
      <c r="H369" t="s">
        <v>4284</v>
      </c>
    </row>
    <row r="370" spans="1:8">
      <c r="A370">
        <v>11125042</v>
      </c>
      <c r="B370" t="s">
        <v>464</v>
      </c>
      <c r="C370" t="s">
        <v>1259</v>
      </c>
      <c r="D370" t="s">
        <v>1754</v>
      </c>
      <c r="E370" t="s">
        <v>4112</v>
      </c>
      <c r="F370" t="s">
        <v>4055</v>
      </c>
      <c r="G370" t="s">
        <v>4056</v>
      </c>
      <c r="H370" t="s">
        <v>4284</v>
      </c>
    </row>
    <row r="371" spans="1:8">
      <c r="A371">
        <v>11120127</v>
      </c>
      <c r="B371" t="s">
        <v>465</v>
      </c>
      <c r="C371" t="s">
        <v>1218</v>
      </c>
      <c r="D371" t="s">
        <v>1736</v>
      </c>
      <c r="E371" t="s">
        <v>4013</v>
      </c>
      <c r="F371" t="s">
        <v>4014</v>
      </c>
      <c r="G371" t="s">
        <v>4015</v>
      </c>
      <c r="H371" t="s">
        <v>4284</v>
      </c>
    </row>
    <row r="372" spans="1:8">
      <c r="A372">
        <v>11120125</v>
      </c>
      <c r="B372" t="s">
        <v>466</v>
      </c>
      <c r="C372" t="s">
        <v>1147</v>
      </c>
      <c r="D372" t="s">
        <v>1737</v>
      </c>
      <c r="E372" t="s">
        <v>4016</v>
      </c>
      <c r="F372" t="s">
        <v>4003</v>
      </c>
      <c r="G372" t="s">
        <v>4004</v>
      </c>
      <c r="H372" t="s">
        <v>4284</v>
      </c>
    </row>
    <row r="373" spans="1:8">
      <c r="A373">
        <v>11120129</v>
      </c>
      <c r="B373" t="s">
        <v>467</v>
      </c>
      <c r="C373" t="s">
        <v>1150</v>
      </c>
      <c r="D373" t="s">
        <v>1738</v>
      </c>
      <c r="E373" t="s">
        <v>4017</v>
      </c>
      <c r="F373" t="s">
        <v>4018</v>
      </c>
      <c r="G373" t="s">
        <v>4019</v>
      </c>
      <c r="H373" t="s">
        <v>4284</v>
      </c>
    </row>
    <row r="374" spans="1:8">
      <c r="A374">
        <v>11125716</v>
      </c>
      <c r="B374" t="s">
        <v>468</v>
      </c>
      <c r="C374" t="s">
        <v>991</v>
      </c>
      <c r="D374" t="s">
        <v>1732</v>
      </c>
      <c r="E374" t="s">
        <v>4102</v>
      </c>
      <c r="F374" t="s">
        <v>3990</v>
      </c>
      <c r="G374" t="s">
        <v>3991</v>
      </c>
      <c r="H374" t="s">
        <v>4284</v>
      </c>
    </row>
    <row r="375" spans="1:8">
      <c r="A375">
        <v>11125717</v>
      </c>
      <c r="B375" t="s">
        <v>469</v>
      </c>
      <c r="C375" t="s">
        <v>982</v>
      </c>
      <c r="D375" t="s">
        <v>1732</v>
      </c>
      <c r="E375" t="s">
        <v>4102</v>
      </c>
      <c r="F375" t="s">
        <v>3990</v>
      </c>
      <c r="G375" t="s">
        <v>3991</v>
      </c>
      <c r="H375" t="s">
        <v>4284</v>
      </c>
    </row>
    <row r="376" spans="1:8">
      <c r="A376">
        <v>11125718</v>
      </c>
      <c r="B376" t="s">
        <v>470</v>
      </c>
      <c r="C376" t="s">
        <v>992</v>
      </c>
      <c r="D376" t="s">
        <v>1732</v>
      </c>
      <c r="E376" t="s">
        <v>4102</v>
      </c>
      <c r="F376" t="s">
        <v>3990</v>
      </c>
      <c r="G376" t="s">
        <v>3991</v>
      </c>
      <c r="H376" t="s">
        <v>4284</v>
      </c>
    </row>
    <row r="377" spans="1:8">
      <c r="A377">
        <v>11125719</v>
      </c>
      <c r="B377" t="s">
        <v>471</v>
      </c>
      <c r="C377" t="s">
        <v>994</v>
      </c>
      <c r="D377" t="s">
        <v>1756</v>
      </c>
      <c r="E377" t="s">
        <v>4113</v>
      </c>
      <c r="F377" t="s">
        <v>3990</v>
      </c>
      <c r="G377" t="s">
        <v>3991</v>
      </c>
      <c r="H377" t="s">
        <v>4284</v>
      </c>
    </row>
    <row r="378" spans="1:8">
      <c r="A378">
        <v>11125720</v>
      </c>
      <c r="B378" t="s">
        <v>472</v>
      </c>
      <c r="C378" t="s">
        <v>995</v>
      </c>
      <c r="D378" t="s">
        <v>1756</v>
      </c>
      <c r="E378" t="s">
        <v>4113</v>
      </c>
      <c r="F378" t="s">
        <v>3990</v>
      </c>
      <c r="G378" t="s">
        <v>3991</v>
      </c>
      <c r="H378" t="s">
        <v>4284</v>
      </c>
    </row>
    <row r="379" spans="1:8">
      <c r="A379">
        <v>11125721</v>
      </c>
      <c r="B379" t="s">
        <v>473</v>
      </c>
      <c r="C379" t="s">
        <v>988</v>
      </c>
      <c r="D379" t="s">
        <v>1756</v>
      </c>
      <c r="E379" t="s">
        <v>4113</v>
      </c>
      <c r="F379" t="s">
        <v>3990</v>
      </c>
      <c r="G379" t="s">
        <v>3991</v>
      </c>
      <c r="H379" t="s">
        <v>4284</v>
      </c>
    </row>
    <row r="380" spans="1:8">
      <c r="A380">
        <v>11125722</v>
      </c>
      <c r="B380" t="s">
        <v>474</v>
      </c>
      <c r="C380" t="s">
        <v>993</v>
      </c>
      <c r="D380" t="s">
        <v>1756</v>
      </c>
      <c r="E380" t="s">
        <v>4113</v>
      </c>
      <c r="F380" t="s">
        <v>3990</v>
      </c>
      <c r="G380" t="s">
        <v>3991</v>
      </c>
      <c r="H380" t="s">
        <v>4284</v>
      </c>
    </row>
    <row r="381" spans="1:8">
      <c r="A381">
        <v>11125724</v>
      </c>
      <c r="B381" t="s">
        <v>475</v>
      </c>
      <c r="C381" t="s">
        <v>997</v>
      </c>
      <c r="D381" t="s">
        <v>1730</v>
      </c>
      <c r="E381" t="s">
        <v>4101</v>
      </c>
      <c r="F381" t="s">
        <v>3992</v>
      </c>
      <c r="G381" t="s">
        <v>3993</v>
      </c>
      <c r="H381" t="s">
        <v>4284</v>
      </c>
    </row>
    <row r="382" spans="1:8">
      <c r="A382">
        <v>11125725</v>
      </c>
      <c r="B382" t="s">
        <v>476</v>
      </c>
      <c r="C382" t="s">
        <v>979</v>
      </c>
      <c r="D382" t="s">
        <v>1730</v>
      </c>
      <c r="E382" t="s">
        <v>4101</v>
      </c>
      <c r="F382" t="s">
        <v>3992</v>
      </c>
      <c r="G382" t="s">
        <v>3993</v>
      </c>
      <c r="H382" t="s">
        <v>4284</v>
      </c>
    </row>
    <row r="383" spans="1:8">
      <c r="A383">
        <v>11125726</v>
      </c>
      <c r="B383" t="s">
        <v>477</v>
      </c>
      <c r="C383" t="s">
        <v>980</v>
      </c>
      <c r="D383" t="s">
        <v>1730</v>
      </c>
      <c r="E383" t="s">
        <v>4101</v>
      </c>
      <c r="F383" t="s">
        <v>3992</v>
      </c>
      <c r="G383" t="s">
        <v>3993</v>
      </c>
      <c r="H383" t="s">
        <v>4284</v>
      </c>
    </row>
    <row r="384" spans="1:8">
      <c r="A384">
        <v>11125727</v>
      </c>
      <c r="B384" t="s">
        <v>478</v>
      </c>
      <c r="C384" t="s">
        <v>1093</v>
      </c>
      <c r="D384" t="s">
        <v>1758</v>
      </c>
      <c r="E384" t="s">
        <v>4114</v>
      </c>
      <c r="F384" t="s">
        <v>3992</v>
      </c>
      <c r="G384" t="s">
        <v>3993</v>
      </c>
      <c r="H384" t="s">
        <v>4284</v>
      </c>
    </row>
    <row r="385" spans="1:8">
      <c r="A385">
        <v>11125728</v>
      </c>
      <c r="B385" t="s">
        <v>479</v>
      </c>
      <c r="C385" t="s">
        <v>1094</v>
      </c>
      <c r="D385" t="s">
        <v>1758</v>
      </c>
      <c r="E385" t="s">
        <v>4114</v>
      </c>
      <c r="F385" t="s">
        <v>3992</v>
      </c>
      <c r="G385" t="s">
        <v>3993</v>
      </c>
      <c r="H385" t="s">
        <v>4284</v>
      </c>
    </row>
    <row r="386" spans="1:8">
      <c r="A386">
        <v>11125729</v>
      </c>
      <c r="B386" t="s">
        <v>480</v>
      </c>
      <c r="C386" t="s">
        <v>987</v>
      </c>
      <c r="D386" t="s">
        <v>1758</v>
      </c>
      <c r="E386" t="s">
        <v>4114</v>
      </c>
      <c r="F386" t="s">
        <v>3992</v>
      </c>
      <c r="G386" t="s">
        <v>3993</v>
      </c>
      <c r="H386" t="s">
        <v>4284</v>
      </c>
    </row>
    <row r="387" spans="1:8">
      <c r="A387">
        <v>11125730</v>
      </c>
      <c r="B387" t="s">
        <v>481</v>
      </c>
      <c r="C387" t="s">
        <v>998</v>
      </c>
      <c r="D387" t="s">
        <v>1758</v>
      </c>
      <c r="E387" t="s">
        <v>4114</v>
      </c>
      <c r="F387" t="s">
        <v>3992</v>
      </c>
      <c r="G387" t="s">
        <v>3993</v>
      </c>
      <c r="H387" t="s">
        <v>4284</v>
      </c>
    </row>
    <row r="388" spans="1:8">
      <c r="A388">
        <v>11125092</v>
      </c>
      <c r="B388" t="s">
        <v>482</v>
      </c>
      <c r="C388" t="s">
        <v>1117</v>
      </c>
      <c r="D388" t="s">
        <v>1750</v>
      </c>
      <c r="E388" t="s">
        <v>4010</v>
      </c>
      <c r="F388" t="s">
        <v>4011</v>
      </c>
      <c r="G388" t="s">
        <v>4012</v>
      </c>
      <c r="H388" t="s">
        <v>4284</v>
      </c>
    </row>
    <row r="389" spans="1:8">
      <c r="A389">
        <v>11126748</v>
      </c>
      <c r="B389" t="s">
        <v>483</v>
      </c>
      <c r="C389" t="s">
        <v>1104</v>
      </c>
      <c r="D389" t="s">
        <v>1760</v>
      </c>
      <c r="E389" t="s">
        <v>3969</v>
      </c>
      <c r="F389" t="s">
        <v>3970</v>
      </c>
      <c r="G389" t="s">
        <v>3971</v>
      </c>
      <c r="H389" t="s">
        <v>4284</v>
      </c>
    </row>
    <row r="390" spans="1:8">
      <c r="A390">
        <v>11123398</v>
      </c>
      <c r="B390" t="s">
        <v>484</v>
      </c>
      <c r="C390" t="s">
        <v>1095</v>
      </c>
      <c r="D390" t="s">
        <v>1761</v>
      </c>
      <c r="E390" t="s">
        <v>4115</v>
      </c>
      <c r="F390" t="s">
        <v>3960</v>
      </c>
      <c r="G390" t="s">
        <v>3961</v>
      </c>
      <c r="H390" t="s">
        <v>4284</v>
      </c>
    </row>
    <row r="391" spans="1:8">
      <c r="A391">
        <v>11123399</v>
      </c>
      <c r="B391" t="s">
        <v>485</v>
      </c>
      <c r="C391" t="s">
        <v>1096</v>
      </c>
      <c r="D391" t="s">
        <v>1763</v>
      </c>
      <c r="E391" t="s">
        <v>4116</v>
      </c>
      <c r="F391" t="s">
        <v>3960</v>
      </c>
      <c r="G391" t="s">
        <v>3961</v>
      </c>
      <c r="H391" t="s">
        <v>4284</v>
      </c>
    </row>
    <row r="392" spans="1:8">
      <c r="A392">
        <v>11125782</v>
      </c>
      <c r="B392" t="s">
        <v>486</v>
      </c>
      <c r="C392" t="s">
        <v>1119</v>
      </c>
      <c r="D392" t="s">
        <v>1765</v>
      </c>
      <c r="E392" t="s">
        <v>4117</v>
      </c>
      <c r="F392" t="s">
        <v>4014</v>
      </c>
      <c r="G392" t="s">
        <v>4015</v>
      </c>
      <c r="H392" t="s">
        <v>4284</v>
      </c>
    </row>
    <row r="393" spans="1:8">
      <c r="A393">
        <v>11125783</v>
      </c>
      <c r="B393" t="s">
        <v>487</v>
      </c>
      <c r="C393" t="s">
        <v>1260</v>
      </c>
      <c r="D393" t="s">
        <v>1765</v>
      </c>
      <c r="E393" t="s">
        <v>4117</v>
      </c>
      <c r="F393" t="s">
        <v>4014</v>
      </c>
      <c r="G393" t="s">
        <v>4015</v>
      </c>
      <c r="H393" t="s">
        <v>4284</v>
      </c>
    </row>
    <row r="394" spans="1:8">
      <c r="A394">
        <v>11125784</v>
      </c>
      <c r="B394" t="s">
        <v>488</v>
      </c>
      <c r="C394" t="s">
        <v>1120</v>
      </c>
      <c r="D394" t="s">
        <v>1765</v>
      </c>
      <c r="E394" t="s">
        <v>4117</v>
      </c>
      <c r="F394" t="s">
        <v>4014</v>
      </c>
      <c r="G394" t="s">
        <v>4015</v>
      </c>
      <c r="H394" t="s">
        <v>4284</v>
      </c>
    </row>
    <row r="395" spans="1:8">
      <c r="A395">
        <v>11125785</v>
      </c>
      <c r="B395" t="s">
        <v>489</v>
      </c>
      <c r="C395" t="s">
        <v>1261</v>
      </c>
      <c r="D395" t="s">
        <v>1765</v>
      </c>
      <c r="E395" t="s">
        <v>4117</v>
      </c>
      <c r="F395" t="s">
        <v>4014</v>
      </c>
      <c r="G395" t="s">
        <v>4015</v>
      </c>
      <c r="H395" t="s">
        <v>4284</v>
      </c>
    </row>
    <row r="396" spans="1:8">
      <c r="A396">
        <v>11125786</v>
      </c>
      <c r="B396" t="s">
        <v>490</v>
      </c>
      <c r="C396" t="s">
        <v>1121</v>
      </c>
      <c r="D396" t="s">
        <v>1765</v>
      </c>
      <c r="E396" t="s">
        <v>4117</v>
      </c>
      <c r="F396" t="s">
        <v>4014</v>
      </c>
      <c r="G396" t="s">
        <v>4015</v>
      </c>
      <c r="H396" t="s">
        <v>4284</v>
      </c>
    </row>
    <row r="397" spans="1:8">
      <c r="A397">
        <v>11125787</v>
      </c>
      <c r="B397" t="s">
        <v>491</v>
      </c>
      <c r="C397" t="s">
        <v>1262</v>
      </c>
      <c r="D397" t="s">
        <v>1765</v>
      </c>
      <c r="E397" t="s">
        <v>4117</v>
      </c>
      <c r="F397" t="s">
        <v>4014</v>
      </c>
      <c r="G397" t="s">
        <v>4015</v>
      </c>
      <c r="H397" t="s">
        <v>4284</v>
      </c>
    </row>
    <row r="398" spans="1:8">
      <c r="A398">
        <v>11125788</v>
      </c>
      <c r="B398" t="s">
        <v>492</v>
      </c>
      <c r="C398" t="s">
        <v>1123</v>
      </c>
      <c r="D398" t="s">
        <v>1767</v>
      </c>
      <c r="E398" t="s">
        <v>4118</v>
      </c>
      <c r="F398" t="s">
        <v>4003</v>
      </c>
      <c r="G398" t="s">
        <v>4004</v>
      </c>
      <c r="H398" t="s">
        <v>4284</v>
      </c>
    </row>
    <row r="399" spans="1:8">
      <c r="A399">
        <v>11125789</v>
      </c>
      <c r="B399" t="s">
        <v>493</v>
      </c>
      <c r="C399" t="s">
        <v>1263</v>
      </c>
      <c r="D399" t="s">
        <v>1767</v>
      </c>
      <c r="E399" t="s">
        <v>4118</v>
      </c>
      <c r="F399" t="s">
        <v>4003</v>
      </c>
      <c r="G399" t="s">
        <v>4004</v>
      </c>
      <c r="H399" t="s">
        <v>4284</v>
      </c>
    </row>
    <row r="400" spans="1:8">
      <c r="A400">
        <v>11125790</v>
      </c>
      <c r="B400" t="s">
        <v>494</v>
      </c>
      <c r="C400" t="s">
        <v>1124</v>
      </c>
      <c r="D400" t="s">
        <v>1767</v>
      </c>
      <c r="E400" t="s">
        <v>4118</v>
      </c>
      <c r="F400" t="s">
        <v>4003</v>
      </c>
      <c r="G400" t="s">
        <v>4004</v>
      </c>
      <c r="H400" t="s">
        <v>4284</v>
      </c>
    </row>
    <row r="401" spans="1:8">
      <c r="A401" t="s">
        <v>93</v>
      </c>
      <c r="B401" t="s">
        <v>495</v>
      </c>
      <c r="C401" t="s">
        <v>1264</v>
      </c>
      <c r="D401" t="s">
        <v>1767</v>
      </c>
      <c r="E401" t="s">
        <v>4118</v>
      </c>
      <c r="F401" t="s">
        <v>4003</v>
      </c>
      <c r="G401" t="s">
        <v>4004</v>
      </c>
      <c r="H401" t="s">
        <v>4284</v>
      </c>
    </row>
    <row r="402" spans="1:8">
      <c r="A402">
        <v>11125792</v>
      </c>
      <c r="B402" t="s">
        <v>496</v>
      </c>
      <c r="C402" t="s">
        <v>1148</v>
      </c>
      <c r="D402" t="s">
        <v>1767</v>
      </c>
      <c r="E402" t="s">
        <v>4118</v>
      </c>
      <c r="F402" t="s">
        <v>4003</v>
      </c>
      <c r="G402" t="s">
        <v>4004</v>
      </c>
      <c r="H402" t="s">
        <v>4284</v>
      </c>
    </row>
    <row r="403" spans="1:8">
      <c r="A403">
        <v>11125793</v>
      </c>
      <c r="B403" t="s">
        <v>497</v>
      </c>
      <c r="C403" t="s">
        <v>1265</v>
      </c>
      <c r="D403" t="s">
        <v>1767</v>
      </c>
      <c r="E403" t="s">
        <v>4118</v>
      </c>
      <c r="F403" t="s">
        <v>4003</v>
      </c>
      <c r="G403" t="s">
        <v>4004</v>
      </c>
      <c r="H403" t="s">
        <v>4284</v>
      </c>
    </row>
    <row r="404" spans="1:8">
      <c r="A404">
        <v>11125794</v>
      </c>
      <c r="B404" t="s">
        <v>498</v>
      </c>
      <c r="C404" t="s">
        <v>1126</v>
      </c>
      <c r="D404" t="s">
        <v>1769</v>
      </c>
      <c r="E404" t="s">
        <v>4119</v>
      </c>
      <c r="F404" t="s">
        <v>4018</v>
      </c>
      <c r="G404" t="s">
        <v>4019</v>
      </c>
      <c r="H404" t="s">
        <v>4284</v>
      </c>
    </row>
    <row r="405" spans="1:8">
      <c r="A405">
        <v>11125795</v>
      </c>
      <c r="B405" t="s">
        <v>499</v>
      </c>
      <c r="C405" t="s">
        <v>1266</v>
      </c>
      <c r="D405" t="s">
        <v>1769</v>
      </c>
      <c r="E405" t="s">
        <v>4119</v>
      </c>
      <c r="F405" t="s">
        <v>4018</v>
      </c>
      <c r="G405" t="s">
        <v>4019</v>
      </c>
      <c r="H405" t="s">
        <v>4284</v>
      </c>
    </row>
    <row r="406" spans="1:8">
      <c r="A406">
        <v>11125796</v>
      </c>
      <c r="B406" t="s">
        <v>500</v>
      </c>
      <c r="C406" t="s">
        <v>1127</v>
      </c>
      <c r="D406" t="s">
        <v>1769</v>
      </c>
      <c r="E406" t="s">
        <v>4119</v>
      </c>
      <c r="F406" t="s">
        <v>4018</v>
      </c>
      <c r="G406" t="s">
        <v>4019</v>
      </c>
      <c r="H406" t="s">
        <v>4284</v>
      </c>
    </row>
    <row r="407" spans="1:8">
      <c r="A407">
        <v>11125797</v>
      </c>
      <c r="B407" t="s">
        <v>501</v>
      </c>
      <c r="C407" t="s">
        <v>1267</v>
      </c>
      <c r="D407" t="s">
        <v>1769</v>
      </c>
      <c r="E407" t="s">
        <v>4119</v>
      </c>
      <c r="F407" t="s">
        <v>4018</v>
      </c>
      <c r="G407" t="s">
        <v>4019</v>
      </c>
      <c r="H407" t="s">
        <v>4284</v>
      </c>
    </row>
    <row r="408" spans="1:8">
      <c r="A408">
        <v>11125798</v>
      </c>
      <c r="B408" t="s">
        <v>502</v>
      </c>
      <c r="C408" t="s">
        <v>1151</v>
      </c>
      <c r="D408" t="s">
        <v>1769</v>
      </c>
      <c r="E408" t="s">
        <v>4119</v>
      </c>
      <c r="F408" t="s">
        <v>4018</v>
      </c>
      <c r="G408" t="s">
        <v>4019</v>
      </c>
      <c r="H408" t="s">
        <v>4284</v>
      </c>
    </row>
    <row r="409" spans="1:8">
      <c r="A409">
        <v>11125799</v>
      </c>
      <c r="B409" t="s">
        <v>503</v>
      </c>
      <c r="C409" t="s">
        <v>1268</v>
      </c>
      <c r="D409" t="s">
        <v>1769</v>
      </c>
      <c r="E409" t="s">
        <v>4119</v>
      </c>
      <c r="F409" t="s">
        <v>4018</v>
      </c>
      <c r="G409" t="s">
        <v>4019</v>
      </c>
      <c r="H409" t="s">
        <v>4284</v>
      </c>
    </row>
    <row r="410" spans="1:8">
      <c r="A410">
        <v>11121966</v>
      </c>
      <c r="B410" t="s">
        <v>504</v>
      </c>
      <c r="C410" t="s">
        <v>1081</v>
      </c>
      <c r="D410" t="s">
        <v>1771</v>
      </c>
      <c r="E410" t="s">
        <v>3989</v>
      </c>
      <c r="F410" t="s">
        <v>4120</v>
      </c>
      <c r="G410" t="s">
        <v>4121</v>
      </c>
      <c r="H410" t="s">
        <v>4284</v>
      </c>
    </row>
    <row r="411" spans="1:8">
      <c r="A411">
        <v>11121974</v>
      </c>
      <c r="B411" t="s">
        <v>505</v>
      </c>
      <c r="C411" t="s">
        <v>1080</v>
      </c>
      <c r="D411" t="s">
        <v>1774</v>
      </c>
      <c r="E411" t="s">
        <v>3988</v>
      </c>
      <c r="F411" t="s">
        <v>4122</v>
      </c>
      <c r="G411" t="s">
        <v>4123</v>
      </c>
      <c r="H411" t="s">
        <v>4284</v>
      </c>
    </row>
    <row r="412" spans="1:8">
      <c r="A412">
        <v>11125732</v>
      </c>
      <c r="B412" t="s">
        <v>506</v>
      </c>
      <c r="C412" t="s">
        <v>1136</v>
      </c>
      <c r="D412" t="s">
        <v>1777</v>
      </c>
      <c r="E412" t="s">
        <v>3949</v>
      </c>
      <c r="F412" t="s">
        <v>4077</v>
      </c>
      <c r="G412" t="s">
        <v>4078</v>
      </c>
      <c r="H412" t="s">
        <v>4284</v>
      </c>
    </row>
    <row r="413" spans="1:8">
      <c r="A413">
        <v>11125733</v>
      </c>
      <c r="B413" t="s">
        <v>507</v>
      </c>
      <c r="C413" t="s">
        <v>961</v>
      </c>
      <c r="D413" t="s">
        <v>1777</v>
      </c>
      <c r="E413" t="s">
        <v>3949</v>
      </c>
      <c r="F413" t="s">
        <v>4077</v>
      </c>
      <c r="G413" t="s">
        <v>4078</v>
      </c>
      <c r="H413" t="s">
        <v>4284</v>
      </c>
    </row>
    <row r="414" spans="1:8">
      <c r="A414" t="s">
        <v>94</v>
      </c>
      <c r="B414" t="s">
        <v>508</v>
      </c>
      <c r="C414" t="s">
        <v>962</v>
      </c>
      <c r="D414" t="s">
        <v>1777</v>
      </c>
      <c r="E414" t="s">
        <v>3949</v>
      </c>
      <c r="F414" t="s">
        <v>4077</v>
      </c>
      <c r="G414" t="s">
        <v>4078</v>
      </c>
      <c r="H414" t="s">
        <v>4284</v>
      </c>
    </row>
    <row r="415" spans="1:8">
      <c r="A415">
        <v>11125737</v>
      </c>
      <c r="B415" t="s">
        <v>509</v>
      </c>
      <c r="C415" t="s">
        <v>963</v>
      </c>
      <c r="D415" t="s">
        <v>1778</v>
      </c>
      <c r="E415" t="s">
        <v>3950</v>
      </c>
      <c r="F415" t="s">
        <v>4079</v>
      </c>
      <c r="G415" t="s">
        <v>4080</v>
      </c>
      <c r="H415" t="s">
        <v>4284</v>
      </c>
    </row>
    <row r="416" spans="1:8">
      <c r="A416">
        <v>11125738</v>
      </c>
      <c r="B416" t="s">
        <v>510</v>
      </c>
      <c r="C416" t="s">
        <v>964</v>
      </c>
      <c r="D416" t="s">
        <v>1778</v>
      </c>
      <c r="E416" t="s">
        <v>3950</v>
      </c>
      <c r="F416" t="s">
        <v>4079</v>
      </c>
      <c r="G416" t="s">
        <v>4080</v>
      </c>
      <c r="H416" t="s">
        <v>4284</v>
      </c>
    </row>
    <row r="417" spans="1:8">
      <c r="A417">
        <v>11125626</v>
      </c>
      <c r="B417" t="s">
        <v>511</v>
      </c>
      <c r="C417" t="s">
        <v>1008</v>
      </c>
      <c r="D417" t="s">
        <v>1779</v>
      </c>
      <c r="E417" t="s">
        <v>4124</v>
      </c>
      <c r="F417" t="s">
        <v>4125</v>
      </c>
      <c r="G417" t="s">
        <v>4126</v>
      </c>
      <c r="H417" t="s">
        <v>4284</v>
      </c>
    </row>
    <row r="418" spans="1:8">
      <c r="A418">
        <v>11125669</v>
      </c>
      <c r="B418" t="s">
        <v>512</v>
      </c>
      <c r="C418" t="s">
        <v>1272</v>
      </c>
      <c r="D418" t="s">
        <v>1783</v>
      </c>
      <c r="E418" t="s">
        <v>3957</v>
      </c>
      <c r="F418" t="s">
        <v>4127</v>
      </c>
      <c r="G418" t="s">
        <v>4128</v>
      </c>
      <c r="H418" t="s">
        <v>4284</v>
      </c>
    </row>
    <row r="419" spans="1:8">
      <c r="A419">
        <v>11126848</v>
      </c>
      <c r="B419" t="s">
        <v>513</v>
      </c>
      <c r="C419" t="s">
        <v>1277</v>
      </c>
      <c r="D419" t="s">
        <v>1786</v>
      </c>
      <c r="E419" t="s">
        <v>4129</v>
      </c>
      <c r="F419" t="s">
        <v>4130</v>
      </c>
      <c r="G419" t="s">
        <v>4131</v>
      </c>
      <c r="H419" t="s">
        <v>4284</v>
      </c>
    </row>
    <row r="420" spans="1:8">
      <c r="A420">
        <v>11126849</v>
      </c>
      <c r="B420" t="s">
        <v>514</v>
      </c>
      <c r="C420" t="s">
        <v>1278</v>
      </c>
      <c r="D420" t="s">
        <v>1786</v>
      </c>
      <c r="E420" t="s">
        <v>4129</v>
      </c>
      <c r="F420" t="s">
        <v>4130</v>
      </c>
      <c r="G420" t="s">
        <v>4131</v>
      </c>
      <c r="H420" t="s">
        <v>4284</v>
      </c>
    </row>
    <row r="421" spans="1:8">
      <c r="A421">
        <v>11126850</v>
      </c>
      <c r="B421" t="s">
        <v>515</v>
      </c>
      <c r="C421" t="s">
        <v>1279</v>
      </c>
      <c r="D421" t="s">
        <v>1786</v>
      </c>
      <c r="E421" t="s">
        <v>4129</v>
      </c>
      <c r="F421" t="s">
        <v>4130</v>
      </c>
      <c r="G421" t="s">
        <v>4131</v>
      </c>
      <c r="H421" t="s">
        <v>4284</v>
      </c>
    </row>
    <row r="422" spans="1:8">
      <c r="A422">
        <v>11126851</v>
      </c>
      <c r="B422" t="s">
        <v>516</v>
      </c>
      <c r="C422" t="s">
        <v>1221</v>
      </c>
      <c r="D422" t="s">
        <v>1786</v>
      </c>
      <c r="E422" t="s">
        <v>4129</v>
      </c>
      <c r="F422" t="s">
        <v>4130</v>
      </c>
      <c r="G422" t="s">
        <v>4131</v>
      </c>
      <c r="H422" t="s">
        <v>4284</v>
      </c>
    </row>
    <row r="423" spans="1:8">
      <c r="A423">
        <v>11126852</v>
      </c>
      <c r="B423" t="s">
        <v>517</v>
      </c>
      <c r="C423" t="s">
        <v>1048</v>
      </c>
      <c r="D423" t="s">
        <v>1786</v>
      </c>
      <c r="E423" t="s">
        <v>4129</v>
      </c>
      <c r="F423" t="s">
        <v>4130</v>
      </c>
      <c r="G423" t="s">
        <v>4131</v>
      </c>
      <c r="H423" t="s">
        <v>4284</v>
      </c>
    </row>
    <row r="424" spans="1:8">
      <c r="A424">
        <v>11126853</v>
      </c>
      <c r="B424" t="s">
        <v>518</v>
      </c>
      <c r="C424" t="s">
        <v>1222</v>
      </c>
      <c r="D424" t="s">
        <v>1786</v>
      </c>
      <c r="E424" t="s">
        <v>4129</v>
      </c>
      <c r="F424" t="s">
        <v>4130</v>
      </c>
      <c r="G424" t="s">
        <v>4131</v>
      </c>
      <c r="H424" t="s">
        <v>4284</v>
      </c>
    </row>
    <row r="425" spans="1:8">
      <c r="A425">
        <v>11126854</v>
      </c>
      <c r="B425" t="s">
        <v>519</v>
      </c>
      <c r="C425" t="s">
        <v>1223</v>
      </c>
      <c r="D425" t="s">
        <v>1790</v>
      </c>
      <c r="E425" t="s">
        <v>4132</v>
      </c>
      <c r="F425" t="s">
        <v>4011</v>
      </c>
      <c r="G425" t="s">
        <v>4012</v>
      </c>
      <c r="H425" t="s">
        <v>4284</v>
      </c>
    </row>
    <row r="426" spans="1:8">
      <c r="A426">
        <v>11126855</v>
      </c>
      <c r="B426" t="s">
        <v>520</v>
      </c>
      <c r="C426" t="s">
        <v>1224</v>
      </c>
      <c r="D426" t="s">
        <v>1790</v>
      </c>
      <c r="E426" t="s">
        <v>4132</v>
      </c>
      <c r="F426" t="s">
        <v>4011</v>
      </c>
      <c r="G426" t="s">
        <v>4012</v>
      </c>
      <c r="H426" t="s">
        <v>4284</v>
      </c>
    </row>
    <row r="427" spans="1:8">
      <c r="A427">
        <v>11126856</v>
      </c>
      <c r="B427" t="s">
        <v>521</v>
      </c>
      <c r="C427" t="s">
        <v>1195</v>
      </c>
      <c r="D427" t="s">
        <v>1790</v>
      </c>
      <c r="E427" t="s">
        <v>4132</v>
      </c>
      <c r="F427" t="s">
        <v>4133</v>
      </c>
      <c r="G427" t="s">
        <v>4134</v>
      </c>
      <c r="H427" t="s">
        <v>4284</v>
      </c>
    </row>
    <row r="428" spans="1:8">
      <c r="A428">
        <v>11126857</v>
      </c>
      <c r="B428" t="s">
        <v>522</v>
      </c>
      <c r="C428" t="s">
        <v>1196</v>
      </c>
      <c r="D428" t="s">
        <v>1790</v>
      </c>
      <c r="E428" t="s">
        <v>4132</v>
      </c>
      <c r="F428" t="s">
        <v>4133</v>
      </c>
      <c r="G428" t="s">
        <v>4134</v>
      </c>
      <c r="H428" t="s">
        <v>4284</v>
      </c>
    </row>
    <row r="429" spans="1:8">
      <c r="A429">
        <v>11126858</v>
      </c>
      <c r="B429" t="s">
        <v>523</v>
      </c>
      <c r="C429" t="s">
        <v>1280</v>
      </c>
      <c r="D429" t="s">
        <v>1794</v>
      </c>
      <c r="E429" t="s">
        <v>4135</v>
      </c>
      <c r="F429" t="s">
        <v>3974</v>
      </c>
      <c r="G429" t="s">
        <v>3975</v>
      </c>
      <c r="H429" t="s">
        <v>4284</v>
      </c>
    </row>
    <row r="430" spans="1:8">
      <c r="A430">
        <v>11126859</v>
      </c>
      <c r="B430" t="s">
        <v>524</v>
      </c>
      <c r="C430" t="s">
        <v>1281</v>
      </c>
      <c r="D430" t="s">
        <v>1794</v>
      </c>
      <c r="E430" t="s">
        <v>4135</v>
      </c>
      <c r="F430" t="s">
        <v>3974</v>
      </c>
      <c r="G430" t="s">
        <v>3975</v>
      </c>
      <c r="H430" t="s">
        <v>4284</v>
      </c>
    </row>
    <row r="431" spans="1:8">
      <c r="A431">
        <v>11126860</v>
      </c>
      <c r="B431" t="s">
        <v>525</v>
      </c>
      <c r="C431" t="s">
        <v>1282</v>
      </c>
      <c r="D431" t="s">
        <v>1794</v>
      </c>
      <c r="E431" t="s">
        <v>4135</v>
      </c>
      <c r="F431" t="s">
        <v>3974</v>
      </c>
      <c r="G431" t="s">
        <v>3975</v>
      </c>
      <c r="H431" t="s">
        <v>4284</v>
      </c>
    </row>
    <row r="432" spans="1:8">
      <c r="A432">
        <v>11126861</v>
      </c>
      <c r="B432" t="s">
        <v>526</v>
      </c>
      <c r="C432" t="s">
        <v>1270</v>
      </c>
      <c r="D432" t="s">
        <v>1794</v>
      </c>
      <c r="E432" t="s">
        <v>4135</v>
      </c>
      <c r="F432" t="s">
        <v>3974</v>
      </c>
      <c r="G432" t="s">
        <v>3975</v>
      </c>
      <c r="H432" t="s">
        <v>4284</v>
      </c>
    </row>
    <row r="433" spans="1:8">
      <c r="A433">
        <v>11126862</v>
      </c>
      <c r="B433" t="s">
        <v>527</v>
      </c>
      <c r="C433" t="s">
        <v>1271</v>
      </c>
      <c r="D433" t="s">
        <v>1794</v>
      </c>
      <c r="E433" t="s">
        <v>4135</v>
      </c>
      <c r="F433" t="s">
        <v>3974</v>
      </c>
      <c r="G433" t="s">
        <v>3975</v>
      </c>
      <c r="H433" t="s">
        <v>4284</v>
      </c>
    </row>
    <row r="434" spans="1:8">
      <c r="A434">
        <v>11126863</v>
      </c>
      <c r="B434" t="s">
        <v>528</v>
      </c>
      <c r="C434" t="s">
        <v>1272</v>
      </c>
      <c r="D434" t="s">
        <v>1794</v>
      </c>
      <c r="E434" t="s">
        <v>4135</v>
      </c>
      <c r="F434" t="s">
        <v>3974</v>
      </c>
      <c r="G434" t="s">
        <v>3975</v>
      </c>
      <c r="H434" t="s">
        <v>4284</v>
      </c>
    </row>
    <row r="435" spans="1:8">
      <c r="A435">
        <v>11126864</v>
      </c>
      <c r="B435" t="s">
        <v>529</v>
      </c>
      <c r="C435" t="s">
        <v>1273</v>
      </c>
      <c r="D435" t="s">
        <v>1796</v>
      </c>
      <c r="E435" t="s">
        <v>4136</v>
      </c>
      <c r="F435" t="s">
        <v>4137</v>
      </c>
      <c r="G435" t="s">
        <v>4138</v>
      </c>
      <c r="H435" t="s">
        <v>4284</v>
      </c>
    </row>
    <row r="436" spans="1:8">
      <c r="A436">
        <v>11126865</v>
      </c>
      <c r="B436" t="s">
        <v>530</v>
      </c>
      <c r="C436" t="s">
        <v>1274</v>
      </c>
      <c r="D436" t="s">
        <v>1796</v>
      </c>
      <c r="E436" t="s">
        <v>4136</v>
      </c>
      <c r="F436" t="s">
        <v>4137</v>
      </c>
      <c r="G436" t="s">
        <v>4138</v>
      </c>
      <c r="H436" t="s">
        <v>4284</v>
      </c>
    </row>
    <row r="437" spans="1:8">
      <c r="A437">
        <v>11126866</v>
      </c>
      <c r="B437" t="s">
        <v>531</v>
      </c>
      <c r="C437" t="s">
        <v>1275</v>
      </c>
      <c r="D437" t="s">
        <v>1796</v>
      </c>
      <c r="E437" t="s">
        <v>4136</v>
      </c>
      <c r="F437" t="s">
        <v>4137</v>
      </c>
      <c r="G437" t="s">
        <v>4138</v>
      </c>
      <c r="H437" t="s">
        <v>4284</v>
      </c>
    </row>
    <row r="438" spans="1:8">
      <c r="A438">
        <v>11126867</v>
      </c>
      <c r="B438" t="s">
        <v>532</v>
      </c>
      <c r="C438" t="s">
        <v>1276</v>
      </c>
      <c r="D438" t="s">
        <v>1796</v>
      </c>
      <c r="E438" t="s">
        <v>4136</v>
      </c>
      <c r="F438" t="s">
        <v>4137</v>
      </c>
      <c r="G438" t="s">
        <v>4138</v>
      </c>
      <c r="H438" t="s">
        <v>4284</v>
      </c>
    </row>
    <row r="439" spans="1:8">
      <c r="A439">
        <v>11126868</v>
      </c>
      <c r="B439" t="s">
        <v>533</v>
      </c>
      <c r="C439" t="s">
        <v>1283</v>
      </c>
      <c r="D439" t="s">
        <v>1796</v>
      </c>
      <c r="E439" t="s">
        <v>4136</v>
      </c>
      <c r="F439" t="s">
        <v>4137</v>
      </c>
      <c r="G439" t="s">
        <v>4138</v>
      </c>
      <c r="H439" t="s">
        <v>4284</v>
      </c>
    </row>
    <row r="440" spans="1:8">
      <c r="A440">
        <v>11126869</v>
      </c>
      <c r="B440" t="s">
        <v>534</v>
      </c>
      <c r="C440" t="s">
        <v>1284</v>
      </c>
      <c r="D440" t="s">
        <v>1796</v>
      </c>
      <c r="E440" t="s">
        <v>4136</v>
      </c>
      <c r="F440" t="s">
        <v>4137</v>
      </c>
      <c r="G440" t="s">
        <v>4138</v>
      </c>
      <c r="H440" t="s">
        <v>4284</v>
      </c>
    </row>
    <row r="441" spans="1:8">
      <c r="A441">
        <v>11126870</v>
      </c>
      <c r="B441" t="s">
        <v>535</v>
      </c>
      <c r="C441" t="s">
        <v>1285</v>
      </c>
      <c r="D441" t="s">
        <v>1800</v>
      </c>
      <c r="E441" t="s">
        <v>4139</v>
      </c>
      <c r="F441" t="s">
        <v>4024</v>
      </c>
      <c r="G441" t="s">
        <v>4025</v>
      </c>
      <c r="H441" t="s">
        <v>4284</v>
      </c>
    </row>
    <row r="442" spans="1:8">
      <c r="A442">
        <v>11126871</v>
      </c>
      <c r="B442" t="s">
        <v>536</v>
      </c>
      <c r="C442" t="s">
        <v>1286</v>
      </c>
      <c r="D442" t="s">
        <v>1800</v>
      </c>
      <c r="E442" t="s">
        <v>4139</v>
      </c>
      <c r="F442" t="s">
        <v>4024</v>
      </c>
      <c r="G442" t="s">
        <v>4025</v>
      </c>
      <c r="H442" t="s">
        <v>4284</v>
      </c>
    </row>
    <row r="443" spans="1:8">
      <c r="A443">
        <v>11126872</v>
      </c>
      <c r="B443" t="s">
        <v>537</v>
      </c>
      <c r="C443" t="s">
        <v>1287</v>
      </c>
      <c r="D443" t="s">
        <v>1800</v>
      </c>
      <c r="E443" t="s">
        <v>4139</v>
      </c>
      <c r="F443" t="s">
        <v>4024</v>
      </c>
      <c r="G443" t="s">
        <v>4025</v>
      </c>
      <c r="H443" t="s">
        <v>4284</v>
      </c>
    </row>
    <row r="444" spans="1:8">
      <c r="A444">
        <v>11126873</v>
      </c>
      <c r="B444" t="s">
        <v>538</v>
      </c>
      <c r="C444" t="s">
        <v>1288</v>
      </c>
      <c r="D444" t="s">
        <v>1800</v>
      </c>
      <c r="E444" t="s">
        <v>4139</v>
      </c>
      <c r="F444" t="s">
        <v>4024</v>
      </c>
      <c r="G444" t="s">
        <v>4025</v>
      </c>
      <c r="H444" t="s">
        <v>4284</v>
      </c>
    </row>
    <row r="445" spans="1:8">
      <c r="A445">
        <v>11126874</v>
      </c>
      <c r="B445" t="s">
        <v>539</v>
      </c>
      <c r="C445" t="s">
        <v>1289</v>
      </c>
      <c r="D445" t="s">
        <v>1800</v>
      </c>
      <c r="E445" t="s">
        <v>4139</v>
      </c>
      <c r="F445" t="s">
        <v>4024</v>
      </c>
      <c r="G445" t="s">
        <v>4025</v>
      </c>
      <c r="H445" t="s">
        <v>4284</v>
      </c>
    </row>
    <row r="446" spans="1:8">
      <c r="A446">
        <v>11126875</v>
      </c>
      <c r="B446" t="s">
        <v>540</v>
      </c>
      <c r="C446" t="s">
        <v>1290</v>
      </c>
      <c r="D446" t="s">
        <v>1800</v>
      </c>
      <c r="E446" t="s">
        <v>4139</v>
      </c>
      <c r="F446" t="s">
        <v>4024</v>
      </c>
      <c r="G446" t="s">
        <v>4025</v>
      </c>
      <c r="H446" t="s">
        <v>4284</v>
      </c>
    </row>
    <row r="447" spans="1:8">
      <c r="A447">
        <v>11126876</v>
      </c>
      <c r="B447" t="s">
        <v>541</v>
      </c>
      <c r="C447" t="s">
        <v>1291</v>
      </c>
      <c r="D447" t="s">
        <v>1802</v>
      </c>
      <c r="E447" t="s">
        <v>4140</v>
      </c>
      <c r="F447" t="s">
        <v>4074</v>
      </c>
      <c r="G447" t="s">
        <v>4075</v>
      </c>
      <c r="H447" t="s">
        <v>4284</v>
      </c>
    </row>
    <row r="448" spans="1:8">
      <c r="A448">
        <v>11126877</v>
      </c>
      <c r="B448" t="s">
        <v>542</v>
      </c>
      <c r="C448" t="s">
        <v>1292</v>
      </c>
      <c r="D448" t="s">
        <v>1802</v>
      </c>
      <c r="E448" t="s">
        <v>4140</v>
      </c>
      <c r="F448" t="s">
        <v>4074</v>
      </c>
      <c r="G448" t="s">
        <v>4075</v>
      </c>
      <c r="H448" t="s">
        <v>4284</v>
      </c>
    </row>
    <row r="449" spans="1:8">
      <c r="A449">
        <v>11126878</v>
      </c>
      <c r="B449" t="s">
        <v>543</v>
      </c>
      <c r="C449" t="s">
        <v>1293</v>
      </c>
      <c r="D449" t="s">
        <v>1802</v>
      </c>
      <c r="E449" t="s">
        <v>4140</v>
      </c>
      <c r="F449" t="s">
        <v>4074</v>
      </c>
      <c r="G449" t="s">
        <v>4075</v>
      </c>
      <c r="H449" t="s">
        <v>4284</v>
      </c>
    </row>
    <row r="450" spans="1:8">
      <c r="A450">
        <v>11126879</v>
      </c>
      <c r="B450" t="s">
        <v>544</v>
      </c>
      <c r="C450" t="s">
        <v>1294</v>
      </c>
      <c r="D450" t="s">
        <v>1802</v>
      </c>
      <c r="E450" t="s">
        <v>4140</v>
      </c>
      <c r="F450" t="s">
        <v>4074</v>
      </c>
      <c r="G450" t="s">
        <v>4075</v>
      </c>
      <c r="H450" t="s">
        <v>4284</v>
      </c>
    </row>
    <row r="451" spans="1:8">
      <c r="A451">
        <v>11126880</v>
      </c>
      <c r="B451" t="s">
        <v>545</v>
      </c>
      <c r="C451" t="s">
        <v>1295</v>
      </c>
      <c r="D451" t="s">
        <v>1802</v>
      </c>
      <c r="E451" t="s">
        <v>4140</v>
      </c>
      <c r="F451" t="s">
        <v>4074</v>
      </c>
      <c r="G451" t="s">
        <v>4075</v>
      </c>
      <c r="H451" t="s">
        <v>4284</v>
      </c>
    </row>
    <row r="452" spans="1:8">
      <c r="A452">
        <v>11126881</v>
      </c>
      <c r="B452" t="s">
        <v>546</v>
      </c>
      <c r="C452" t="s">
        <v>1296</v>
      </c>
      <c r="D452" t="s">
        <v>1802</v>
      </c>
      <c r="E452" t="s">
        <v>4140</v>
      </c>
      <c r="F452" t="s">
        <v>4074</v>
      </c>
      <c r="G452" t="s">
        <v>4075</v>
      </c>
      <c r="H452" t="s">
        <v>4284</v>
      </c>
    </row>
    <row r="453" spans="1:8">
      <c r="A453">
        <v>11126882</v>
      </c>
      <c r="B453" t="s">
        <v>547</v>
      </c>
      <c r="C453" t="s">
        <v>1269</v>
      </c>
      <c r="D453" t="s">
        <v>1804</v>
      </c>
      <c r="E453" t="s">
        <v>4141</v>
      </c>
      <c r="F453" t="s">
        <v>4142</v>
      </c>
      <c r="G453" t="s">
        <v>4143</v>
      </c>
      <c r="H453" t="s">
        <v>4284</v>
      </c>
    </row>
    <row r="454" spans="1:8">
      <c r="A454">
        <v>11126883</v>
      </c>
      <c r="B454" t="s">
        <v>548</v>
      </c>
      <c r="C454" t="s">
        <v>1008</v>
      </c>
      <c r="D454" t="s">
        <v>1804</v>
      </c>
      <c r="E454" t="s">
        <v>4141</v>
      </c>
      <c r="F454" t="s">
        <v>4142</v>
      </c>
      <c r="G454" t="s">
        <v>4143</v>
      </c>
      <c r="H454" t="s">
        <v>4284</v>
      </c>
    </row>
    <row r="455" spans="1:8">
      <c r="A455">
        <v>11126884</v>
      </c>
      <c r="B455" t="s">
        <v>549</v>
      </c>
      <c r="C455" t="s">
        <v>1197</v>
      </c>
      <c r="D455" t="s">
        <v>1804</v>
      </c>
      <c r="E455" t="s">
        <v>4141</v>
      </c>
      <c r="F455" t="s">
        <v>4055</v>
      </c>
      <c r="G455" t="s">
        <v>4056</v>
      </c>
      <c r="H455" t="s">
        <v>4284</v>
      </c>
    </row>
    <row r="456" spans="1:8">
      <c r="A456">
        <v>11126885</v>
      </c>
      <c r="B456" t="s">
        <v>550</v>
      </c>
      <c r="C456" t="s">
        <v>1006</v>
      </c>
      <c r="D456" t="s">
        <v>1804</v>
      </c>
      <c r="E456" t="s">
        <v>4141</v>
      </c>
      <c r="F456" t="s">
        <v>4055</v>
      </c>
      <c r="G456" t="s">
        <v>4056</v>
      </c>
      <c r="H456" t="s">
        <v>4284</v>
      </c>
    </row>
    <row r="457" spans="1:8">
      <c r="A457">
        <v>11126886</v>
      </c>
      <c r="B457" t="s">
        <v>551</v>
      </c>
      <c r="C457" t="s">
        <v>1225</v>
      </c>
      <c r="D457" t="s">
        <v>1808</v>
      </c>
      <c r="E457" t="s">
        <v>4144</v>
      </c>
      <c r="F457" t="s">
        <v>4145</v>
      </c>
      <c r="G457" t="s">
        <v>4146</v>
      </c>
      <c r="H457" t="s">
        <v>4284</v>
      </c>
    </row>
    <row r="458" spans="1:8">
      <c r="A458">
        <v>11126887</v>
      </c>
      <c r="B458" t="s">
        <v>552</v>
      </c>
      <c r="C458" t="s">
        <v>1226</v>
      </c>
      <c r="D458" t="s">
        <v>1808</v>
      </c>
      <c r="E458" t="s">
        <v>4144</v>
      </c>
      <c r="F458" t="s">
        <v>4145</v>
      </c>
      <c r="G458" t="s">
        <v>4146</v>
      </c>
      <c r="H458" t="s">
        <v>4284</v>
      </c>
    </row>
    <row r="459" spans="1:8">
      <c r="A459">
        <v>11126888</v>
      </c>
      <c r="B459" t="s">
        <v>553</v>
      </c>
      <c r="C459" t="s">
        <v>1177</v>
      </c>
      <c r="D459" t="s">
        <v>1812</v>
      </c>
      <c r="E459" t="s">
        <v>4147</v>
      </c>
      <c r="F459" t="s">
        <v>4120</v>
      </c>
      <c r="G459" t="s">
        <v>4121</v>
      </c>
      <c r="H459" t="s">
        <v>4284</v>
      </c>
    </row>
    <row r="460" spans="1:8">
      <c r="A460">
        <v>11126889</v>
      </c>
      <c r="B460" t="s">
        <v>554</v>
      </c>
      <c r="C460" t="s">
        <v>1081</v>
      </c>
      <c r="D460" t="s">
        <v>1812</v>
      </c>
      <c r="E460" t="s">
        <v>4147</v>
      </c>
      <c r="F460" t="s">
        <v>4120</v>
      </c>
      <c r="G460" t="s">
        <v>4121</v>
      </c>
      <c r="H460" t="s">
        <v>4284</v>
      </c>
    </row>
    <row r="461" spans="1:8">
      <c r="A461">
        <v>11126743</v>
      </c>
      <c r="B461" t="s">
        <v>555</v>
      </c>
      <c r="C461" t="s">
        <v>1109</v>
      </c>
      <c r="D461" t="s">
        <v>1814</v>
      </c>
      <c r="E461" t="s">
        <v>4148</v>
      </c>
      <c r="F461" t="s">
        <v>4014</v>
      </c>
      <c r="G461" t="s">
        <v>4015</v>
      </c>
      <c r="H461" t="s">
        <v>4284</v>
      </c>
    </row>
    <row r="462" spans="1:8">
      <c r="A462">
        <v>11126744</v>
      </c>
      <c r="B462" t="s">
        <v>556</v>
      </c>
      <c r="C462" t="s">
        <v>1108</v>
      </c>
      <c r="D462" t="s">
        <v>1814</v>
      </c>
      <c r="E462" t="s">
        <v>4148</v>
      </c>
      <c r="F462" t="s">
        <v>4014</v>
      </c>
      <c r="G462" t="s">
        <v>4015</v>
      </c>
      <c r="H462" t="s">
        <v>4284</v>
      </c>
    </row>
    <row r="463" spans="1:8">
      <c r="A463">
        <v>11126745</v>
      </c>
      <c r="B463" t="s">
        <v>557</v>
      </c>
      <c r="C463" t="s">
        <v>1144</v>
      </c>
      <c r="D463" t="s">
        <v>1815</v>
      </c>
      <c r="E463" t="s">
        <v>4149</v>
      </c>
      <c r="F463" t="s">
        <v>4003</v>
      </c>
      <c r="G463" t="s">
        <v>4004</v>
      </c>
      <c r="H463" t="s">
        <v>4284</v>
      </c>
    </row>
    <row r="464" spans="1:8">
      <c r="A464">
        <v>11126746</v>
      </c>
      <c r="B464" t="s">
        <v>558</v>
      </c>
      <c r="C464" t="s">
        <v>1143</v>
      </c>
      <c r="D464" t="s">
        <v>1815</v>
      </c>
      <c r="E464" t="s">
        <v>4149</v>
      </c>
      <c r="F464" t="s">
        <v>4003</v>
      </c>
      <c r="G464" t="s">
        <v>4004</v>
      </c>
      <c r="H464" t="s">
        <v>4284</v>
      </c>
    </row>
    <row r="465" spans="1:8">
      <c r="A465">
        <v>11126747</v>
      </c>
      <c r="B465" t="s">
        <v>559</v>
      </c>
      <c r="C465" t="s">
        <v>1001</v>
      </c>
      <c r="D465" t="s">
        <v>1760</v>
      </c>
      <c r="E465" t="s">
        <v>3969</v>
      </c>
      <c r="F465" t="s">
        <v>3970</v>
      </c>
      <c r="G465" t="s">
        <v>3971</v>
      </c>
      <c r="H465" t="s">
        <v>4284</v>
      </c>
    </row>
    <row r="466" spans="1:8">
      <c r="A466">
        <v>11123346</v>
      </c>
      <c r="B466" t="s">
        <v>560</v>
      </c>
      <c r="C466" t="s">
        <v>1297</v>
      </c>
      <c r="D466" t="s">
        <v>1722</v>
      </c>
      <c r="E466" t="s">
        <v>4096</v>
      </c>
      <c r="F466" t="s">
        <v>4097</v>
      </c>
      <c r="G466" t="s">
        <v>4098</v>
      </c>
      <c r="H466" t="s">
        <v>4284</v>
      </c>
    </row>
    <row r="467" spans="1:8">
      <c r="A467">
        <v>11123348</v>
      </c>
      <c r="B467" t="s">
        <v>561</v>
      </c>
      <c r="C467" t="s">
        <v>1298</v>
      </c>
      <c r="D467" t="s">
        <v>1722</v>
      </c>
      <c r="E467" t="s">
        <v>4096</v>
      </c>
      <c r="F467" t="s">
        <v>4097</v>
      </c>
      <c r="G467" t="s">
        <v>4098</v>
      </c>
      <c r="H467" t="s">
        <v>4284</v>
      </c>
    </row>
    <row r="468" spans="1:8">
      <c r="A468">
        <v>11125421</v>
      </c>
      <c r="B468" t="s">
        <v>562</v>
      </c>
      <c r="C468" t="s">
        <v>1203</v>
      </c>
      <c r="D468" t="s">
        <v>1816</v>
      </c>
      <c r="E468" t="s">
        <v>4150</v>
      </c>
      <c r="F468" t="s">
        <v>4151</v>
      </c>
      <c r="G468" t="s">
        <v>4152</v>
      </c>
      <c r="H468" t="s">
        <v>4284</v>
      </c>
    </row>
    <row r="469" spans="1:8">
      <c r="A469">
        <v>11124642</v>
      </c>
      <c r="B469" t="s">
        <v>563</v>
      </c>
      <c r="C469" t="s">
        <v>1299</v>
      </c>
      <c r="D469" t="s">
        <v>1820</v>
      </c>
      <c r="E469" t="s">
        <v>4153</v>
      </c>
      <c r="F469" t="s">
        <v>4110</v>
      </c>
      <c r="G469" t="s">
        <v>4111</v>
      </c>
      <c r="H469" t="s">
        <v>4284</v>
      </c>
    </row>
    <row r="470" spans="1:8">
      <c r="A470">
        <v>11126818</v>
      </c>
      <c r="B470" t="s">
        <v>564</v>
      </c>
      <c r="C470" t="s">
        <v>1032</v>
      </c>
      <c r="D470" t="s">
        <v>1822</v>
      </c>
      <c r="E470" t="s">
        <v>4154</v>
      </c>
      <c r="F470" t="s">
        <v>4155</v>
      </c>
      <c r="G470" t="s">
        <v>4156</v>
      </c>
      <c r="H470" t="s">
        <v>4284</v>
      </c>
    </row>
    <row r="471" spans="1:8">
      <c r="A471">
        <v>11126819</v>
      </c>
      <c r="B471" t="s">
        <v>565</v>
      </c>
      <c r="C471" t="s">
        <v>965</v>
      </c>
      <c r="D471" t="s">
        <v>1826</v>
      </c>
      <c r="E471" t="s">
        <v>3999</v>
      </c>
      <c r="F471" t="s">
        <v>4000</v>
      </c>
      <c r="G471" t="s">
        <v>4001</v>
      </c>
      <c r="H471" t="s">
        <v>4284</v>
      </c>
    </row>
    <row r="472" spans="1:8">
      <c r="A472">
        <v>11126820</v>
      </c>
      <c r="B472" t="s">
        <v>566</v>
      </c>
      <c r="C472" t="s">
        <v>1206</v>
      </c>
      <c r="D472" t="s">
        <v>1826</v>
      </c>
      <c r="E472" t="s">
        <v>3999</v>
      </c>
      <c r="F472" t="s">
        <v>4000</v>
      </c>
      <c r="G472" t="s">
        <v>4001</v>
      </c>
      <c r="H472" t="s">
        <v>4284</v>
      </c>
    </row>
    <row r="473" spans="1:8">
      <c r="A473">
        <v>11126821</v>
      </c>
      <c r="B473" t="s">
        <v>567</v>
      </c>
      <c r="C473" t="s">
        <v>977</v>
      </c>
      <c r="D473" t="s">
        <v>1826</v>
      </c>
      <c r="E473" t="s">
        <v>3999</v>
      </c>
      <c r="F473" t="s">
        <v>4000</v>
      </c>
      <c r="G473" t="s">
        <v>4001</v>
      </c>
      <c r="H473" t="s">
        <v>4284</v>
      </c>
    </row>
    <row r="474" spans="1:8">
      <c r="A474">
        <v>11126822</v>
      </c>
      <c r="B474" t="s">
        <v>568</v>
      </c>
      <c r="C474" t="s">
        <v>976</v>
      </c>
      <c r="D474" t="s">
        <v>1826</v>
      </c>
      <c r="E474" t="s">
        <v>3999</v>
      </c>
      <c r="F474" t="s">
        <v>4000</v>
      </c>
      <c r="G474" t="s">
        <v>4001</v>
      </c>
      <c r="H474" t="s">
        <v>4284</v>
      </c>
    </row>
    <row r="475" spans="1:8">
      <c r="A475">
        <v>11126823</v>
      </c>
      <c r="B475" t="s">
        <v>569</v>
      </c>
      <c r="C475" t="s">
        <v>1204</v>
      </c>
      <c r="D475" t="s">
        <v>1827</v>
      </c>
      <c r="E475" t="s">
        <v>4157</v>
      </c>
      <c r="F475" t="s">
        <v>4000</v>
      </c>
      <c r="G475" t="s">
        <v>4001</v>
      </c>
      <c r="H475" t="s">
        <v>4284</v>
      </c>
    </row>
    <row r="476" spans="1:8">
      <c r="A476">
        <v>11126824</v>
      </c>
      <c r="B476" t="s">
        <v>570</v>
      </c>
      <c r="C476" t="s">
        <v>1205</v>
      </c>
      <c r="D476" t="s">
        <v>1827</v>
      </c>
      <c r="E476" t="s">
        <v>4157</v>
      </c>
      <c r="F476" t="s">
        <v>4000</v>
      </c>
      <c r="G476" t="s">
        <v>4001</v>
      </c>
      <c r="H476" t="s">
        <v>4284</v>
      </c>
    </row>
    <row r="477" spans="1:8">
      <c r="A477">
        <v>11126825</v>
      </c>
      <c r="B477" t="s">
        <v>571</v>
      </c>
      <c r="C477" t="s">
        <v>1198</v>
      </c>
      <c r="D477" t="s">
        <v>1829</v>
      </c>
      <c r="E477" t="s">
        <v>4158</v>
      </c>
      <c r="F477" t="s">
        <v>4159</v>
      </c>
      <c r="G477" t="s">
        <v>4160</v>
      </c>
      <c r="H477" t="s">
        <v>4284</v>
      </c>
    </row>
    <row r="478" spans="1:8">
      <c r="A478">
        <v>11126826</v>
      </c>
      <c r="B478" t="s">
        <v>572</v>
      </c>
      <c r="C478" t="s">
        <v>1015</v>
      </c>
      <c r="D478" t="s">
        <v>1829</v>
      </c>
      <c r="E478" t="s">
        <v>4158</v>
      </c>
      <c r="F478" t="s">
        <v>4159</v>
      </c>
      <c r="G478" t="s">
        <v>4160</v>
      </c>
      <c r="H478" t="s">
        <v>4284</v>
      </c>
    </row>
    <row r="479" spans="1:8">
      <c r="A479">
        <v>11126827</v>
      </c>
      <c r="B479" t="s">
        <v>573</v>
      </c>
      <c r="C479" t="s">
        <v>1016</v>
      </c>
      <c r="D479" t="s">
        <v>1829</v>
      </c>
      <c r="E479" t="s">
        <v>4158</v>
      </c>
      <c r="F479" t="s">
        <v>4159</v>
      </c>
      <c r="G479" t="s">
        <v>4160</v>
      </c>
      <c r="H479" t="s">
        <v>4284</v>
      </c>
    </row>
    <row r="480" spans="1:8">
      <c r="A480">
        <v>11126828</v>
      </c>
      <c r="B480" t="s">
        <v>574</v>
      </c>
      <c r="C480" t="s">
        <v>1017</v>
      </c>
      <c r="D480" t="s">
        <v>1829</v>
      </c>
      <c r="E480" t="s">
        <v>4158</v>
      </c>
      <c r="F480" t="s">
        <v>4159</v>
      </c>
      <c r="G480" t="s">
        <v>4160</v>
      </c>
      <c r="H480" t="s">
        <v>4284</v>
      </c>
    </row>
    <row r="481" spans="1:8">
      <c r="A481">
        <v>11126829</v>
      </c>
      <c r="B481" t="s">
        <v>575</v>
      </c>
      <c r="C481" t="s">
        <v>1199</v>
      </c>
      <c r="D481" t="s">
        <v>1833</v>
      </c>
      <c r="E481" t="s">
        <v>4161</v>
      </c>
      <c r="F481" t="s">
        <v>4162</v>
      </c>
      <c r="G481" t="s">
        <v>4163</v>
      </c>
      <c r="H481" t="s">
        <v>4284</v>
      </c>
    </row>
    <row r="482" spans="1:8">
      <c r="A482">
        <v>11126830</v>
      </c>
      <c r="B482" t="s">
        <v>576</v>
      </c>
      <c r="C482" t="s">
        <v>1012</v>
      </c>
      <c r="D482" t="s">
        <v>1833</v>
      </c>
      <c r="E482" t="s">
        <v>4161</v>
      </c>
      <c r="F482" t="s">
        <v>4162</v>
      </c>
      <c r="G482" t="s">
        <v>4163</v>
      </c>
      <c r="H482" t="s">
        <v>4284</v>
      </c>
    </row>
    <row r="483" spans="1:8">
      <c r="A483">
        <v>11126831</v>
      </c>
      <c r="B483" t="s">
        <v>577</v>
      </c>
      <c r="C483" t="s">
        <v>1013</v>
      </c>
      <c r="D483" t="s">
        <v>1833</v>
      </c>
      <c r="E483" t="s">
        <v>4161</v>
      </c>
      <c r="F483" t="s">
        <v>4162</v>
      </c>
      <c r="G483" t="s">
        <v>4163</v>
      </c>
      <c r="H483" t="s">
        <v>4284</v>
      </c>
    </row>
    <row r="484" spans="1:8">
      <c r="A484">
        <v>11126832</v>
      </c>
      <c r="B484" t="s">
        <v>578</v>
      </c>
      <c r="C484" t="s">
        <v>1014</v>
      </c>
      <c r="D484" t="s">
        <v>1833</v>
      </c>
      <c r="E484" t="s">
        <v>4161</v>
      </c>
      <c r="F484" t="s">
        <v>4162</v>
      </c>
      <c r="G484" t="s">
        <v>4163</v>
      </c>
      <c r="H484" t="s">
        <v>4284</v>
      </c>
    </row>
    <row r="485" spans="1:8">
      <c r="A485">
        <v>11126833</v>
      </c>
      <c r="B485" t="s">
        <v>579</v>
      </c>
      <c r="C485" t="s">
        <v>1200</v>
      </c>
      <c r="D485" t="s">
        <v>1837</v>
      </c>
      <c r="E485" t="s">
        <v>4164</v>
      </c>
      <c r="F485" t="s">
        <v>4165</v>
      </c>
      <c r="G485" t="s">
        <v>4166</v>
      </c>
      <c r="H485" t="s">
        <v>4284</v>
      </c>
    </row>
    <row r="486" spans="1:8">
      <c r="A486">
        <v>11126834</v>
      </c>
      <c r="B486" t="s">
        <v>580</v>
      </c>
      <c r="C486" t="s">
        <v>1201</v>
      </c>
      <c r="D486" t="s">
        <v>1837</v>
      </c>
      <c r="E486" t="s">
        <v>4164</v>
      </c>
      <c r="F486" t="s">
        <v>4165</v>
      </c>
      <c r="G486" t="s">
        <v>4166</v>
      </c>
      <c r="H486" t="s">
        <v>4284</v>
      </c>
    </row>
    <row r="487" spans="1:8">
      <c r="A487">
        <v>11126835</v>
      </c>
      <c r="B487" t="s">
        <v>581</v>
      </c>
      <c r="C487" t="s">
        <v>1018</v>
      </c>
      <c r="D487" t="s">
        <v>1837</v>
      </c>
      <c r="E487" t="s">
        <v>4164</v>
      </c>
      <c r="F487" t="s">
        <v>4165</v>
      </c>
      <c r="G487" t="s">
        <v>4166</v>
      </c>
      <c r="H487" t="s">
        <v>4284</v>
      </c>
    </row>
    <row r="488" spans="1:8">
      <c r="A488">
        <v>11126836</v>
      </c>
      <c r="B488" t="s">
        <v>582</v>
      </c>
      <c r="C488" t="s">
        <v>1019</v>
      </c>
      <c r="D488" t="s">
        <v>1837</v>
      </c>
      <c r="E488" t="s">
        <v>4164</v>
      </c>
      <c r="F488" t="s">
        <v>4165</v>
      </c>
      <c r="G488" t="s">
        <v>4166</v>
      </c>
      <c r="H488" t="s">
        <v>4284</v>
      </c>
    </row>
    <row r="489" spans="1:8">
      <c r="A489">
        <v>11126837</v>
      </c>
      <c r="B489" t="s">
        <v>583</v>
      </c>
      <c r="C489" t="s">
        <v>1139</v>
      </c>
      <c r="D489" t="s">
        <v>1841</v>
      </c>
      <c r="E489" t="s">
        <v>4167</v>
      </c>
      <c r="F489" t="s">
        <v>4122</v>
      </c>
      <c r="G489" t="s">
        <v>4123</v>
      </c>
      <c r="H489" t="s">
        <v>4284</v>
      </c>
    </row>
    <row r="490" spans="1:8">
      <c r="A490">
        <v>11126838</v>
      </c>
      <c r="B490" t="s">
        <v>584</v>
      </c>
      <c r="C490" t="s">
        <v>1080</v>
      </c>
      <c r="D490" t="s">
        <v>1841</v>
      </c>
      <c r="E490" t="s">
        <v>4167</v>
      </c>
      <c r="F490" t="s">
        <v>4122</v>
      </c>
      <c r="G490" t="s">
        <v>4123</v>
      </c>
      <c r="H490" t="s">
        <v>4284</v>
      </c>
    </row>
    <row r="491" spans="1:8">
      <c r="A491">
        <v>11126839</v>
      </c>
      <c r="B491" t="s">
        <v>585</v>
      </c>
      <c r="C491" t="s">
        <v>1140</v>
      </c>
      <c r="D491" t="s">
        <v>1843</v>
      </c>
      <c r="E491" t="s">
        <v>4168</v>
      </c>
      <c r="F491" t="s">
        <v>4169</v>
      </c>
      <c r="G491" t="s">
        <v>4170</v>
      </c>
      <c r="H491" t="s">
        <v>4284</v>
      </c>
    </row>
    <row r="492" spans="1:8">
      <c r="A492">
        <v>11126840</v>
      </c>
      <c r="B492" t="s">
        <v>586</v>
      </c>
      <c r="C492" t="s">
        <v>1011</v>
      </c>
      <c r="D492" t="s">
        <v>1843</v>
      </c>
      <c r="E492" t="s">
        <v>4168</v>
      </c>
      <c r="F492" t="s">
        <v>4169</v>
      </c>
      <c r="G492" t="s">
        <v>4170</v>
      </c>
      <c r="H492" t="s">
        <v>4284</v>
      </c>
    </row>
    <row r="493" spans="1:8">
      <c r="A493">
        <v>11126841</v>
      </c>
      <c r="B493" t="s">
        <v>587</v>
      </c>
      <c r="C493" t="s">
        <v>1054</v>
      </c>
      <c r="D493" t="s">
        <v>1847</v>
      </c>
      <c r="E493" t="s">
        <v>4171</v>
      </c>
      <c r="F493" t="s">
        <v>4172</v>
      </c>
      <c r="G493" t="s">
        <v>4173</v>
      </c>
      <c r="H493" t="s">
        <v>4284</v>
      </c>
    </row>
    <row r="494" spans="1:8">
      <c r="A494">
        <v>11126842</v>
      </c>
      <c r="B494" t="s">
        <v>588</v>
      </c>
      <c r="C494" t="s">
        <v>1156</v>
      </c>
      <c r="D494" t="s">
        <v>1851</v>
      </c>
      <c r="E494" t="s">
        <v>4026</v>
      </c>
      <c r="F494" t="s">
        <v>4174</v>
      </c>
      <c r="G494" t="s">
        <v>4175</v>
      </c>
      <c r="H494" t="s">
        <v>4284</v>
      </c>
    </row>
    <row r="495" spans="1:8">
      <c r="A495">
        <v>11126843</v>
      </c>
      <c r="B495" t="s">
        <v>589</v>
      </c>
      <c r="C495" t="s">
        <v>1157</v>
      </c>
      <c r="D495" t="s">
        <v>1851</v>
      </c>
      <c r="E495" t="s">
        <v>4026</v>
      </c>
      <c r="F495" t="s">
        <v>4174</v>
      </c>
      <c r="G495" t="s">
        <v>4175</v>
      </c>
      <c r="H495" t="s">
        <v>4284</v>
      </c>
    </row>
    <row r="496" spans="1:8">
      <c r="A496">
        <v>11126844</v>
      </c>
      <c r="B496" t="s">
        <v>590</v>
      </c>
      <c r="C496" t="s">
        <v>1158</v>
      </c>
      <c r="D496" t="s">
        <v>1851</v>
      </c>
      <c r="E496" t="s">
        <v>4026</v>
      </c>
      <c r="F496" t="s">
        <v>4174</v>
      </c>
      <c r="G496" t="s">
        <v>4175</v>
      </c>
      <c r="H496" t="s">
        <v>4284</v>
      </c>
    </row>
    <row r="497" spans="1:8">
      <c r="A497">
        <v>11126845</v>
      </c>
      <c r="B497" t="s">
        <v>591</v>
      </c>
      <c r="C497" t="s">
        <v>1159</v>
      </c>
      <c r="D497" t="s">
        <v>1851</v>
      </c>
      <c r="E497" t="s">
        <v>4026</v>
      </c>
      <c r="F497" t="s">
        <v>4174</v>
      </c>
      <c r="G497" t="s">
        <v>4175</v>
      </c>
      <c r="H497" t="s">
        <v>4284</v>
      </c>
    </row>
    <row r="498" spans="1:8">
      <c r="A498">
        <v>11126846</v>
      </c>
      <c r="B498" t="s">
        <v>592</v>
      </c>
      <c r="C498" t="s">
        <v>1160</v>
      </c>
      <c r="D498" t="s">
        <v>1851</v>
      </c>
      <c r="E498" t="s">
        <v>4026</v>
      </c>
      <c r="F498" t="s">
        <v>4174</v>
      </c>
      <c r="G498" t="s">
        <v>4175</v>
      </c>
      <c r="H498" t="s">
        <v>4284</v>
      </c>
    </row>
    <row r="499" spans="1:8">
      <c r="A499">
        <v>11126847</v>
      </c>
      <c r="B499" t="s">
        <v>593</v>
      </c>
      <c r="C499" t="s">
        <v>1161</v>
      </c>
      <c r="D499" t="s">
        <v>1851</v>
      </c>
      <c r="E499" t="s">
        <v>4026</v>
      </c>
      <c r="F499" t="s">
        <v>4174</v>
      </c>
      <c r="G499" t="s">
        <v>4175</v>
      </c>
      <c r="H499" t="s">
        <v>4284</v>
      </c>
    </row>
    <row r="500" spans="1:8">
      <c r="A500">
        <v>11126890</v>
      </c>
      <c r="B500" t="s">
        <v>594</v>
      </c>
      <c r="C500" t="s">
        <v>1116</v>
      </c>
      <c r="D500" t="s">
        <v>1854</v>
      </c>
      <c r="E500" t="s">
        <v>4176</v>
      </c>
      <c r="F500" t="s">
        <v>3951</v>
      </c>
      <c r="G500" t="s">
        <v>3952</v>
      </c>
      <c r="H500" t="s">
        <v>4284</v>
      </c>
    </row>
    <row r="501" spans="1:8">
      <c r="A501">
        <v>11126730</v>
      </c>
      <c r="B501" t="s">
        <v>595</v>
      </c>
      <c r="C501" t="s">
        <v>1202</v>
      </c>
      <c r="D501" t="s">
        <v>1856</v>
      </c>
      <c r="E501" t="s">
        <v>4177</v>
      </c>
      <c r="F501" t="s">
        <v>4011</v>
      </c>
      <c r="G501" t="s">
        <v>4012</v>
      </c>
      <c r="H501" t="s">
        <v>4284</v>
      </c>
    </row>
    <row r="502" spans="1:8">
      <c r="A502">
        <v>11126758</v>
      </c>
      <c r="B502" t="s">
        <v>596</v>
      </c>
      <c r="C502" t="s">
        <v>1057</v>
      </c>
      <c r="D502" t="s">
        <v>1858</v>
      </c>
      <c r="E502" t="s">
        <v>4036</v>
      </c>
      <c r="F502" t="s">
        <v>3981</v>
      </c>
      <c r="G502" t="s">
        <v>3982</v>
      </c>
      <c r="H502" t="s">
        <v>4284</v>
      </c>
    </row>
    <row r="503" spans="1:8">
      <c r="A503">
        <v>11126759</v>
      </c>
      <c r="B503" t="s">
        <v>597</v>
      </c>
      <c r="C503" t="s">
        <v>1058</v>
      </c>
      <c r="D503" t="s">
        <v>1858</v>
      </c>
      <c r="E503" t="s">
        <v>4036</v>
      </c>
      <c r="F503" t="s">
        <v>3983</v>
      </c>
      <c r="G503" t="s">
        <v>3984</v>
      </c>
      <c r="H503" t="s">
        <v>4284</v>
      </c>
    </row>
    <row r="504" spans="1:8">
      <c r="A504">
        <v>11126760</v>
      </c>
      <c r="B504" t="s">
        <v>598</v>
      </c>
      <c r="C504" t="s">
        <v>1059</v>
      </c>
      <c r="D504" t="s">
        <v>1858</v>
      </c>
      <c r="E504" t="s">
        <v>4036</v>
      </c>
      <c r="F504" t="s">
        <v>3985</v>
      </c>
      <c r="G504" t="s">
        <v>3986</v>
      </c>
      <c r="H504" t="s">
        <v>4284</v>
      </c>
    </row>
    <row r="505" spans="1:8">
      <c r="A505">
        <v>11126761</v>
      </c>
      <c r="B505" t="s">
        <v>599</v>
      </c>
      <c r="C505" t="s">
        <v>1056</v>
      </c>
      <c r="D505" t="s">
        <v>1859</v>
      </c>
      <c r="E505" t="s">
        <v>4037</v>
      </c>
      <c r="F505" t="s">
        <v>3977</v>
      </c>
      <c r="G505" t="s">
        <v>3978</v>
      </c>
      <c r="H505" t="s">
        <v>4284</v>
      </c>
    </row>
    <row r="506" spans="1:8">
      <c r="A506">
        <v>11126762</v>
      </c>
      <c r="B506" t="s">
        <v>600</v>
      </c>
      <c r="C506" t="s">
        <v>1055</v>
      </c>
      <c r="D506" t="s">
        <v>1860</v>
      </c>
      <c r="E506" t="s">
        <v>4038</v>
      </c>
      <c r="F506" t="s">
        <v>4021</v>
      </c>
      <c r="G506" t="s">
        <v>4022</v>
      </c>
      <c r="H506" t="s">
        <v>4284</v>
      </c>
    </row>
    <row r="507" spans="1:8">
      <c r="A507">
        <v>11126763</v>
      </c>
      <c r="B507" t="s">
        <v>601</v>
      </c>
      <c r="C507" t="s">
        <v>1178</v>
      </c>
      <c r="D507" t="s">
        <v>1860</v>
      </c>
      <c r="E507" t="s">
        <v>4038</v>
      </c>
      <c r="F507" t="s">
        <v>4021</v>
      </c>
      <c r="G507" t="s">
        <v>4022</v>
      </c>
      <c r="H507" t="s">
        <v>4284</v>
      </c>
    </row>
    <row r="508" spans="1:8">
      <c r="A508">
        <v>11126764</v>
      </c>
      <c r="B508" t="s">
        <v>602</v>
      </c>
      <c r="C508" t="s">
        <v>1033</v>
      </c>
      <c r="D508" t="s">
        <v>1860</v>
      </c>
      <c r="E508" t="s">
        <v>4038</v>
      </c>
      <c r="F508" t="s">
        <v>4021</v>
      </c>
      <c r="G508" t="s">
        <v>4022</v>
      </c>
      <c r="H508" t="s">
        <v>4284</v>
      </c>
    </row>
    <row r="509" spans="1:8">
      <c r="A509">
        <v>11126765</v>
      </c>
      <c r="B509" t="s">
        <v>603</v>
      </c>
      <c r="C509" t="s">
        <v>1034</v>
      </c>
      <c r="D509" t="s">
        <v>1860</v>
      </c>
      <c r="E509" t="s">
        <v>4038</v>
      </c>
      <c r="F509" t="s">
        <v>4021</v>
      </c>
      <c r="G509" t="s">
        <v>4022</v>
      </c>
      <c r="H509" t="s">
        <v>4284</v>
      </c>
    </row>
    <row r="510" spans="1:8">
      <c r="A510">
        <v>11126766</v>
      </c>
      <c r="B510" t="s">
        <v>604</v>
      </c>
      <c r="C510" t="s">
        <v>1035</v>
      </c>
      <c r="D510" t="s">
        <v>1859</v>
      </c>
      <c r="E510" t="s">
        <v>4037</v>
      </c>
      <c r="F510" t="s">
        <v>3977</v>
      </c>
      <c r="G510" t="s">
        <v>3978</v>
      </c>
      <c r="H510" t="s">
        <v>4284</v>
      </c>
    </row>
    <row r="511" spans="1:8">
      <c r="A511">
        <v>11126767</v>
      </c>
      <c r="B511" t="s">
        <v>605</v>
      </c>
      <c r="C511" t="s">
        <v>1112</v>
      </c>
      <c r="D511" t="s">
        <v>1859</v>
      </c>
      <c r="E511" t="s">
        <v>4037</v>
      </c>
      <c r="F511" t="s">
        <v>3977</v>
      </c>
      <c r="G511" t="s">
        <v>3978</v>
      </c>
      <c r="H511" t="s">
        <v>4284</v>
      </c>
    </row>
    <row r="512" spans="1:8">
      <c r="A512">
        <v>11126768</v>
      </c>
      <c r="B512" t="s">
        <v>606</v>
      </c>
      <c r="C512" t="s">
        <v>1036</v>
      </c>
      <c r="D512" t="s">
        <v>1859</v>
      </c>
      <c r="E512" t="s">
        <v>4037</v>
      </c>
      <c r="F512" t="s">
        <v>3977</v>
      </c>
      <c r="G512" t="s">
        <v>3978</v>
      </c>
      <c r="H512" t="s">
        <v>4284</v>
      </c>
    </row>
    <row r="513" spans="1:8">
      <c r="A513">
        <v>11126769</v>
      </c>
      <c r="B513" t="s">
        <v>607</v>
      </c>
      <c r="C513" t="s">
        <v>1026</v>
      </c>
      <c r="D513" t="s">
        <v>1861</v>
      </c>
      <c r="E513" t="s">
        <v>4039</v>
      </c>
      <c r="F513" t="s">
        <v>3981</v>
      </c>
      <c r="G513" t="s">
        <v>3982</v>
      </c>
      <c r="H513" t="s">
        <v>4284</v>
      </c>
    </row>
    <row r="514" spans="1:8">
      <c r="A514">
        <v>11126770</v>
      </c>
      <c r="B514" t="s">
        <v>608</v>
      </c>
      <c r="C514" t="s">
        <v>1179</v>
      </c>
      <c r="D514" t="s">
        <v>1861</v>
      </c>
      <c r="E514" t="s">
        <v>4039</v>
      </c>
      <c r="F514" t="s">
        <v>3981</v>
      </c>
      <c r="G514" t="s">
        <v>3982</v>
      </c>
      <c r="H514" t="s">
        <v>4284</v>
      </c>
    </row>
    <row r="515" spans="1:8">
      <c r="A515">
        <v>11126771</v>
      </c>
      <c r="B515" t="s">
        <v>609</v>
      </c>
      <c r="C515" t="s">
        <v>1027</v>
      </c>
      <c r="D515" t="s">
        <v>1862</v>
      </c>
      <c r="E515" t="s">
        <v>4178</v>
      </c>
      <c r="F515" t="s">
        <v>3981</v>
      </c>
      <c r="G515" t="s">
        <v>3982</v>
      </c>
      <c r="H515" t="s">
        <v>4284</v>
      </c>
    </row>
    <row r="516" spans="1:8">
      <c r="A516">
        <v>11126772</v>
      </c>
      <c r="B516" t="s">
        <v>610</v>
      </c>
      <c r="C516" t="s">
        <v>1028</v>
      </c>
      <c r="D516" t="s">
        <v>1862</v>
      </c>
      <c r="E516" t="s">
        <v>4178</v>
      </c>
      <c r="F516" t="s">
        <v>3983</v>
      </c>
      <c r="G516" t="s">
        <v>3984</v>
      </c>
      <c r="H516" t="s">
        <v>4284</v>
      </c>
    </row>
    <row r="517" spans="1:8">
      <c r="A517">
        <v>11126773</v>
      </c>
      <c r="B517" t="s">
        <v>611</v>
      </c>
      <c r="C517" t="s">
        <v>1180</v>
      </c>
      <c r="D517" t="s">
        <v>1861</v>
      </c>
      <c r="E517" t="s">
        <v>4039</v>
      </c>
      <c r="F517" t="s">
        <v>3983</v>
      </c>
      <c r="G517" t="s">
        <v>3984</v>
      </c>
      <c r="H517" t="s">
        <v>4284</v>
      </c>
    </row>
    <row r="518" spans="1:8">
      <c r="A518">
        <v>11126774</v>
      </c>
      <c r="B518" t="s">
        <v>612</v>
      </c>
      <c r="C518" t="s">
        <v>1029</v>
      </c>
      <c r="D518" t="s">
        <v>1862</v>
      </c>
      <c r="E518" t="s">
        <v>4178</v>
      </c>
      <c r="F518" t="s">
        <v>3983</v>
      </c>
      <c r="G518" t="s">
        <v>3984</v>
      </c>
      <c r="H518" t="s">
        <v>4284</v>
      </c>
    </row>
    <row r="519" spans="1:8">
      <c r="A519">
        <v>11126775</v>
      </c>
      <c r="B519" t="s">
        <v>613</v>
      </c>
      <c r="C519" t="s">
        <v>1067</v>
      </c>
      <c r="D519" t="s">
        <v>1862</v>
      </c>
      <c r="E519" t="s">
        <v>4178</v>
      </c>
      <c r="F519" t="s">
        <v>3985</v>
      </c>
      <c r="G519" t="s">
        <v>3986</v>
      </c>
      <c r="H519" t="s">
        <v>4284</v>
      </c>
    </row>
    <row r="520" spans="1:8">
      <c r="A520">
        <v>11126776</v>
      </c>
      <c r="B520" t="s">
        <v>614</v>
      </c>
      <c r="C520" t="s">
        <v>1300</v>
      </c>
      <c r="D520" t="s">
        <v>1862</v>
      </c>
      <c r="E520" t="s">
        <v>4178</v>
      </c>
      <c r="F520" t="s">
        <v>3985</v>
      </c>
      <c r="G520" t="s">
        <v>3986</v>
      </c>
      <c r="H520" t="s">
        <v>4284</v>
      </c>
    </row>
    <row r="521" spans="1:8">
      <c r="A521">
        <v>11126777</v>
      </c>
      <c r="B521" t="s">
        <v>615</v>
      </c>
      <c r="C521" t="s">
        <v>1066</v>
      </c>
      <c r="D521" t="s">
        <v>1864</v>
      </c>
      <c r="E521" t="s">
        <v>4179</v>
      </c>
      <c r="F521" t="s">
        <v>4062</v>
      </c>
      <c r="G521" t="s">
        <v>4063</v>
      </c>
      <c r="H521" t="s">
        <v>4284</v>
      </c>
    </row>
    <row r="522" spans="1:8">
      <c r="A522">
        <v>11126778</v>
      </c>
      <c r="B522" t="s">
        <v>616</v>
      </c>
      <c r="C522" t="s">
        <v>1087</v>
      </c>
      <c r="D522" t="s">
        <v>1864</v>
      </c>
      <c r="E522" t="s">
        <v>4179</v>
      </c>
      <c r="F522" t="s">
        <v>4062</v>
      </c>
      <c r="G522" t="s">
        <v>4063</v>
      </c>
      <c r="H522" t="s">
        <v>4284</v>
      </c>
    </row>
    <row r="523" spans="1:8">
      <c r="A523">
        <v>11126779</v>
      </c>
      <c r="B523" t="s">
        <v>617</v>
      </c>
      <c r="C523" t="s">
        <v>1024</v>
      </c>
      <c r="D523" t="s">
        <v>1864</v>
      </c>
      <c r="E523" t="s">
        <v>4179</v>
      </c>
      <c r="F523" t="s">
        <v>4062</v>
      </c>
      <c r="G523" t="s">
        <v>4063</v>
      </c>
      <c r="H523" t="s">
        <v>4284</v>
      </c>
    </row>
    <row r="524" spans="1:8">
      <c r="A524">
        <v>11126780</v>
      </c>
      <c r="B524" t="s">
        <v>618</v>
      </c>
      <c r="C524" t="s">
        <v>1025</v>
      </c>
      <c r="D524" t="s">
        <v>1864</v>
      </c>
      <c r="E524" t="s">
        <v>4179</v>
      </c>
      <c r="F524" t="s">
        <v>4062</v>
      </c>
      <c r="G524" t="s">
        <v>4063</v>
      </c>
      <c r="H524" t="s">
        <v>4284</v>
      </c>
    </row>
    <row r="525" spans="1:8">
      <c r="A525">
        <v>11126781</v>
      </c>
      <c r="B525" t="s">
        <v>619</v>
      </c>
      <c r="C525" t="s">
        <v>1213</v>
      </c>
      <c r="D525" t="s">
        <v>1866</v>
      </c>
      <c r="E525" t="s">
        <v>4180</v>
      </c>
      <c r="F525" t="s">
        <v>4062</v>
      </c>
      <c r="G525" t="s">
        <v>4063</v>
      </c>
      <c r="H525" t="s">
        <v>4284</v>
      </c>
    </row>
    <row r="526" spans="1:8">
      <c r="A526">
        <v>11126782</v>
      </c>
      <c r="B526" t="s">
        <v>620</v>
      </c>
      <c r="C526" t="s">
        <v>1214</v>
      </c>
      <c r="D526" t="s">
        <v>1866</v>
      </c>
      <c r="E526" t="s">
        <v>4180</v>
      </c>
      <c r="F526" t="s">
        <v>4062</v>
      </c>
      <c r="G526" t="s">
        <v>4063</v>
      </c>
      <c r="H526" t="s">
        <v>4284</v>
      </c>
    </row>
    <row r="527" spans="1:8">
      <c r="A527">
        <v>11126783</v>
      </c>
      <c r="B527" t="s">
        <v>621</v>
      </c>
      <c r="C527" t="s">
        <v>1208</v>
      </c>
      <c r="D527" t="s">
        <v>1866</v>
      </c>
      <c r="E527" t="s">
        <v>4180</v>
      </c>
      <c r="F527" t="s">
        <v>4062</v>
      </c>
      <c r="G527" t="s">
        <v>4063</v>
      </c>
      <c r="H527" t="s">
        <v>4284</v>
      </c>
    </row>
    <row r="528" spans="1:8">
      <c r="A528">
        <v>11126784</v>
      </c>
      <c r="B528" t="s">
        <v>622</v>
      </c>
      <c r="C528" t="s">
        <v>1215</v>
      </c>
      <c r="D528" t="s">
        <v>1866</v>
      </c>
      <c r="E528" t="s">
        <v>4180</v>
      </c>
      <c r="F528" t="s">
        <v>4062</v>
      </c>
      <c r="G528" t="s">
        <v>4063</v>
      </c>
      <c r="H528" t="s">
        <v>4284</v>
      </c>
    </row>
    <row r="529" spans="1:8">
      <c r="A529">
        <v>11126785</v>
      </c>
      <c r="B529" t="s">
        <v>623</v>
      </c>
      <c r="C529" t="s">
        <v>1060</v>
      </c>
      <c r="D529" t="s">
        <v>1868</v>
      </c>
      <c r="E529" t="s">
        <v>4181</v>
      </c>
      <c r="F529" t="s">
        <v>4182</v>
      </c>
      <c r="G529" t="s">
        <v>4183</v>
      </c>
      <c r="H529" t="s">
        <v>4284</v>
      </c>
    </row>
    <row r="530" spans="1:8">
      <c r="A530">
        <v>11126786</v>
      </c>
      <c r="B530" t="s">
        <v>624</v>
      </c>
      <c r="C530" t="s">
        <v>1023</v>
      </c>
      <c r="D530" t="s">
        <v>1868</v>
      </c>
      <c r="E530" t="s">
        <v>4181</v>
      </c>
      <c r="F530" t="s">
        <v>4182</v>
      </c>
      <c r="G530" t="s">
        <v>4183</v>
      </c>
      <c r="H530" t="s">
        <v>4284</v>
      </c>
    </row>
    <row r="531" spans="1:8">
      <c r="A531">
        <v>11126787</v>
      </c>
      <c r="B531" t="s">
        <v>625</v>
      </c>
      <c r="C531" t="s">
        <v>1209</v>
      </c>
      <c r="D531" t="s">
        <v>1868</v>
      </c>
      <c r="E531" t="s">
        <v>4181</v>
      </c>
      <c r="F531" t="s">
        <v>4182</v>
      </c>
      <c r="G531" t="s">
        <v>4183</v>
      </c>
      <c r="H531" t="s">
        <v>4284</v>
      </c>
    </row>
    <row r="532" spans="1:8">
      <c r="A532">
        <v>11126788</v>
      </c>
      <c r="B532" t="s">
        <v>626</v>
      </c>
      <c r="C532" t="s">
        <v>1210</v>
      </c>
      <c r="D532" t="s">
        <v>1872</v>
      </c>
      <c r="E532" t="s">
        <v>4184</v>
      </c>
      <c r="F532" t="s">
        <v>4182</v>
      </c>
      <c r="G532" t="s">
        <v>4183</v>
      </c>
      <c r="H532" t="s">
        <v>4284</v>
      </c>
    </row>
    <row r="533" spans="1:8">
      <c r="A533">
        <v>11126789</v>
      </c>
      <c r="B533" t="s">
        <v>627</v>
      </c>
      <c r="C533" t="s">
        <v>1211</v>
      </c>
      <c r="D533" t="s">
        <v>1872</v>
      </c>
      <c r="E533" t="s">
        <v>4184</v>
      </c>
      <c r="F533" t="s">
        <v>4182</v>
      </c>
      <c r="G533" t="s">
        <v>4183</v>
      </c>
      <c r="H533" t="s">
        <v>4284</v>
      </c>
    </row>
    <row r="534" spans="1:8">
      <c r="A534">
        <v>11126790</v>
      </c>
      <c r="B534" t="s">
        <v>628</v>
      </c>
      <c r="C534" t="s">
        <v>1212</v>
      </c>
      <c r="D534" t="s">
        <v>1872</v>
      </c>
      <c r="E534" t="s">
        <v>4184</v>
      </c>
      <c r="F534" t="s">
        <v>4182</v>
      </c>
      <c r="G534" t="s">
        <v>4183</v>
      </c>
      <c r="H534" t="s">
        <v>4284</v>
      </c>
    </row>
    <row r="535" spans="1:8">
      <c r="A535">
        <v>11126791</v>
      </c>
      <c r="B535" t="s">
        <v>629</v>
      </c>
      <c r="C535" t="s">
        <v>1203</v>
      </c>
      <c r="D535" t="s">
        <v>1874</v>
      </c>
      <c r="E535" t="s">
        <v>4185</v>
      </c>
      <c r="F535" t="s">
        <v>4186</v>
      </c>
      <c r="G535" t="s">
        <v>4187</v>
      </c>
      <c r="H535" t="s">
        <v>4284</v>
      </c>
    </row>
    <row r="536" spans="1:8">
      <c r="A536">
        <v>11126792</v>
      </c>
      <c r="B536" t="s">
        <v>630</v>
      </c>
      <c r="C536" t="s">
        <v>1020</v>
      </c>
      <c r="D536" t="s">
        <v>1874</v>
      </c>
      <c r="E536" t="s">
        <v>4185</v>
      </c>
      <c r="F536" t="s">
        <v>4186</v>
      </c>
      <c r="G536" t="s">
        <v>4187</v>
      </c>
      <c r="H536" t="s">
        <v>4284</v>
      </c>
    </row>
    <row r="537" spans="1:8">
      <c r="A537">
        <v>11126793</v>
      </c>
      <c r="B537" t="s">
        <v>631</v>
      </c>
      <c r="C537" t="s">
        <v>1084</v>
      </c>
      <c r="D537" t="s">
        <v>1874</v>
      </c>
      <c r="E537" t="s">
        <v>4185</v>
      </c>
      <c r="F537" t="s">
        <v>4186</v>
      </c>
      <c r="G537" t="s">
        <v>4187</v>
      </c>
      <c r="H537" t="s">
        <v>4284</v>
      </c>
    </row>
    <row r="538" spans="1:8">
      <c r="A538">
        <v>11126794</v>
      </c>
      <c r="B538" t="s">
        <v>632</v>
      </c>
      <c r="C538" t="s">
        <v>1085</v>
      </c>
      <c r="D538" t="s">
        <v>1878</v>
      </c>
      <c r="E538" t="s">
        <v>4042</v>
      </c>
      <c r="F538" t="s">
        <v>4188</v>
      </c>
      <c r="G538" t="s">
        <v>4189</v>
      </c>
      <c r="H538" t="s">
        <v>4284</v>
      </c>
    </row>
    <row r="539" spans="1:8">
      <c r="A539">
        <v>11126795</v>
      </c>
      <c r="B539" t="s">
        <v>633</v>
      </c>
      <c r="C539" t="s">
        <v>1086</v>
      </c>
      <c r="D539" t="s">
        <v>1878</v>
      </c>
      <c r="E539" t="s">
        <v>4042</v>
      </c>
      <c r="F539" t="s">
        <v>4188</v>
      </c>
      <c r="G539" t="s">
        <v>4189</v>
      </c>
      <c r="H539" t="s">
        <v>4284</v>
      </c>
    </row>
    <row r="540" spans="1:8">
      <c r="A540">
        <v>11126796</v>
      </c>
      <c r="B540" t="s">
        <v>634</v>
      </c>
      <c r="C540" t="s">
        <v>1137</v>
      </c>
      <c r="D540" t="s">
        <v>1881</v>
      </c>
      <c r="E540" t="s">
        <v>4190</v>
      </c>
      <c r="F540" t="s">
        <v>4191</v>
      </c>
      <c r="G540" t="s">
        <v>4192</v>
      </c>
      <c r="H540" t="s">
        <v>4284</v>
      </c>
    </row>
    <row r="541" spans="1:8">
      <c r="A541">
        <v>11126797</v>
      </c>
      <c r="B541" t="s">
        <v>635</v>
      </c>
      <c r="C541" t="s">
        <v>1021</v>
      </c>
      <c r="D541" t="s">
        <v>1881</v>
      </c>
      <c r="E541" t="s">
        <v>4190</v>
      </c>
      <c r="F541" t="s">
        <v>4191</v>
      </c>
      <c r="G541" t="s">
        <v>4192</v>
      </c>
      <c r="H541" t="s">
        <v>4284</v>
      </c>
    </row>
    <row r="542" spans="1:8">
      <c r="A542">
        <v>11126798</v>
      </c>
      <c r="B542" t="s">
        <v>636</v>
      </c>
      <c r="C542" t="s">
        <v>1138</v>
      </c>
      <c r="D542" t="s">
        <v>1881</v>
      </c>
      <c r="E542" t="s">
        <v>4190</v>
      </c>
      <c r="F542" t="s">
        <v>4191</v>
      </c>
      <c r="G542" t="s">
        <v>4192</v>
      </c>
      <c r="H542" t="s">
        <v>4284</v>
      </c>
    </row>
    <row r="543" spans="1:8">
      <c r="A543">
        <v>11126799</v>
      </c>
      <c r="B543" t="s">
        <v>637</v>
      </c>
      <c r="C543" t="s">
        <v>1022</v>
      </c>
      <c r="D543" t="s">
        <v>1881</v>
      </c>
      <c r="E543" t="s">
        <v>4190</v>
      </c>
      <c r="F543" t="s">
        <v>4191</v>
      </c>
      <c r="G543" t="s">
        <v>4192</v>
      </c>
      <c r="H543" t="s">
        <v>4284</v>
      </c>
    </row>
    <row r="544" spans="1:8">
      <c r="A544">
        <v>11126800</v>
      </c>
      <c r="B544" t="s">
        <v>638</v>
      </c>
      <c r="C544" t="s">
        <v>1088</v>
      </c>
      <c r="D544" t="s">
        <v>1885</v>
      </c>
      <c r="E544" t="s">
        <v>4193</v>
      </c>
      <c r="F544" t="s">
        <v>4194</v>
      </c>
      <c r="G544" t="s">
        <v>4195</v>
      </c>
      <c r="H544" t="s">
        <v>4284</v>
      </c>
    </row>
    <row r="545" spans="1:8">
      <c r="A545">
        <v>11126801</v>
      </c>
      <c r="B545" t="s">
        <v>639</v>
      </c>
      <c r="C545" t="s">
        <v>1037</v>
      </c>
      <c r="D545" t="s">
        <v>1889</v>
      </c>
      <c r="E545" t="s">
        <v>4196</v>
      </c>
      <c r="F545" t="s">
        <v>4194</v>
      </c>
      <c r="G545" t="s">
        <v>4195</v>
      </c>
      <c r="H545" t="s">
        <v>4284</v>
      </c>
    </row>
    <row r="546" spans="1:8">
      <c r="A546">
        <v>11126802</v>
      </c>
      <c r="B546" t="s">
        <v>640</v>
      </c>
      <c r="C546" t="s">
        <v>1089</v>
      </c>
      <c r="D546" t="s">
        <v>1889</v>
      </c>
      <c r="E546" t="s">
        <v>4196</v>
      </c>
      <c r="F546" t="s">
        <v>4194</v>
      </c>
      <c r="G546" t="s">
        <v>4195</v>
      </c>
      <c r="H546" t="s">
        <v>4284</v>
      </c>
    </row>
    <row r="547" spans="1:8">
      <c r="A547">
        <v>11126803</v>
      </c>
      <c r="B547" t="s">
        <v>641</v>
      </c>
      <c r="C547" t="s">
        <v>1194</v>
      </c>
      <c r="D547" t="s">
        <v>1889</v>
      </c>
      <c r="E547" t="s">
        <v>4196</v>
      </c>
      <c r="F547" t="s">
        <v>4194</v>
      </c>
      <c r="G547" t="s">
        <v>4195</v>
      </c>
      <c r="H547" t="s">
        <v>4284</v>
      </c>
    </row>
    <row r="548" spans="1:8">
      <c r="A548">
        <v>11126804</v>
      </c>
      <c r="B548" t="s">
        <v>642</v>
      </c>
      <c r="C548" t="s">
        <v>1301</v>
      </c>
      <c r="D548" t="s">
        <v>1891</v>
      </c>
      <c r="E548" t="s">
        <v>4197</v>
      </c>
      <c r="F548" t="s">
        <v>4194</v>
      </c>
      <c r="G548" t="s">
        <v>4195</v>
      </c>
      <c r="H548" t="s">
        <v>4284</v>
      </c>
    </row>
    <row r="549" spans="1:8">
      <c r="A549">
        <v>11126805</v>
      </c>
      <c r="B549" t="s">
        <v>643</v>
      </c>
      <c r="C549" t="s">
        <v>1302</v>
      </c>
      <c r="D549" t="s">
        <v>1891</v>
      </c>
      <c r="E549" t="s">
        <v>4197</v>
      </c>
      <c r="F549" t="s">
        <v>4194</v>
      </c>
      <c r="G549" t="s">
        <v>4195</v>
      </c>
      <c r="H549" t="s">
        <v>4284</v>
      </c>
    </row>
    <row r="550" spans="1:8">
      <c r="A550">
        <v>11126806</v>
      </c>
      <c r="B550" t="s">
        <v>644</v>
      </c>
      <c r="C550" t="s">
        <v>1090</v>
      </c>
      <c r="D550" t="s">
        <v>1885</v>
      </c>
      <c r="E550" t="s">
        <v>4193</v>
      </c>
      <c r="F550" t="s">
        <v>4094</v>
      </c>
      <c r="G550" t="s">
        <v>4095</v>
      </c>
      <c r="H550" t="s">
        <v>4284</v>
      </c>
    </row>
    <row r="551" spans="1:8">
      <c r="A551">
        <v>11126807</v>
      </c>
      <c r="B551" t="s">
        <v>645</v>
      </c>
      <c r="C551" t="s">
        <v>1303</v>
      </c>
      <c r="D551" t="s">
        <v>1891</v>
      </c>
      <c r="E551" t="s">
        <v>4197</v>
      </c>
      <c r="F551" t="s">
        <v>4094</v>
      </c>
      <c r="G551" t="s">
        <v>4095</v>
      </c>
      <c r="H551" t="s">
        <v>4284</v>
      </c>
    </row>
    <row r="552" spans="1:8">
      <c r="A552">
        <v>11126808</v>
      </c>
      <c r="B552" t="s">
        <v>646</v>
      </c>
      <c r="C552" t="s">
        <v>1304</v>
      </c>
      <c r="D552" t="s">
        <v>1891</v>
      </c>
      <c r="E552" t="s">
        <v>4197</v>
      </c>
      <c r="F552" t="s">
        <v>4094</v>
      </c>
      <c r="G552" t="s">
        <v>4095</v>
      </c>
      <c r="H552" t="s">
        <v>4284</v>
      </c>
    </row>
    <row r="553" spans="1:8">
      <c r="A553">
        <v>11126809</v>
      </c>
      <c r="B553" t="s">
        <v>647</v>
      </c>
      <c r="C553" t="s">
        <v>1181</v>
      </c>
      <c r="D553" t="s">
        <v>1893</v>
      </c>
      <c r="E553" t="s">
        <v>4040</v>
      </c>
      <c r="F553" t="s">
        <v>3981</v>
      </c>
      <c r="G553" t="s">
        <v>3982</v>
      </c>
      <c r="H553" t="s">
        <v>4284</v>
      </c>
    </row>
    <row r="554" spans="1:8">
      <c r="A554">
        <v>11126810</v>
      </c>
      <c r="B554" t="s">
        <v>648</v>
      </c>
      <c r="C554" t="s">
        <v>1182</v>
      </c>
      <c r="D554" t="s">
        <v>1893</v>
      </c>
      <c r="E554" t="s">
        <v>4040</v>
      </c>
      <c r="F554" t="s">
        <v>3981</v>
      </c>
      <c r="G554" t="s">
        <v>3982</v>
      </c>
      <c r="H554" t="s">
        <v>4284</v>
      </c>
    </row>
    <row r="555" spans="1:8">
      <c r="A555">
        <v>11126811</v>
      </c>
      <c r="B555" t="s">
        <v>649</v>
      </c>
      <c r="C555" t="s">
        <v>1183</v>
      </c>
      <c r="D555" t="s">
        <v>1893</v>
      </c>
      <c r="E555" t="s">
        <v>4040</v>
      </c>
      <c r="F555" t="s">
        <v>3983</v>
      </c>
      <c r="G555" t="s">
        <v>3984</v>
      </c>
      <c r="H555" t="s">
        <v>4284</v>
      </c>
    </row>
    <row r="556" spans="1:8">
      <c r="A556">
        <v>11126812</v>
      </c>
      <c r="B556" t="s">
        <v>650</v>
      </c>
      <c r="C556" t="s">
        <v>1184</v>
      </c>
      <c r="D556" t="s">
        <v>1893</v>
      </c>
      <c r="E556" t="s">
        <v>4040</v>
      </c>
      <c r="F556" t="s">
        <v>3983</v>
      </c>
      <c r="G556" t="s">
        <v>3984</v>
      </c>
      <c r="H556" t="s">
        <v>4284</v>
      </c>
    </row>
    <row r="557" spans="1:8">
      <c r="A557">
        <v>11126813</v>
      </c>
      <c r="B557" t="s">
        <v>651</v>
      </c>
      <c r="C557" t="s">
        <v>1185</v>
      </c>
      <c r="D557" t="s">
        <v>1893</v>
      </c>
      <c r="E557" t="s">
        <v>4040</v>
      </c>
      <c r="F557" t="s">
        <v>3985</v>
      </c>
      <c r="G557" t="s">
        <v>3986</v>
      </c>
      <c r="H557" t="s">
        <v>4284</v>
      </c>
    </row>
    <row r="558" spans="1:8">
      <c r="A558">
        <v>11126814</v>
      </c>
      <c r="B558" t="s">
        <v>652</v>
      </c>
      <c r="C558" t="s">
        <v>1186</v>
      </c>
      <c r="D558" t="s">
        <v>1893</v>
      </c>
      <c r="E558" t="s">
        <v>4040</v>
      </c>
      <c r="F558" t="s">
        <v>3985</v>
      </c>
      <c r="G558" t="s">
        <v>3986</v>
      </c>
      <c r="H558" t="s">
        <v>4284</v>
      </c>
    </row>
    <row r="559" spans="1:8">
      <c r="A559">
        <v>11126815</v>
      </c>
      <c r="B559" t="s">
        <v>653</v>
      </c>
      <c r="C559" t="s">
        <v>1216</v>
      </c>
      <c r="D559" t="s">
        <v>1822</v>
      </c>
      <c r="E559" t="s">
        <v>4154</v>
      </c>
      <c r="F559" t="s">
        <v>4155</v>
      </c>
      <c r="G559" t="s">
        <v>4156</v>
      </c>
      <c r="H559" t="s">
        <v>4284</v>
      </c>
    </row>
    <row r="560" spans="1:8">
      <c r="A560">
        <v>11126816</v>
      </c>
      <c r="B560" t="s">
        <v>654</v>
      </c>
      <c r="C560" t="s">
        <v>1031</v>
      </c>
      <c r="D560" t="s">
        <v>1822</v>
      </c>
      <c r="E560" t="s">
        <v>4154</v>
      </c>
      <c r="F560" t="s">
        <v>4155</v>
      </c>
      <c r="G560" t="s">
        <v>4156</v>
      </c>
      <c r="H560" t="s">
        <v>4284</v>
      </c>
    </row>
    <row r="561" spans="1:8">
      <c r="A561">
        <v>11126817</v>
      </c>
      <c r="B561" t="s">
        <v>655</v>
      </c>
      <c r="C561" t="s">
        <v>1030</v>
      </c>
      <c r="D561" t="s">
        <v>1822</v>
      </c>
      <c r="E561" t="s">
        <v>4154</v>
      </c>
      <c r="F561" t="s">
        <v>4155</v>
      </c>
      <c r="G561" t="s">
        <v>4156</v>
      </c>
      <c r="H561" t="s">
        <v>4284</v>
      </c>
    </row>
    <row r="562" spans="1:8">
      <c r="A562" t="s">
        <v>95</v>
      </c>
      <c r="B562" t="s">
        <v>656</v>
      </c>
      <c r="C562" t="s">
        <v>1305</v>
      </c>
      <c r="D562" t="s">
        <v>1894</v>
      </c>
      <c r="E562" t="s">
        <v>4198</v>
      </c>
      <c r="F562" t="s">
        <v>4097</v>
      </c>
      <c r="G562" t="s">
        <v>4098</v>
      </c>
      <c r="H562" t="s">
        <v>4284</v>
      </c>
    </row>
    <row r="563" spans="1:8">
      <c r="A563" t="s">
        <v>96</v>
      </c>
      <c r="B563" t="s">
        <v>657</v>
      </c>
      <c r="C563" t="s">
        <v>1306</v>
      </c>
      <c r="D563" t="s">
        <v>1722</v>
      </c>
      <c r="E563" t="s">
        <v>4096</v>
      </c>
      <c r="F563" t="s">
        <v>4097</v>
      </c>
      <c r="G563" t="s">
        <v>4098</v>
      </c>
      <c r="H563" t="s">
        <v>4284</v>
      </c>
    </row>
    <row r="564" spans="1:8">
      <c r="A564">
        <v>11120133</v>
      </c>
      <c r="B564" t="s">
        <v>658</v>
      </c>
      <c r="C564" t="s">
        <v>1307</v>
      </c>
      <c r="D564" t="s">
        <v>1896</v>
      </c>
      <c r="E564" t="s">
        <v>4199</v>
      </c>
      <c r="F564" t="s">
        <v>4014</v>
      </c>
      <c r="G564" t="s">
        <v>4015</v>
      </c>
      <c r="H564" t="s">
        <v>4284</v>
      </c>
    </row>
    <row r="565" spans="1:8">
      <c r="A565">
        <v>11124971</v>
      </c>
      <c r="B565" t="s">
        <v>659</v>
      </c>
      <c r="C565" t="s">
        <v>1308</v>
      </c>
      <c r="D565" t="s">
        <v>1898</v>
      </c>
      <c r="E565" t="s">
        <v>4200</v>
      </c>
      <c r="F565" t="s">
        <v>4120</v>
      </c>
      <c r="G565" t="s">
        <v>4121</v>
      </c>
      <c r="H565" t="s">
        <v>4284</v>
      </c>
    </row>
    <row r="566" spans="1:8">
      <c r="A566">
        <v>11124972</v>
      </c>
      <c r="B566" t="s">
        <v>660</v>
      </c>
      <c r="C566" t="s">
        <v>1309</v>
      </c>
      <c r="D566" t="s">
        <v>1898</v>
      </c>
      <c r="E566" t="s">
        <v>4200</v>
      </c>
      <c r="F566" t="s">
        <v>4120</v>
      </c>
      <c r="G566" t="s">
        <v>4121</v>
      </c>
      <c r="H566" t="s">
        <v>4284</v>
      </c>
    </row>
    <row r="567" spans="1:8">
      <c r="A567">
        <v>11124973</v>
      </c>
      <c r="B567" t="s">
        <v>661</v>
      </c>
      <c r="C567" t="s">
        <v>1092</v>
      </c>
      <c r="D567" t="s">
        <v>1900</v>
      </c>
      <c r="E567" t="s">
        <v>4201</v>
      </c>
      <c r="F567" t="s">
        <v>3990</v>
      </c>
      <c r="G567" t="s">
        <v>3991</v>
      </c>
      <c r="H567" t="s">
        <v>4284</v>
      </c>
    </row>
    <row r="568" spans="1:8">
      <c r="A568">
        <v>11124974</v>
      </c>
      <c r="B568" t="s">
        <v>662</v>
      </c>
      <c r="C568" t="s">
        <v>994</v>
      </c>
      <c r="D568" t="s">
        <v>1902</v>
      </c>
      <c r="E568" t="s">
        <v>4005</v>
      </c>
      <c r="F568" t="s">
        <v>3990</v>
      </c>
      <c r="G568" t="s">
        <v>3991</v>
      </c>
      <c r="H568" t="s">
        <v>4284</v>
      </c>
    </row>
    <row r="569" spans="1:8">
      <c r="A569">
        <v>11124975</v>
      </c>
      <c r="B569" t="s">
        <v>663</v>
      </c>
      <c r="C569" t="s">
        <v>1310</v>
      </c>
      <c r="D569" t="s">
        <v>1903</v>
      </c>
      <c r="E569" t="s">
        <v>4202</v>
      </c>
      <c r="F569" t="s">
        <v>4155</v>
      </c>
      <c r="G569" t="s">
        <v>4156</v>
      </c>
      <c r="H569" t="s">
        <v>4284</v>
      </c>
    </row>
    <row r="570" spans="1:8">
      <c r="A570">
        <v>11124982</v>
      </c>
      <c r="B570" t="s">
        <v>664</v>
      </c>
      <c r="C570" t="s">
        <v>1152</v>
      </c>
      <c r="D570" t="s">
        <v>1905</v>
      </c>
      <c r="E570" t="s">
        <v>4023</v>
      </c>
      <c r="F570" t="s">
        <v>4024</v>
      </c>
      <c r="G570" t="s">
        <v>4025</v>
      </c>
      <c r="H570" t="s">
        <v>4284</v>
      </c>
    </row>
    <row r="571" spans="1:8">
      <c r="A571">
        <v>11124983</v>
      </c>
      <c r="B571" t="s">
        <v>665</v>
      </c>
      <c r="C571" t="s">
        <v>1153</v>
      </c>
      <c r="D571" t="s">
        <v>1905</v>
      </c>
      <c r="E571" t="s">
        <v>4023</v>
      </c>
      <c r="F571" t="s">
        <v>4024</v>
      </c>
      <c r="G571" t="s">
        <v>4025</v>
      </c>
      <c r="H571" t="s">
        <v>4284</v>
      </c>
    </row>
    <row r="572" spans="1:8">
      <c r="A572">
        <v>11124987</v>
      </c>
      <c r="B572" t="s">
        <v>666</v>
      </c>
      <c r="C572" t="s">
        <v>1050</v>
      </c>
      <c r="D572" t="s">
        <v>1905</v>
      </c>
      <c r="E572" t="s">
        <v>4023</v>
      </c>
      <c r="F572" t="s">
        <v>4024</v>
      </c>
      <c r="G572" t="s">
        <v>4025</v>
      </c>
      <c r="H572" t="s">
        <v>4284</v>
      </c>
    </row>
    <row r="573" spans="1:8">
      <c r="A573">
        <v>11124988</v>
      </c>
      <c r="B573" t="s">
        <v>667</v>
      </c>
      <c r="C573" t="s">
        <v>1154</v>
      </c>
      <c r="D573" t="s">
        <v>1906</v>
      </c>
      <c r="E573" t="s">
        <v>3946</v>
      </c>
      <c r="F573" t="s">
        <v>4074</v>
      </c>
      <c r="G573" t="s">
        <v>4075</v>
      </c>
      <c r="H573" t="s">
        <v>4284</v>
      </c>
    </row>
    <row r="574" spans="1:8">
      <c r="A574">
        <v>11124993</v>
      </c>
      <c r="B574" t="s">
        <v>668</v>
      </c>
      <c r="C574" t="s">
        <v>1130</v>
      </c>
      <c r="D574" t="s">
        <v>1906</v>
      </c>
      <c r="E574" t="s">
        <v>3946</v>
      </c>
      <c r="F574" t="s">
        <v>4074</v>
      </c>
      <c r="G574" t="s">
        <v>4075</v>
      </c>
      <c r="H574" t="s">
        <v>4284</v>
      </c>
    </row>
    <row r="575" spans="1:8">
      <c r="A575">
        <v>11124994</v>
      </c>
      <c r="B575" t="s">
        <v>669</v>
      </c>
      <c r="C575" t="s">
        <v>1311</v>
      </c>
      <c r="D575" t="s">
        <v>1907</v>
      </c>
      <c r="E575" t="s">
        <v>4203</v>
      </c>
      <c r="F575" t="s">
        <v>4194</v>
      </c>
      <c r="G575" t="s">
        <v>4195</v>
      </c>
      <c r="H575" t="s">
        <v>4284</v>
      </c>
    </row>
    <row r="576" spans="1:8">
      <c r="A576">
        <v>11125011</v>
      </c>
      <c r="B576" t="s">
        <v>670</v>
      </c>
      <c r="C576" t="s">
        <v>1113</v>
      </c>
      <c r="D576" t="s">
        <v>1751</v>
      </c>
      <c r="E576" t="s">
        <v>4006</v>
      </c>
      <c r="F576" t="s">
        <v>4110</v>
      </c>
      <c r="G576" t="s">
        <v>4111</v>
      </c>
      <c r="H576" t="s">
        <v>4284</v>
      </c>
    </row>
    <row r="577" spans="1:8">
      <c r="A577">
        <v>11125021</v>
      </c>
      <c r="B577" t="s">
        <v>671</v>
      </c>
      <c r="C577" t="s">
        <v>1131</v>
      </c>
      <c r="D577" t="s">
        <v>1909</v>
      </c>
      <c r="E577" t="s">
        <v>4020</v>
      </c>
      <c r="F577" t="s">
        <v>3974</v>
      </c>
      <c r="G577" t="s">
        <v>3975</v>
      </c>
      <c r="H577" t="s">
        <v>4284</v>
      </c>
    </row>
    <row r="578" spans="1:8">
      <c r="A578">
        <v>11123400</v>
      </c>
      <c r="B578" t="s">
        <v>672</v>
      </c>
      <c r="C578" t="s">
        <v>1097</v>
      </c>
      <c r="D578" t="s">
        <v>1910</v>
      </c>
      <c r="E578" t="s">
        <v>3959</v>
      </c>
      <c r="F578" t="s">
        <v>3960</v>
      </c>
      <c r="G578" t="s">
        <v>3961</v>
      </c>
      <c r="H578" t="s">
        <v>4284</v>
      </c>
    </row>
    <row r="579" spans="1:8">
      <c r="A579">
        <v>11125465</v>
      </c>
      <c r="B579" t="s">
        <v>673</v>
      </c>
      <c r="C579" t="s">
        <v>1312</v>
      </c>
      <c r="D579" t="s">
        <v>1911</v>
      </c>
      <c r="E579" t="s">
        <v>4204</v>
      </c>
      <c r="F579" t="s">
        <v>3960</v>
      </c>
      <c r="G579" t="s">
        <v>3961</v>
      </c>
      <c r="H579" t="s">
        <v>4284</v>
      </c>
    </row>
    <row r="580" spans="1:8">
      <c r="A580">
        <v>11125466</v>
      </c>
      <c r="B580" t="s">
        <v>674</v>
      </c>
      <c r="C580" t="s">
        <v>1313</v>
      </c>
      <c r="D580" t="s">
        <v>1913</v>
      </c>
      <c r="E580" t="s">
        <v>4205</v>
      </c>
      <c r="F580" t="s">
        <v>3960</v>
      </c>
      <c r="G580" t="s">
        <v>3961</v>
      </c>
      <c r="H580" t="s">
        <v>4284</v>
      </c>
    </row>
    <row r="581" spans="1:8">
      <c r="A581">
        <v>11125467</v>
      </c>
      <c r="B581" t="s">
        <v>675</v>
      </c>
      <c r="C581" t="s">
        <v>1314</v>
      </c>
      <c r="D581" t="s">
        <v>1915</v>
      </c>
      <c r="E581" t="s">
        <v>4206</v>
      </c>
      <c r="F581" t="s">
        <v>3960</v>
      </c>
      <c r="G581" t="s">
        <v>3961</v>
      </c>
      <c r="H581" t="s">
        <v>4284</v>
      </c>
    </row>
    <row r="582" spans="1:8">
      <c r="A582">
        <v>11125462</v>
      </c>
      <c r="B582" t="s">
        <v>676</v>
      </c>
      <c r="C582" t="s">
        <v>1315</v>
      </c>
      <c r="D582" t="s">
        <v>1911</v>
      </c>
      <c r="E582" t="s">
        <v>4204</v>
      </c>
      <c r="F582" t="s">
        <v>3960</v>
      </c>
      <c r="G582" t="s">
        <v>3961</v>
      </c>
      <c r="H582" t="s">
        <v>4284</v>
      </c>
    </row>
    <row r="583" spans="1:8">
      <c r="A583">
        <v>11125463</v>
      </c>
      <c r="B583" t="s">
        <v>677</v>
      </c>
      <c r="C583" t="s">
        <v>1316</v>
      </c>
      <c r="D583" t="s">
        <v>1913</v>
      </c>
      <c r="E583" t="s">
        <v>4205</v>
      </c>
      <c r="F583" t="s">
        <v>3960</v>
      </c>
      <c r="G583" t="s">
        <v>3961</v>
      </c>
      <c r="H583" t="s">
        <v>4284</v>
      </c>
    </row>
    <row r="584" spans="1:8">
      <c r="A584">
        <v>11125464</v>
      </c>
      <c r="B584" t="s">
        <v>678</v>
      </c>
      <c r="C584" t="s">
        <v>1317</v>
      </c>
      <c r="D584" t="s">
        <v>1915</v>
      </c>
      <c r="E584" t="s">
        <v>4206</v>
      </c>
      <c r="F584" t="s">
        <v>3960</v>
      </c>
      <c r="G584" t="s">
        <v>3961</v>
      </c>
      <c r="H584" t="s">
        <v>4284</v>
      </c>
    </row>
    <row r="585" spans="1:8">
      <c r="A585">
        <v>11127513</v>
      </c>
      <c r="B585" t="s">
        <v>679</v>
      </c>
      <c r="C585" t="s">
        <v>1000</v>
      </c>
      <c r="D585" t="s">
        <v>1814</v>
      </c>
      <c r="E585" t="s">
        <v>4148</v>
      </c>
      <c r="F585" t="s">
        <v>4014</v>
      </c>
      <c r="G585" t="s">
        <v>4015</v>
      </c>
      <c r="H585" t="s">
        <v>4284</v>
      </c>
    </row>
    <row r="586" spans="1:8">
      <c r="A586">
        <v>11125767</v>
      </c>
      <c r="B586" t="s">
        <v>680</v>
      </c>
      <c r="C586" t="s">
        <v>1095</v>
      </c>
      <c r="D586" t="s">
        <v>1917</v>
      </c>
      <c r="E586" t="s">
        <v>4207</v>
      </c>
      <c r="F586" t="s">
        <v>3960</v>
      </c>
      <c r="G586" t="s">
        <v>3961</v>
      </c>
      <c r="H586" t="s">
        <v>4284</v>
      </c>
    </row>
    <row r="587" spans="1:8">
      <c r="A587">
        <v>11125768</v>
      </c>
      <c r="B587" t="s">
        <v>681</v>
      </c>
      <c r="C587" t="s">
        <v>1096</v>
      </c>
      <c r="D587" t="s">
        <v>1919</v>
      </c>
      <c r="E587" t="s">
        <v>4208</v>
      </c>
      <c r="F587" t="s">
        <v>3960</v>
      </c>
      <c r="G587" t="s">
        <v>3961</v>
      </c>
      <c r="H587" t="s">
        <v>4284</v>
      </c>
    </row>
    <row r="588" spans="1:8">
      <c r="A588">
        <v>11125769</v>
      </c>
      <c r="B588" t="s">
        <v>682</v>
      </c>
      <c r="C588" t="s">
        <v>1097</v>
      </c>
      <c r="D588" t="s">
        <v>1921</v>
      </c>
      <c r="E588" t="s">
        <v>4209</v>
      </c>
      <c r="F588" t="s">
        <v>3960</v>
      </c>
      <c r="G588" t="s">
        <v>3961</v>
      </c>
      <c r="H588" t="s">
        <v>4284</v>
      </c>
    </row>
    <row r="589" spans="1:8">
      <c r="A589">
        <v>11103677</v>
      </c>
      <c r="B589" t="s">
        <v>683</v>
      </c>
      <c r="C589" t="s">
        <v>989</v>
      </c>
      <c r="D589" t="s">
        <v>1732</v>
      </c>
      <c r="E589" t="s">
        <v>4102</v>
      </c>
      <c r="F589" t="s">
        <v>3990</v>
      </c>
      <c r="G589" t="s">
        <v>3991</v>
      </c>
      <c r="H589" t="s">
        <v>4284</v>
      </c>
    </row>
    <row r="590" spans="1:8">
      <c r="A590">
        <v>11126965</v>
      </c>
      <c r="B590" t="s">
        <v>684</v>
      </c>
      <c r="C590" t="s">
        <v>1095</v>
      </c>
      <c r="D590" t="s">
        <v>1923</v>
      </c>
      <c r="E590" t="s">
        <v>3995</v>
      </c>
      <c r="F590" t="s">
        <v>3960</v>
      </c>
      <c r="G590" t="s">
        <v>3961</v>
      </c>
      <c r="H590" t="s">
        <v>4284</v>
      </c>
    </row>
    <row r="591" spans="1:8">
      <c r="A591">
        <v>11126966</v>
      </c>
      <c r="B591" t="s">
        <v>685</v>
      </c>
      <c r="C591" t="s">
        <v>1098</v>
      </c>
      <c r="H591" t="s">
        <v>4284</v>
      </c>
    </row>
    <row r="592" spans="1:8">
      <c r="A592">
        <v>11126967</v>
      </c>
      <c r="B592" t="s">
        <v>686</v>
      </c>
      <c r="C592" t="s">
        <v>1099</v>
      </c>
      <c r="H592" t="s">
        <v>4284</v>
      </c>
    </row>
    <row r="593" spans="1:8">
      <c r="A593">
        <v>11126968</v>
      </c>
      <c r="B593" t="s">
        <v>687</v>
      </c>
      <c r="C593" t="s">
        <v>1096</v>
      </c>
      <c r="D593" t="s">
        <v>1924</v>
      </c>
      <c r="E593" t="s">
        <v>3996</v>
      </c>
      <c r="F593" t="s">
        <v>3960</v>
      </c>
      <c r="G593" t="s">
        <v>3961</v>
      </c>
      <c r="H593" t="s">
        <v>4284</v>
      </c>
    </row>
    <row r="594" spans="1:8">
      <c r="A594">
        <v>11126969</v>
      </c>
      <c r="B594" t="s">
        <v>688</v>
      </c>
      <c r="C594" t="s">
        <v>1100</v>
      </c>
      <c r="H594" t="s">
        <v>4284</v>
      </c>
    </row>
    <row r="595" spans="1:8">
      <c r="A595">
        <v>11126970</v>
      </c>
      <c r="B595" t="s">
        <v>689</v>
      </c>
      <c r="C595" t="s">
        <v>1101</v>
      </c>
      <c r="H595" t="s">
        <v>4284</v>
      </c>
    </row>
    <row r="596" spans="1:8">
      <c r="A596">
        <v>11126971</v>
      </c>
      <c r="B596" t="s">
        <v>690</v>
      </c>
      <c r="C596" t="s">
        <v>1097</v>
      </c>
      <c r="D596" t="s">
        <v>1925</v>
      </c>
      <c r="E596" t="s">
        <v>3997</v>
      </c>
      <c r="F596" t="s">
        <v>3960</v>
      </c>
      <c r="G596" t="s">
        <v>3961</v>
      </c>
      <c r="H596" t="s">
        <v>4284</v>
      </c>
    </row>
    <row r="597" spans="1:8">
      <c r="A597">
        <v>11126972</v>
      </c>
      <c r="B597" t="s">
        <v>691</v>
      </c>
      <c r="C597" t="s">
        <v>1102</v>
      </c>
      <c r="H597" t="s">
        <v>4284</v>
      </c>
    </row>
    <row r="598" spans="1:8">
      <c r="A598">
        <v>11126973</v>
      </c>
      <c r="B598" t="s">
        <v>692</v>
      </c>
      <c r="C598" t="s">
        <v>1103</v>
      </c>
      <c r="H598" t="s">
        <v>4284</v>
      </c>
    </row>
    <row r="599" spans="1:8">
      <c r="A599">
        <v>11126891</v>
      </c>
      <c r="B599" t="s">
        <v>693</v>
      </c>
      <c r="C599" t="s">
        <v>1155</v>
      </c>
      <c r="D599" t="s">
        <v>1926</v>
      </c>
      <c r="E599" t="s">
        <v>4210</v>
      </c>
      <c r="F599" t="s">
        <v>4174</v>
      </c>
      <c r="G599" t="s">
        <v>4175</v>
      </c>
      <c r="H599" t="s">
        <v>4284</v>
      </c>
    </row>
    <row r="600" spans="1:8">
      <c r="A600">
        <v>11126951</v>
      </c>
      <c r="B600" t="s">
        <v>694</v>
      </c>
      <c r="C600" t="s">
        <v>965</v>
      </c>
      <c r="D600" t="s">
        <v>1928</v>
      </c>
      <c r="E600" t="s">
        <v>3968</v>
      </c>
      <c r="F600" t="s">
        <v>4000</v>
      </c>
      <c r="G600" t="s">
        <v>4001</v>
      </c>
      <c r="H600" t="s">
        <v>4284</v>
      </c>
    </row>
    <row r="601" spans="1:8">
      <c r="A601">
        <v>11126909</v>
      </c>
      <c r="B601" t="s">
        <v>695</v>
      </c>
      <c r="C601" t="s">
        <v>1005</v>
      </c>
      <c r="D601" t="s">
        <v>1929</v>
      </c>
      <c r="E601" t="s">
        <v>4054</v>
      </c>
      <c r="F601" t="s">
        <v>4055</v>
      </c>
      <c r="G601" t="s">
        <v>4056</v>
      </c>
      <c r="H601" t="s">
        <v>4284</v>
      </c>
    </row>
    <row r="602" spans="1:8">
      <c r="A602">
        <v>11126913</v>
      </c>
      <c r="B602" t="s">
        <v>696</v>
      </c>
      <c r="C602" t="s">
        <v>1009</v>
      </c>
      <c r="D602" t="s">
        <v>1930</v>
      </c>
      <c r="E602" t="s">
        <v>3973</v>
      </c>
      <c r="F602" t="s">
        <v>4133</v>
      </c>
      <c r="G602" t="s">
        <v>4134</v>
      </c>
      <c r="H602" t="s">
        <v>4284</v>
      </c>
    </row>
    <row r="603" spans="1:8">
      <c r="A603">
        <v>11126914</v>
      </c>
      <c r="B603" t="s">
        <v>697</v>
      </c>
      <c r="C603" t="s">
        <v>1196</v>
      </c>
      <c r="D603" t="s">
        <v>1930</v>
      </c>
      <c r="E603" t="s">
        <v>3973</v>
      </c>
      <c r="F603" t="s">
        <v>4133</v>
      </c>
      <c r="G603" t="s">
        <v>4134</v>
      </c>
      <c r="H603" t="s">
        <v>4284</v>
      </c>
    </row>
    <row r="604" spans="1:8">
      <c r="A604">
        <v>11126915</v>
      </c>
      <c r="B604" t="s">
        <v>698</v>
      </c>
      <c r="C604" t="s">
        <v>1010</v>
      </c>
      <c r="D604" t="s">
        <v>1930</v>
      </c>
      <c r="E604" t="s">
        <v>3973</v>
      </c>
      <c r="F604" t="s">
        <v>4011</v>
      </c>
      <c r="G604" t="s">
        <v>4012</v>
      </c>
      <c r="H604" t="s">
        <v>4284</v>
      </c>
    </row>
    <row r="605" spans="1:8">
      <c r="A605">
        <v>11126916</v>
      </c>
      <c r="B605" t="s">
        <v>699</v>
      </c>
      <c r="C605" t="s">
        <v>1224</v>
      </c>
      <c r="D605" t="s">
        <v>1930</v>
      </c>
      <c r="E605" t="s">
        <v>3973</v>
      </c>
      <c r="F605" t="s">
        <v>4011</v>
      </c>
      <c r="G605" t="s">
        <v>4012</v>
      </c>
      <c r="H605" t="s">
        <v>4284</v>
      </c>
    </row>
    <row r="606" spans="1:8">
      <c r="A606">
        <v>11126923</v>
      </c>
      <c r="B606" t="s">
        <v>700</v>
      </c>
      <c r="C606" t="s">
        <v>970</v>
      </c>
      <c r="D606" t="s">
        <v>1931</v>
      </c>
      <c r="E606" t="s">
        <v>4211</v>
      </c>
      <c r="F606" t="s">
        <v>4137</v>
      </c>
      <c r="G606" t="s">
        <v>4138</v>
      </c>
      <c r="H606" t="s">
        <v>4284</v>
      </c>
    </row>
    <row r="607" spans="1:8">
      <c r="A607">
        <v>11126927</v>
      </c>
      <c r="B607" t="s">
        <v>701</v>
      </c>
      <c r="C607" t="s">
        <v>1064</v>
      </c>
      <c r="D607" t="s">
        <v>1931</v>
      </c>
      <c r="E607" t="s">
        <v>4211</v>
      </c>
      <c r="F607" t="s">
        <v>4137</v>
      </c>
      <c r="G607" t="s">
        <v>4138</v>
      </c>
      <c r="H607" t="s">
        <v>4284</v>
      </c>
    </row>
    <row r="608" spans="1:8">
      <c r="A608">
        <v>11126929</v>
      </c>
      <c r="B608" t="s">
        <v>702</v>
      </c>
      <c r="C608" t="s">
        <v>1038</v>
      </c>
      <c r="H608" t="s">
        <v>4284</v>
      </c>
    </row>
    <row r="609" spans="1:8">
      <c r="A609">
        <v>11126930</v>
      </c>
      <c r="B609" t="s">
        <v>703</v>
      </c>
      <c r="C609" t="s">
        <v>1039</v>
      </c>
      <c r="D609" t="s">
        <v>1933</v>
      </c>
      <c r="E609" t="s">
        <v>4212</v>
      </c>
      <c r="F609" t="s">
        <v>4024</v>
      </c>
      <c r="G609" t="s">
        <v>4025</v>
      </c>
      <c r="H609" t="s">
        <v>4284</v>
      </c>
    </row>
    <row r="610" spans="1:8">
      <c r="A610">
        <v>11126933</v>
      </c>
      <c r="B610" t="s">
        <v>704</v>
      </c>
      <c r="C610" t="s">
        <v>1141</v>
      </c>
      <c r="D610" t="s">
        <v>1933</v>
      </c>
      <c r="E610" t="s">
        <v>4212</v>
      </c>
      <c r="F610" t="s">
        <v>4024</v>
      </c>
      <c r="G610" t="s">
        <v>4025</v>
      </c>
      <c r="H610" t="s">
        <v>4284</v>
      </c>
    </row>
    <row r="611" spans="1:8">
      <c r="A611">
        <v>11126936</v>
      </c>
      <c r="B611" t="s">
        <v>705</v>
      </c>
      <c r="C611" t="s">
        <v>1044</v>
      </c>
      <c r="D611" t="s">
        <v>1934</v>
      </c>
      <c r="E611" t="s">
        <v>4213</v>
      </c>
      <c r="F611" t="s">
        <v>4074</v>
      </c>
      <c r="G611" t="s">
        <v>4075</v>
      </c>
      <c r="H611" t="s">
        <v>4284</v>
      </c>
    </row>
    <row r="612" spans="1:8">
      <c r="A612">
        <v>11126939</v>
      </c>
      <c r="B612" t="s">
        <v>706</v>
      </c>
      <c r="C612" t="s">
        <v>1142</v>
      </c>
      <c r="D612" t="s">
        <v>1934</v>
      </c>
      <c r="E612" t="s">
        <v>4213</v>
      </c>
      <c r="F612" t="s">
        <v>4074</v>
      </c>
      <c r="G612" t="s">
        <v>4075</v>
      </c>
      <c r="H612" t="s">
        <v>4284</v>
      </c>
    </row>
    <row r="613" spans="1:8">
      <c r="A613">
        <v>11126947</v>
      </c>
      <c r="B613" t="s">
        <v>707</v>
      </c>
      <c r="C613" t="s">
        <v>1225</v>
      </c>
      <c r="D613" t="s">
        <v>1935</v>
      </c>
      <c r="E613" t="s">
        <v>4214</v>
      </c>
      <c r="F613" t="s">
        <v>4145</v>
      </c>
      <c r="G613" t="s">
        <v>4146</v>
      </c>
      <c r="H613" t="s">
        <v>4284</v>
      </c>
    </row>
    <row r="614" spans="1:8">
      <c r="A614">
        <v>11126948</v>
      </c>
      <c r="B614" t="s">
        <v>708</v>
      </c>
      <c r="C614" t="s">
        <v>1226</v>
      </c>
      <c r="D614" t="s">
        <v>1935</v>
      </c>
      <c r="E614" t="s">
        <v>4214</v>
      </c>
      <c r="F614" t="s">
        <v>4145</v>
      </c>
      <c r="G614" t="s">
        <v>4146</v>
      </c>
      <c r="H614" t="s">
        <v>4284</v>
      </c>
    </row>
    <row r="615" spans="1:8">
      <c r="A615">
        <v>11103690</v>
      </c>
      <c r="B615" t="s">
        <v>709</v>
      </c>
      <c r="C615" t="s">
        <v>994</v>
      </c>
      <c r="D615" t="s">
        <v>1632</v>
      </c>
      <c r="E615" t="s">
        <v>4043</v>
      </c>
      <c r="F615" t="s">
        <v>3990</v>
      </c>
      <c r="G615" t="s">
        <v>3991</v>
      </c>
      <c r="H615" t="s">
        <v>4284</v>
      </c>
    </row>
    <row r="616" spans="1:8">
      <c r="A616">
        <v>11126270</v>
      </c>
      <c r="B616" t="s">
        <v>710</v>
      </c>
      <c r="C616" t="s">
        <v>1318</v>
      </c>
      <c r="D616" t="s">
        <v>1937</v>
      </c>
      <c r="E616" t="s">
        <v>4215</v>
      </c>
      <c r="F616" t="s">
        <v>3977</v>
      </c>
      <c r="G616" t="s">
        <v>3978</v>
      </c>
      <c r="H616" t="s">
        <v>4284</v>
      </c>
    </row>
    <row r="617" spans="1:8">
      <c r="A617">
        <v>11126271</v>
      </c>
      <c r="B617" t="s">
        <v>711</v>
      </c>
      <c r="C617" t="s">
        <v>1319</v>
      </c>
      <c r="D617" t="s">
        <v>1937</v>
      </c>
      <c r="E617" t="s">
        <v>4215</v>
      </c>
      <c r="F617" t="s">
        <v>3977</v>
      </c>
      <c r="G617" t="s">
        <v>3978</v>
      </c>
      <c r="H617" t="s">
        <v>4284</v>
      </c>
    </row>
    <row r="618" spans="1:8">
      <c r="A618">
        <v>11126272</v>
      </c>
      <c r="B618" t="s">
        <v>712</v>
      </c>
      <c r="C618" t="s">
        <v>1320</v>
      </c>
      <c r="D618" t="s">
        <v>1939</v>
      </c>
      <c r="E618" t="s">
        <v>4216</v>
      </c>
      <c r="F618" t="s">
        <v>3981</v>
      </c>
      <c r="G618" t="s">
        <v>3982</v>
      </c>
      <c r="H618" t="s">
        <v>4284</v>
      </c>
    </row>
    <row r="619" spans="1:8">
      <c r="A619">
        <v>11126273</v>
      </c>
      <c r="B619" t="s">
        <v>713</v>
      </c>
      <c r="C619" t="s">
        <v>1321</v>
      </c>
      <c r="D619" t="s">
        <v>1939</v>
      </c>
      <c r="E619" t="s">
        <v>4216</v>
      </c>
      <c r="F619" t="s">
        <v>3981</v>
      </c>
      <c r="G619" t="s">
        <v>3982</v>
      </c>
      <c r="H619" t="s">
        <v>4284</v>
      </c>
    </row>
    <row r="620" spans="1:8">
      <c r="A620">
        <v>11126274</v>
      </c>
      <c r="B620" t="s">
        <v>714</v>
      </c>
      <c r="C620" t="s">
        <v>1322</v>
      </c>
      <c r="D620" t="s">
        <v>1939</v>
      </c>
      <c r="E620" t="s">
        <v>4216</v>
      </c>
      <c r="F620" t="s">
        <v>3983</v>
      </c>
      <c r="G620" t="s">
        <v>3984</v>
      </c>
      <c r="H620" t="s">
        <v>4284</v>
      </c>
    </row>
    <row r="621" spans="1:8">
      <c r="A621">
        <v>11126275</v>
      </c>
      <c r="B621" t="s">
        <v>715</v>
      </c>
      <c r="C621" t="s">
        <v>1323</v>
      </c>
      <c r="D621" t="s">
        <v>1939</v>
      </c>
      <c r="E621" t="s">
        <v>4216</v>
      </c>
      <c r="F621" t="s">
        <v>3983</v>
      </c>
      <c r="G621" t="s">
        <v>3984</v>
      </c>
      <c r="H621" t="s">
        <v>4284</v>
      </c>
    </row>
    <row r="622" spans="1:8">
      <c r="A622">
        <v>11126276</v>
      </c>
      <c r="B622" t="s">
        <v>716</v>
      </c>
      <c r="C622" t="s">
        <v>1324</v>
      </c>
      <c r="D622" t="s">
        <v>1939</v>
      </c>
      <c r="E622" t="s">
        <v>4216</v>
      </c>
      <c r="F622" t="s">
        <v>3985</v>
      </c>
      <c r="G622" t="s">
        <v>3986</v>
      </c>
      <c r="H622" t="s">
        <v>4284</v>
      </c>
    </row>
    <row r="623" spans="1:8">
      <c r="A623">
        <v>11126277</v>
      </c>
      <c r="B623" t="s">
        <v>717</v>
      </c>
      <c r="C623" t="s">
        <v>1325</v>
      </c>
      <c r="D623" t="s">
        <v>1939</v>
      </c>
      <c r="E623" t="s">
        <v>4216</v>
      </c>
      <c r="F623" t="s">
        <v>3985</v>
      </c>
      <c r="G623" t="s">
        <v>3986</v>
      </c>
      <c r="H623" t="s">
        <v>4284</v>
      </c>
    </row>
    <row r="624" spans="1:8">
      <c r="A624">
        <v>11126278</v>
      </c>
      <c r="B624" t="s">
        <v>718</v>
      </c>
      <c r="C624" t="s">
        <v>1326</v>
      </c>
      <c r="D624" t="s">
        <v>1937</v>
      </c>
      <c r="E624" t="s">
        <v>4215</v>
      </c>
      <c r="F624" t="s">
        <v>3977</v>
      </c>
      <c r="G624" t="s">
        <v>3978</v>
      </c>
      <c r="H624" t="s">
        <v>4284</v>
      </c>
    </row>
    <row r="625" spans="1:8">
      <c r="A625">
        <v>11126279</v>
      </c>
      <c r="B625" t="s">
        <v>719</v>
      </c>
      <c r="C625" t="s">
        <v>1327</v>
      </c>
      <c r="D625" t="s">
        <v>1937</v>
      </c>
      <c r="E625" t="s">
        <v>4215</v>
      </c>
      <c r="F625" t="s">
        <v>3977</v>
      </c>
      <c r="G625" t="s">
        <v>3978</v>
      </c>
      <c r="H625" t="s">
        <v>4284</v>
      </c>
    </row>
    <row r="626" spans="1:8">
      <c r="A626">
        <v>11126280</v>
      </c>
      <c r="B626" t="s">
        <v>720</v>
      </c>
      <c r="C626" t="s">
        <v>1328</v>
      </c>
      <c r="D626" t="s">
        <v>1939</v>
      </c>
      <c r="E626" t="s">
        <v>4216</v>
      </c>
      <c r="F626" t="s">
        <v>3981</v>
      </c>
      <c r="G626" t="s">
        <v>3982</v>
      </c>
      <c r="H626" t="s">
        <v>4284</v>
      </c>
    </row>
    <row r="627" spans="1:8">
      <c r="A627">
        <v>11126281</v>
      </c>
      <c r="B627" t="s">
        <v>721</v>
      </c>
      <c r="C627" t="s">
        <v>1329</v>
      </c>
      <c r="D627" t="s">
        <v>1939</v>
      </c>
      <c r="E627" t="s">
        <v>4216</v>
      </c>
      <c r="F627" t="s">
        <v>3981</v>
      </c>
      <c r="G627" t="s">
        <v>3982</v>
      </c>
      <c r="H627" t="s">
        <v>4284</v>
      </c>
    </row>
    <row r="628" spans="1:8">
      <c r="A628">
        <v>11126282</v>
      </c>
      <c r="B628" t="s">
        <v>722</v>
      </c>
      <c r="C628" t="s">
        <v>1330</v>
      </c>
      <c r="D628" t="s">
        <v>1939</v>
      </c>
      <c r="E628" t="s">
        <v>4216</v>
      </c>
      <c r="F628" t="s">
        <v>3983</v>
      </c>
      <c r="G628" t="s">
        <v>3984</v>
      </c>
      <c r="H628" t="s">
        <v>4284</v>
      </c>
    </row>
    <row r="629" spans="1:8">
      <c r="A629">
        <v>11126284</v>
      </c>
      <c r="B629" t="s">
        <v>723</v>
      </c>
      <c r="C629" t="s">
        <v>1331</v>
      </c>
      <c r="D629" t="s">
        <v>1939</v>
      </c>
      <c r="E629" t="s">
        <v>4216</v>
      </c>
      <c r="F629" t="s">
        <v>3985</v>
      </c>
      <c r="G629" t="s">
        <v>3986</v>
      </c>
      <c r="H629" t="s">
        <v>4284</v>
      </c>
    </row>
    <row r="630" spans="1:8">
      <c r="A630">
        <v>11126285</v>
      </c>
      <c r="B630" t="s">
        <v>724</v>
      </c>
      <c r="C630" t="s">
        <v>1332</v>
      </c>
      <c r="D630" t="s">
        <v>1939</v>
      </c>
      <c r="E630" t="s">
        <v>4216</v>
      </c>
      <c r="F630" t="s">
        <v>3985</v>
      </c>
      <c r="G630" t="s">
        <v>3986</v>
      </c>
      <c r="H630" t="s">
        <v>4284</v>
      </c>
    </row>
    <row r="631" spans="1:8">
      <c r="A631">
        <v>11126283</v>
      </c>
      <c r="B631" t="s">
        <v>725</v>
      </c>
      <c r="C631" t="s">
        <v>1333</v>
      </c>
      <c r="D631" t="s">
        <v>1939</v>
      </c>
      <c r="E631" t="s">
        <v>4216</v>
      </c>
      <c r="F631" t="s">
        <v>3983</v>
      </c>
      <c r="G631" t="s">
        <v>3984</v>
      </c>
      <c r="H631" t="s">
        <v>4284</v>
      </c>
    </row>
    <row r="632" spans="1:8">
      <c r="A632">
        <v>11124643</v>
      </c>
      <c r="B632" t="s">
        <v>726</v>
      </c>
      <c r="C632" t="s">
        <v>1334</v>
      </c>
      <c r="D632" t="s">
        <v>1820</v>
      </c>
      <c r="E632" t="s">
        <v>4153</v>
      </c>
      <c r="F632" t="s">
        <v>4110</v>
      </c>
      <c r="G632" t="s">
        <v>4111</v>
      </c>
      <c r="H632" t="s">
        <v>4284</v>
      </c>
    </row>
    <row r="633" spans="1:8">
      <c r="A633">
        <v>11127181</v>
      </c>
      <c r="B633" t="s">
        <v>727</v>
      </c>
      <c r="C633" t="s">
        <v>1335</v>
      </c>
      <c r="D633" t="s">
        <v>1941</v>
      </c>
      <c r="E633" t="s">
        <v>4217</v>
      </c>
      <c r="F633" t="s">
        <v>4194</v>
      </c>
      <c r="G633" t="s">
        <v>4195</v>
      </c>
      <c r="H633" t="s">
        <v>4284</v>
      </c>
    </row>
    <row r="634" spans="1:8">
      <c r="A634">
        <v>11127182</v>
      </c>
      <c r="B634" t="s">
        <v>728</v>
      </c>
      <c r="C634" t="s">
        <v>1336</v>
      </c>
      <c r="D634" t="s">
        <v>1941</v>
      </c>
      <c r="E634" t="s">
        <v>4217</v>
      </c>
      <c r="F634" t="s">
        <v>4194</v>
      </c>
      <c r="G634" t="s">
        <v>4195</v>
      </c>
      <c r="H634" t="s">
        <v>4284</v>
      </c>
    </row>
    <row r="635" spans="1:8">
      <c r="A635">
        <v>11127185</v>
      </c>
      <c r="B635" t="s">
        <v>729</v>
      </c>
      <c r="C635" t="s">
        <v>1337</v>
      </c>
      <c r="D635" t="s">
        <v>1941</v>
      </c>
      <c r="E635" t="s">
        <v>4217</v>
      </c>
      <c r="F635" t="s">
        <v>4094</v>
      </c>
      <c r="G635" t="s">
        <v>4095</v>
      </c>
      <c r="H635" t="s">
        <v>4284</v>
      </c>
    </row>
    <row r="636" spans="1:8">
      <c r="A636">
        <v>11127186</v>
      </c>
      <c r="B636" t="s">
        <v>730</v>
      </c>
      <c r="C636" t="s">
        <v>1338</v>
      </c>
      <c r="D636" t="s">
        <v>1941</v>
      </c>
      <c r="E636" t="s">
        <v>4217</v>
      </c>
      <c r="F636" t="s">
        <v>4094</v>
      </c>
      <c r="G636" t="s">
        <v>4095</v>
      </c>
      <c r="H636" t="s">
        <v>4284</v>
      </c>
    </row>
    <row r="637" spans="1:8">
      <c r="A637">
        <v>11127183</v>
      </c>
      <c r="B637" t="s">
        <v>731</v>
      </c>
      <c r="C637" t="s">
        <v>1339</v>
      </c>
      <c r="D637" t="s">
        <v>1941</v>
      </c>
      <c r="E637" t="s">
        <v>4217</v>
      </c>
      <c r="F637" t="s">
        <v>4194</v>
      </c>
      <c r="G637" t="s">
        <v>4195</v>
      </c>
      <c r="H637" t="s">
        <v>4284</v>
      </c>
    </row>
    <row r="638" spans="1:8">
      <c r="A638">
        <v>11127184</v>
      </c>
      <c r="B638" t="s">
        <v>732</v>
      </c>
      <c r="C638" t="s">
        <v>1340</v>
      </c>
      <c r="D638" t="s">
        <v>1941</v>
      </c>
      <c r="E638" t="s">
        <v>4217</v>
      </c>
      <c r="F638" t="s">
        <v>4194</v>
      </c>
      <c r="G638" t="s">
        <v>4195</v>
      </c>
      <c r="H638" t="s">
        <v>4284</v>
      </c>
    </row>
    <row r="639" spans="1:8">
      <c r="A639">
        <v>11127187</v>
      </c>
      <c r="B639" t="s">
        <v>733</v>
      </c>
      <c r="C639" t="s">
        <v>1341</v>
      </c>
      <c r="D639" t="s">
        <v>1941</v>
      </c>
      <c r="E639" t="s">
        <v>4217</v>
      </c>
      <c r="F639" t="s">
        <v>4094</v>
      </c>
      <c r="G639" t="s">
        <v>4095</v>
      </c>
      <c r="H639" t="s">
        <v>4284</v>
      </c>
    </row>
    <row r="640" spans="1:8">
      <c r="A640">
        <v>11127188</v>
      </c>
      <c r="B640" t="s">
        <v>734</v>
      </c>
      <c r="C640" t="s">
        <v>1342</v>
      </c>
      <c r="D640" t="s">
        <v>1941</v>
      </c>
      <c r="E640" t="s">
        <v>4217</v>
      </c>
      <c r="F640" t="s">
        <v>4094</v>
      </c>
      <c r="G640" t="s">
        <v>4095</v>
      </c>
      <c r="H640" t="s">
        <v>4284</v>
      </c>
    </row>
    <row r="641" spans="1:8">
      <c r="A641">
        <v>11127191</v>
      </c>
      <c r="B641" t="s">
        <v>735</v>
      </c>
      <c r="C641" t="s">
        <v>1343</v>
      </c>
      <c r="D641" t="s">
        <v>1941</v>
      </c>
      <c r="E641" t="s">
        <v>4217</v>
      </c>
      <c r="F641" t="s">
        <v>4094</v>
      </c>
      <c r="G641" t="s">
        <v>4095</v>
      </c>
      <c r="H641" t="s">
        <v>4284</v>
      </c>
    </row>
    <row r="642" spans="1:8">
      <c r="A642">
        <v>11127127</v>
      </c>
      <c r="B642" t="s">
        <v>736</v>
      </c>
      <c r="C642" t="s">
        <v>1135</v>
      </c>
      <c r="D642" t="s">
        <v>1698</v>
      </c>
      <c r="E642" t="s">
        <v>3972</v>
      </c>
      <c r="F642" t="s">
        <v>4077</v>
      </c>
      <c r="G642" t="s">
        <v>4078</v>
      </c>
      <c r="H642" t="s">
        <v>4284</v>
      </c>
    </row>
    <row r="643" spans="1:8">
      <c r="A643">
        <v>11127128</v>
      </c>
      <c r="B643" t="s">
        <v>737</v>
      </c>
      <c r="C643" t="s">
        <v>1136</v>
      </c>
      <c r="D643" t="s">
        <v>1698</v>
      </c>
      <c r="E643" t="s">
        <v>3972</v>
      </c>
      <c r="F643" t="s">
        <v>4077</v>
      </c>
      <c r="G643" t="s">
        <v>4078</v>
      </c>
      <c r="H643" t="s">
        <v>4284</v>
      </c>
    </row>
    <row r="644" spans="1:8">
      <c r="A644">
        <v>11127137</v>
      </c>
      <c r="B644" t="s">
        <v>738</v>
      </c>
      <c r="C644" t="s">
        <v>1010</v>
      </c>
      <c r="D644" t="s">
        <v>1930</v>
      </c>
      <c r="E644" t="s">
        <v>3973</v>
      </c>
      <c r="F644" t="s">
        <v>4011</v>
      </c>
      <c r="G644" t="s">
        <v>4012</v>
      </c>
      <c r="H644" t="s">
        <v>4284</v>
      </c>
    </row>
    <row r="645" spans="1:8">
      <c r="A645">
        <v>11127139</v>
      </c>
      <c r="B645" t="s">
        <v>739</v>
      </c>
      <c r="C645" t="s">
        <v>1225</v>
      </c>
      <c r="D645" t="s">
        <v>1935</v>
      </c>
      <c r="E645" t="s">
        <v>4214</v>
      </c>
      <c r="F645" t="s">
        <v>4145</v>
      </c>
      <c r="G645" t="s">
        <v>4146</v>
      </c>
      <c r="H645" t="s">
        <v>4284</v>
      </c>
    </row>
    <row r="646" spans="1:8">
      <c r="A646">
        <v>11127032</v>
      </c>
      <c r="B646" t="s">
        <v>740</v>
      </c>
      <c r="C646" t="s">
        <v>1195</v>
      </c>
      <c r="D646" t="s">
        <v>1943</v>
      </c>
      <c r="E646" t="s">
        <v>4218</v>
      </c>
      <c r="F646" t="s">
        <v>4219</v>
      </c>
      <c r="G646" t="s">
        <v>4220</v>
      </c>
      <c r="H646" t="s">
        <v>4284</v>
      </c>
    </row>
    <row r="647" spans="1:8">
      <c r="A647">
        <v>11127033</v>
      </c>
      <c r="B647" t="s">
        <v>741</v>
      </c>
      <c r="C647" t="s">
        <v>1196</v>
      </c>
      <c r="D647" t="s">
        <v>1943</v>
      </c>
      <c r="E647" t="s">
        <v>4218</v>
      </c>
      <c r="F647" t="s">
        <v>4219</v>
      </c>
      <c r="G647" t="s">
        <v>4220</v>
      </c>
      <c r="H647" t="s">
        <v>4284</v>
      </c>
    </row>
    <row r="648" spans="1:8">
      <c r="A648">
        <v>11127034</v>
      </c>
      <c r="B648" t="s">
        <v>742</v>
      </c>
      <c r="C648" t="s">
        <v>1177</v>
      </c>
      <c r="D648" t="s">
        <v>1947</v>
      </c>
      <c r="E648" t="s">
        <v>4221</v>
      </c>
      <c r="F648" t="s">
        <v>4151</v>
      </c>
      <c r="G648" t="s">
        <v>4152</v>
      </c>
      <c r="H648" t="s">
        <v>4284</v>
      </c>
    </row>
    <row r="649" spans="1:8">
      <c r="A649">
        <v>11127035</v>
      </c>
      <c r="B649" t="s">
        <v>743</v>
      </c>
      <c r="C649" t="s">
        <v>1081</v>
      </c>
      <c r="D649" t="s">
        <v>1947</v>
      </c>
      <c r="E649" t="s">
        <v>4221</v>
      </c>
      <c r="F649" t="s">
        <v>4151</v>
      </c>
      <c r="G649" t="s">
        <v>4152</v>
      </c>
      <c r="H649" t="s">
        <v>4284</v>
      </c>
    </row>
    <row r="650" spans="1:8">
      <c r="A650">
        <v>11127036</v>
      </c>
      <c r="B650" t="s">
        <v>744</v>
      </c>
      <c r="C650" t="s">
        <v>1197</v>
      </c>
      <c r="D650" t="s">
        <v>1949</v>
      </c>
      <c r="E650" t="s">
        <v>4222</v>
      </c>
      <c r="F650" t="s">
        <v>4223</v>
      </c>
      <c r="G650" t="s">
        <v>4224</v>
      </c>
      <c r="H650" t="s">
        <v>4284</v>
      </c>
    </row>
    <row r="651" spans="1:8">
      <c r="A651">
        <v>11127037</v>
      </c>
      <c r="B651" t="s">
        <v>745</v>
      </c>
      <c r="C651" t="s">
        <v>1006</v>
      </c>
      <c r="D651" t="s">
        <v>1949</v>
      </c>
      <c r="E651" t="s">
        <v>4222</v>
      </c>
      <c r="F651" t="s">
        <v>4223</v>
      </c>
      <c r="G651" t="s">
        <v>4224</v>
      </c>
      <c r="H651" t="s">
        <v>4284</v>
      </c>
    </row>
    <row r="652" spans="1:8">
      <c r="A652">
        <v>11127038</v>
      </c>
      <c r="B652" t="s">
        <v>746</v>
      </c>
      <c r="C652" t="s">
        <v>1088</v>
      </c>
      <c r="D652" t="s">
        <v>1953</v>
      </c>
      <c r="E652" t="s">
        <v>4225</v>
      </c>
      <c r="F652" t="s">
        <v>4226</v>
      </c>
      <c r="G652" t="s">
        <v>4227</v>
      </c>
      <c r="H652" t="s">
        <v>4284</v>
      </c>
    </row>
    <row r="653" spans="1:8">
      <c r="A653">
        <v>11127043</v>
      </c>
      <c r="B653" t="s">
        <v>747</v>
      </c>
      <c r="C653" t="s">
        <v>996</v>
      </c>
      <c r="D653" t="s">
        <v>1957</v>
      </c>
      <c r="E653" t="s">
        <v>3994</v>
      </c>
      <c r="F653" t="s">
        <v>4228</v>
      </c>
      <c r="G653" t="s">
        <v>4229</v>
      </c>
      <c r="H653" t="s">
        <v>4284</v>
      </c>
    </row>
    <row r="654" spans="1:8">
      <c r="A654">
        <v>11127054</v>
      </c>
      <c r="B654" t="s">
        <v>748</v>
      </c>
      <c r="C654" t="s">
        <v>1285</v>
      </c>
      <c r="D654" t="s">
        <v>1960</v>
      </c>
      <c r="E654" t="s">
        <v>4230</v>
      </c>
      <c r="F654" t="s">
        <v>4231</v>
      </c>
      <c r="G654" t="s">
        <v>4232</v>
      </c>
      <c r="H654" t="s">
        <v>4284</v>
      </c>
    </row>
    <row r="655" spans="1:8">
      <c r="A655">
        <v>11127066</v>
      </c>
      <c r="B655" t="s">
        <v>749</v>
      </c>
      <c r="C655" t="s">
        <v>1280</v>
      </c>
      <c r="D655" t="s">
        <v>1964</v>
      </c>
      <c r="E655" t="s">
        <v>3957</v>
      </c>
      <c r="F655" t="s">
        <v>4127</v>
      </c>
      <c r="G655" t="s">
        <v>4128</v>
      </c>
      <c r="H655" t="s">
        <v>4284</v>
      </c>
    </row>
    <row r="656" spans="1:8">
      <c r="A656">
        <v>11127067</v>
      </c>
      <c r="B656" t="s">
        <v>750</v>
      </c>
      <c r="C656" t="s">
        <v>1281</v>
      </c>
      <c r="D656" t="s">
        <v>1964</v>
      </c>
      <c r="E656" t="s">
        <v>3957</v>
      </c>
      <c r="F656" t="s">
        <v>4127</v>
      </c>
      <c r="G656" t="s">
        <v>4128</v>
      </c>
      <c r="H656" t="s">
        <v>4284</v>
      </c>
    </row>
    <row r="657" spans="1:8">
      <c r="A657">
        <v>11127073</v>
      </c>
      <c r="B657" t="s">
        <v>751</v>
      </c>
      <c r="C657" t="s">
        <v>1274</v>
      </c>
      <c r="D657" t="s">
        <v>1965</v>
      </c>
      <c r="E657" t="s">
        <v>3956</v>
      </c>
      <c r="F657" t="s">
        <v>4099</v>
      </c>
      <c r="G657" t="s">
        <v>4100</v>
      </c>
      <c r="H657" t="s">
        <v>4284</v>
      </c>
    </row>
    <row r="658" spans="1:8">
      <c r="A658">
        <v>11126299</v>
      </c>
      <c r="B658" t="s">
        <v>752</v>
      </c>
      <c r="C658" t="s">
        <v>1344</v>
      </c>
      <c r="D658" t="s">
        <v>1966</v>
      </c>
      <c r="E658" t="s">
        <v>4233</v>
      </c>
      <c r="F658" t="s">
        <v>4234</v>
      </c>
      <c r="G658" t="s">
        <v>4235</v>
      </c>
      <c r="H658" t="s">
        <v>4284</v>
      </c>
    </row>
    <row r="659" spans="1:8">
      <c r="A659">
        <v>11126300</v>
      </c>
      <c r="B659" t="s">
        <v>753</v>
      </c>
      <c r="C659" t="s">
        <v>1345</v>
      </c>
      <c r="D659" t="s">
        <v>1966</v>
      </c>
      <c r="E659" t="s">
        <v>4233</v>
      </c>
      <c r="F659" t="s">
        <v>4234</v>
      </c>
      <c r="G659" t="s">
        <v>4235</v>
      </c>
      <c r="H659" t="s">
        <v>4284</v>
      </c>
    </row>
    <row r="660" spans="1:8">
      <c r="A660">
        <v>11126297</v>
      </c>
      <c r="B660" t="s">
        <v>754</v>
      </c>
      <c r="C660" t="s">
        <v>1346</v>
      </c>
      <c r="D660" t="s">
        <v>1966</v>
      </c>
      <c r="E660" t="s">
        <v>4233</v>
      </c>
      <c r="F660" t="s">
        <v>4234</v>
      </c>
      <c r="G660" t="s">
        <v>4235</v>
      </c>
      <c r="H660" t="s">
        <v>4284</v>
      </c>
    </row>
    <row r="661" spans="1:8">
      <c r="A661">
        <v>11126307</v>
      </c>
      <c r="B661" t="s">
        <v>755</v>
      </c>
      <c r="C661" t="s">
        <v>1347</v>
      </c>
      <c r="D661" t="s">
        <v>1970</v>
      </c>
      <c r="E661" t="s">
        <v>4236</v>
      </c>
      <c r="F661" t="s">
        <v>4237</v>
      </c>
      <c r="G661" t="s">
        <v>4238</v>
      </c>
      <c r="H661" t="s">
        <v>4284</v>
      </c>
    </row>
    <row r="662" spans="1:8">
      <c r="A662">
        <v>11126295</v>
      </c>
      <c r="B662" t="s">
        <v>756</v>
      </c>
      <c r="C662" t="s">
        <v>1348</v>
      </c>
      <c r="D662" t="s">
        <v>1966</v>
      </c>
      <c r="E662" t="s">
        <v>4233</v>
      </c>
      <c r="F662" t="s">
        <v>4234</v>
      </c>
      <c r="G662" t="s">
        <v>4235</v>
      </c>
      <c r="H662" t="s">
        <v>4284</v>
      </c>
    </row>
    <row r="663" spans="1:8">
      <c r="A663">
        <v>11125777</v>
      </c>
      <c r="B663" t="s">
        <v>757</v>
      </c>
      <c r="C663" t="s">
        <v>1207</v>
      </c>
      <c r="D663" t="s">
        <v>1815</v>
      </c>
      <c r="E663" t="s">
        <v>4149</v>
      </c>
      <c r="F663" t="s">
        <v>4003</v>
      </c>
      <c r="G663" t="s">
        <v>4004</v>
      </c>
      <c r="H663" t="s">
        <v>4284</v>
      </c>
    </row>
    <row r="664" spans="1:8">
      <c r="A664">
        <v>11127803</v>
      </c>
      <c r="B664" t="s">
        <v>758</v>
      </c>
      <c r="C664" t="s">
        <v>1244</v>
      </c>
      <c r="D664" t="s">
        <v>1974</v>
      </c>
      <c r="E664" t="s">
        <v>4239</v>
      </c>
      <c r="F664" t="s">
        <v>4088</v>
      </c>
      <c r="G664" t="s">
        <v>4089</v>
      </c>
      <c r="H664" t="s">
        <v>4284</v>
      </c>
    </row>
    <row r="665" spans="1:8">
      <c r="A665">
        <v>11127804</v>
      </c>
      <c r="B665" t="s">
        <v>759</v>
      </c>
      <c r="C665" t="s">
        <v>1349</v>
      </c>
      <c r="D665" t="s">
        <v>1974</v>
      </c>
      <c r="E665" t="s">
        <v>4239</v>
      </c>
      <c r="F665" t="s">
        <v>4088</v>
      </c>
      <c r="G665" t="s">
        <v>4089</v>
      </c>
      <c r="H665" t="s">
        <v>4284</v>
      </c>
    </row>
    <row r="666" spans="1:8">
      <c r="A666">
        <v>11127809</v>
      </c>
      <c r="B666" t="s">
        <v>760</v>
      </c>
      <c r="C666" t="s">
        <v>1244</v>
      </c>
      <c r="D666" t="s">
        <v>1976</v>
      </c>
      <c r="E666" t="s">
        <v>4240</v>
      </c>
      <c r="F666" t="s">
        <v>4091</v>
      </c>
      <c r="G666" t="s">
        <v>4092</v>
      </c>
      <c r="H666" t="s">
        <v>4284</v>
      </c>
    </row>
    <row r="667" spans="1:8">
      <c r="A667">
        <v>11127810</v>
      </c>
      <c r="B667" t="s">
        <v>761</v>
      </c>
      <c r="C667" t="s">
        <v>1349</v>
      </c>
      <c r="D667" t="s">
        <v>1976</v>
      </c>
      <c r="E667" t="s">
        <v>4240</v>
      </c>
      <c r="F667" t="s">
        <v>4091</v>
      </c>
      <c r="G667" t="s">
        <v>4092</v>
      </c>
      <c r="H667" t="s">
        <v>4284</v>
      </c>
    </row>
    <row r="668" spans="1:8">
      <c r="A668">
        <v>11127811</v>
      </c>
      <c r="B668" t="s">
        <v>762</v>
      </c>
      <c r="C668" t="s">
        <v>1246</v>
      </c>
      <c r="D668" t="s">
        <v>1976</v>
      </c>
      <c r="E668" t="s">
        <v>4240</v>
      </c>
      <c r="F668" t="s">
        <v>4091</v>
      </c>
      <c r="G668" t="s">
        <v>4092</v>
      </c>
      <c r="H668" t="s">
        <v>4284</v>
      </c>
    </row>
    <row r="669" spans="1:8">
      <c r="A669">
        <v>11127816</v>
      </c>
      <c r="B669" t="s">
        <v>763</v>
      </c>
      <c r="C669" t="s">
        <v>1346</v>
      </c>
      <c r="D669" t="s">
        <v>1978</v>
      </c>
      <c r="E669" t="s">
        <v>4241</v>
      </c>
      <c r="F669" t="s">
        <v>4234</v>
      </c>
      <c r="G669" t="s">
        <v>4235</v>
      </c>
      <c r="H669" t="s">
        <v>4284</v>
      </c>
    </row>
    <row r="670" spans="1:8">
      <c r="A670">
        <v>11127817</v>
      </c>
      <c r="B670" t="s">
        <v>764</v>
      </c>
      <c r="C670" t="s">
        <v>1350</v>
      </c>
      <c r="D670" t="s">
        <v>1978</v>
      </c>
      <c r="E670" t="s">
        <v>4241</v>
      </c>
      <c r="F670" t="s">
        <v>4234</v>
      </c>
      <c r="G670" t="s">
        <v>4235</v>
      </c>
      <c r="H670" t="s">
        <v>4284</v>
      </c>
    </row>
    <row r="671" spans="1:8">
      <c r="A671">
        <v>11127818</v>
      </c>
      <c r="B671" t="s">
        <v>765</v>
      </c>
      <c r="C671" t="s">
        <v>1344</v>
      </c>
      <c r="D671" t="s">
        <v>1978</v>
      </c>
      <c r="E671" t="s">
        <v>4241</v>
      </c>
      <c r="F671" t="s">
        <v>4234</v>
      </c>
      <c r="G671" t="s">
        <v>4235</v>
      </c>
      <c r="H671" t="s">
        <v>4284</v>
      </c>
    </row>
    <row r="672" spans="1:8">
      <c r="A672">
        <v>11127819</v>
      </c>
      <c r="B672" t="s">
        <v>766</v>
      </c>
      <c r="C672" t="s">
        <v>1351</v>
      </c>
      <c r="D672" t="s">
        <v>1978</v>
      </c>
      <c r="E672" t="s">
        <v>4241</v>
      </c>
      <c r="F672" t="s">
        <v>4234</v>
      </c>
      <c r="G672" t="s">
        <v>4235</v>
      </c>
      <c r="H672" t="s">
        <v>4284</v>
      </c>
    </row>
    <row r="673" spans="1:8">
      <c r="A673">
        <v>11127834</v>
      </c>
      <c r="B673" t="s">
        <v>767</v>
      </c>
      <c r="C673" t="s">
        <v>1195</v>
      </c>
      <c r="D673" t="s">
        <v>1980</v>
      </c>
      <c r="E673" t="s">
        <v>4218</v>
      </c>
      <c r="F673" t="s">
        <v>4219</v>
      </c>
      <c r="G673" t="s">
        <v>4220</v>
      </c>
      <c r="H673" t="s">
        <v>4284</v>
      </c>
    </row>
    <row r="674" spans="1:8">
      <c r="A674">
        <v>11127833</v>
      </c>
      <c r="B674" t="s">
        <v>768</v>
      </c>
      <c r="C674" t="s">
        <v>1196</v>
      </c>
      <c r="D674" t="s">
        <v>1980</v>
      </c>
      <c r="E674" t="s">
        <v>4218</v>
      </c>
      <c r="F674" t="s">
        <v>4219</v>
      </c>
      <c r="G674" t="s">
        <v>4220</v>
      </c>
      <c r="H674" t="s">
        <v>4284</v>
      </c>
    </row>
    <row r="675" spans="1:8">
      <c r="A675">
        <v>11127829</v>
      </c>
      <c r="B675" t="s">
        <v>769</v>
      </c>
      <c r="C675" t="s">
        <v>1177</v>
      </c>
      <c r="D675" t="s">
        <v>1981</v>
      </c>
      <c r="E675" t="s">
        <v>4221</v>
      </c>
      <c r="F675" t="s">
        <v>4151</v>
      </c>
      <c r="G675" t="s">
        <v>4152</v>
      </c>
      <c r="H675" t="s">
        <v>4284</v>
      </c>
    </row>
    <row r="676" spans="1:8">
      <c r="A676">
        <v>11127830</v>
      </c>
      <c r="B676" t="s">
        <v>770</v>
      </c>
      <c r="C676" t="s">
        <v>1081</v>
      </c>
      <c r="D676" t="s">
        <v>1981</v>
      </c>
      <c r="E676" t="s">
        <v>4221</v>
      </c>
      <c r="F676" t="s">
        <v>4151</v>
      </c>
      <c r="G676" t="s">
        <v>4152</v>
      </c>
      <c r="H676" t="s">
        <v>4284</v>
      </c>
    </row>
    <row r="677" spans="1:8">
      <c r="A677">
        <v>11127831</v>
      </c>
      <c r="B677" t="s">
        <v>771</v>
      </c>
      <c r="C677" t="s">
        <v>1197</v>
      </c>
      <c r="D677" t="s">
        <v>1982</v>
      </c>
      <c r="E677" t="s">
        <v>4222</v>
      </c>
      <c r="F677" t="s">
        <v>4223</v>
      </c>
      <c r="G677" t="s">
        <v>4224</v>
      </c>
      <c r="H677" t="s">
        <v>4284</v>
      </c>
    </row>
    <row r="678" spans="1:8">
      <c r="A678">
        <v>11127832</v>
      </c>
      <c r="B678" t="s">
        <v>772</v>
      </c>
      <c r="C678" t="s">
        <v>1006</v>
      </c>
      <c r="D678" t="s">
        <v>1982</v>
      </c>
      <c r="E678" t="s">
        <v>4222</v>
      </c>
      <c r="F678" t="s">
        <v>4223</v>
      </c>
      <c r="G678" t="s">
        <v>4224</v>
      </c>
      <c r="H678" t="s">
        <v>4284</v>
      </c>
    </row>
    <row r="679" spans="1:8">
      <c r="A679">
        <v>11126296</v>
      </c>
      <c r="B679" t="s">
        <v>773</v>
      </c>
      <c r="C679" t="s">
        <v>1352</v>
      </c>
      <c r="D679" t="s">
        <v>1966</v>
      </c>
      <c r="E679" t="s">
        <v>4233</v>
      </c>
      <c r="F679" t="s">
        <v>4234</v>
      </c>
      <c r="G679" t="s">
        <v>4235</v>
      </c>
      <c r="H679" t="s">
        <v>4284</v>
      </c>
    </row>
    <row r="680" spans="1:8">
      <c r="A680">
        <v>11126303</v>
      </c>
      <c r="B680" t="s">
        <v>774</v>
      </c>
      <c r="C680" t="s">
        <v>1133</v>
      </c>
      <c r="D680" t="s">
        <v>1983</v>
      </c>
      <c r="E680" t="s">
        <v>3965</v>
      </c>
      <c r="F680" t="s">
        <v>3963</v>
      </c>
      <c r="G680" t="s">
        <v>3964</v>
      </c>
      <c r="H680" t="s">
        <v>4284</v>
      </c>
    </row>
    <row r="681" spans="1:8">
      <c r="A681">
        <v>11126302</v>
      </c>
      <c r="B681" t="s">
        <v>775</v>
      </c>
      <c r="C681" t="s">
        <v>1132</v>
      </c>
      <c r="D681" t="s">
        <v>1983</v>
      </c>
      <c r="E681" t="s">
        <v>3965</v>
      </c>
      <c r="F681" t="s">
        <v>3963</v>
      </c>
      <c r="G681" t="s">
        <v>3964</v>
      </c>
      <c r="H681" t="s">
        <v>4284</v>
      </c>
    </row>
    <row r="682" spans="1:8">
      <c r="A682">
        <v>11131232</v>
      </c>
      <c r="B682" t="s">
        <v>776</v>
      </c>
      <c r="C682" t="s">
        <v>1353</v>
      </c>
      <c r="D682" t="s">
        <v>1984</v>
      </c>
      <c r="E682" t="s">
        <v>4242</v>
      </c>
      <c r="F682" t="s">
        <v>4097</v>
      </c>
      <c r="G682" t="s">
        <v>4098</v>
      </c>
      <c r="H682" t="s">
        <v>4284</v>
      </c>
    </row>
    <row r="683" spans="1:8">
      <c r="A683">
        <v>11131233</v>
      </c>
      <c r="B683" t="s">
        <v>777</v>
      </c>
      <c r="C683" t="s">
        <v>1354</v>
      </c>
      <c r="D683" t="s">
        <v>1984</v>
      </c>
      <c r="E683" t="s">
        <v>4242</v>
      </c>
      <c r="F683" t="s">
        <v>4097</v>
      </c>
      <c r="G683" t="s">
        <v>4098</v>
      </c>
      <c r="H683" t="s">
        <v>4284</v>
      </c>
    </row>
    <row r="684" spans="1:8">
      <c r="A684">
        <v>11131234</v>
      </c>
      <c r="B684" t="s">
        <v>778</v>
      </c>
      <c r="C684" t="s">
        <v>1355</v>
      </c>
      <c r="D684" t="s">
        <v>1987</v>
      </c>
      <c r="E684" t="s">
        <v>4243</v>
      </c>
      <c r="F684" t="s">
        <v>4097</v>
      </c>
      <c r="G684" t="s">
        <v>4098</v>
      </c>
      <c r="H684" t="s">
        <v>4284</v>
      </c>
    </row>
    <row r="685" spans="1:8">
      <c r="A685">
        <v>11131235</v>
      </c>
      <c r="B685" t="s">
        <v>779</v>
      </c>
      <c r="C685" t="s">
        <v>1356</v>
      </c>
      <c r="D685" t="s">
        <v>1987</v>
      </c>
      <c r="E685" t="s">
        <v>4243</v>
      </c>
      <c r="F685" t="s">
        <v>4097</v>
      </c>
      <c r="G685" t="s">
        <v>4098</v>
      </c>
      <c r="H685" t="s">
        <v>4284</v>
      </c>
    </row>
    <row r="686" spans="1:8">
      <c r="A686">
        <v>11131236</v>
      </c>
      <c r="B686" t="s">
        <v>780</v>
      </c>
      <c r="C686" t="s">
        <v>1250</v>
      </c>
      <c r="D686" t="s">
        <v>1987</v>
      </c>
      <c r="E686" t="s">
        <v>4243</v>
      </c>
      <c r="F686" t="s">
        <v>4097</v>
      </c>
      <c r="G686" t="s">
        <v>4098</v>
      </c>
      <c r="H686" t="s">
        <v>4284</v>
      </c>
    </row>
    <row r="687" spans="1:8">
      <c r="A687">
        <v>11131237</v>
      </c>
      <c r="B687" t="s">
        <v>781</v>
      </c>
      <c r="C687" t="s">
        <v>1297</v>
      </c>
      <c r="D687" t="s">
        <v>1987</v>
      </c>
      <c r="E687" t="s">
        <v>4243</v>
      </c>
      <c r="F687" t="s">
        <v>4097</v>
      </c>
      <c r="G687" t="s">
        <v>4098</v>
      </c>
      <c r="H687" t="s">
        <v>4284</v>
      </c>
    </row>
    <row r="688" spans="1:8">
      <c r="A688">
        <v>11131238</v>
      </c>
      <c r="B688" t="s">
        <v>782</v>
      </c>
      <c r="C688" t="s">
        <v>1251</v>
      </c>
      <c r="D688" t="s">
        <v>1987</v>
      </c>
      <c r="E688" t="s">
        <v>4243</v>
      </c>
      <c r="F688" t="s">
        <v>4097</v>
      </c>
      <c r="G688" t="s">
        <v>4098</v>
      </c>
      <c r="H688" t="s">
        <v>4284</v>
      </c>
    </row>
    <row r="689" spans="1:8">
      <c r="A689">
        <v>11131239</v>
      </c>
      <c r="B689" t="s">
        <v>783</v>
      </c>
      <c r="C689" t="s">
        <v>1298</v>
      </c>
      <c r="D689" t="s">
        <v>1987</v>
      </c>
      <c r="E689" t="s">
        <v>4243</v>
      </c>
      <c r="F689" t="s">
        <v>4097</v>
      </c>
      <c r="G689" t="s">
        <v>4098</v>
      </c>
      <c r="H689" t="s">
        <v>4284</v>
      </c>
    </row>
    <row r="690" spans="1:8">
      <c r="A690">
        <v>11127805</v>
      </c>
      <c r="B690" t="s">
        <v>784</v>
      </c>
      <c r="C690" t="s">
        <v>1246</v>
      </c>
      <c r="D690" t="s">
        <v>1974</v>
      </c>
      <c r="E690" t="s">
        <v>4239</v>
      </c>
      <c r="F690" t="s">
        <v>4088</v>
      </c>
      <c r="G690" t="s">
        <v>4089</v>
      </c>
      <c r="H690" t="s">
        <v>4284</v>
      </c>
    </row>
    <row r="691" spans="1:8">
      <c r="A691">
        <v>11125044</v>
      </c>
      <c r="B691" t="s">
        <v>785</v>
      </c>
      <c r="C691" t="s">
        <v>1007</v>
      </c>
      <c r="D691" t="s">
        <v>1754</v>
      </c>
      <c r="E691" t="s">
        <v>4112</v>
      </c>
      <c r="F691" t="s">
        <v>4142</v>
      </c>
      <c r="G691" t="s">
        <v>4143</v>
      </c>
      <c r="H691" t="s">
        <v>4284</v>
      </c>
    </row>
    <row r="692" spans="1:8">
      <c r="A692">
        <v>11131158</v>
      </c>
      <c r="B692" t="s">
        <v>786</v>
      </c>
      <c r="C692" t="s">
        <v>1001</v>
      </c>
      <c r="D692" t="s">
        <v>1989</v>
      </c>
      <c r="E692" t="s">
        <v>4244</v>
      </c>
      <c r="F692" t="s">
        <v>3970</v>
      </c>
      <c r="G692" t="s">
        <v>3971</v>
      </c>
      <c r="H692" t="s">
        <v>4284</v>
      </c>
    </row>
    <row r="693" spans="1:8">
      <c r="A693">
        <v>11131159</v>
      </c>
      <c r="B693" t="s">
        <v>787</v>
      </c>
      <c r="C693" t="s">
        <v>1104</v>
      </c>
      <c r="D693" t="s">
        <v>1989</v>
      </c>
      <c r="E693" t="s">
        <v>4244</v>
      </c>
      <c r="F693" t="s">
        <v>3970</v>
      </c>
      <c r="G693" t="s">
        <v>3971</v>
      </c>
      <c r="H693" t="s">
        <v>4284</v>
      </c>
    </row>
    <row r="694" spans="1:8">
      <c r="A694">
        <v>11131161</v>
      </c>
      <c r="B694" t="s">
        <v>788</v>
      </c>
      <c r="C694" t="s">
        <v>1002</v>
      </c>
      <c r="D694" t="s">
        <v>1989</v>
      </c>
      <c r="E694" t="s">
        <v>4244</v>
      </c>
      <c r="F694" t="s">
        <v>3970</v>
      </c>
      <c r="G694" t="s">
        <v>3971</v>
      </c>
      <c r="H694" t="s">
        <v>4284</v>
      </c>
    </row>
    <row r="695" spans="1:8">
      <c r="A695">
        <v>11132412</v>
      </c>
      <c r="B695" t="s">
        <v>789</v>
      </c>
      <c r="C695" t="s">
        <v>1358</v>
      </c>
      <c r="D695" t="s">
        <v>1993</v>
      </c>
      <c r="E695" t="s">
        <v>4247</v>
      </c>
      <c r="F695" t="s">
        <v>4245</v>
      </c>
      <c r="G695" t="s">
        <v>4246</v>
      </c>
      <c r="H695" t="s">
        <v>4284</v>
      </c>
    </row>
    <row r="696" spans="1:8">
      <c r="A696">
        <v>11132413</v>
      </c>
      <c r="B696" t="s">
        <v>790</v>
      </c>
      <c r="C696" t="s">
        <v>1359</v>
      </c>
      <c r="D696" t="s">
        <v>1993</v>
      </c>
      <c r="E696" t="s">
        <v>4247</v>
      </c>
      <c r="F696" t="s">
        <v>4245</v>
      </c>
      <c r="G696" t="s">
        <v>4246</v>
      </c>
      <c r="H696" t="s">
        <v>4284</v>
      </c>
    </row>
    <row r="697" spans="1:8">
      <c r="A697">
        <v>11132416</v>
      </c>
      <c r="B697" t="s">
        <v>791</v>
      </c>
      <c r="C697" t="s">
        <v>1360</v>
      </c>
      <c r="D697" t="s">
        <v>1993</v>
      </c>
      <c r="E697" t="s">
        <v>4247</v>
      </c>
      <c r="F697" t="s">
        <v>4245</v>
      </c>
      <c r="G697" t="s">
        <v>4246</v>
      </c>
      <c r="H697" t="s">
        <v>4284</v>
      </c>
    </row>
    <row r="698" spans="1:8">
      <c r="A698">
        <v>11132417</v>
      </c>
      <c r="B698" t="s">
        <v>792</v>
      </c>
      <c r="C698" t="s">
        <v>1361</v>
      </c>
      <c r="D698" t="s">
        <v>1993</v>
      </c>
      <c r="E698" t="s">
        <v>4247</v>
      </c>
      <c r="F698" t="s">
        <v>4245</v>
      </c>
      <c r="G698" t="s">
        <v>4246</v>
      </c>
      <c r="H698" t="s">
        <v>4284</v>
      </c>
    </row>
    <row r="699" spans="1:8">
      <c r="A699">
        <v>11132354</v>
      </c>
      <c r="B699" t="s">
        <v>793</v>
      </c>
      <c r="C699" t="s">
        <v>1229</v>
      </c>
      <c r="D699" t="s">
        <v>1995</v>
      </c>
      <c r="E699" t="s">
        <v>4248</v>
      </c>
      <c r="F699" t="s">
        <v>4008</v>
      </c>
      <c r="G699" t="s">
        <v>4009</v>
      </c>
      <c r="H699" t="s">
        <v>4284</v>
      </c>
    </row>
    <row r="700" spans="1:8">
      <c r="A700">
        <v>11132355</v>
      </c>
      <c r="B700" t="s">
        <v>794</v>
      </c>
      <c r="C700" t="s">
        <v>1231</v>
      </c>
      <c r="D700" t="s">
        <v>1995</v>
      </c>
      <c r="E700" t="s">
        <v>4248</v>
      </c>
      <c r="F700" t="s">
        <v>4008</v>
      </c>
      <c r="G700" t="s">
        <v>4009</v>
      </c>
      <c r="H700" t="s">
        <v>4284</v>
      </c>
    </row>
    <row r="701" spans="1:8">
      <c r="A701">
        <v>11132356</v>
      </c>
      <c r="B701" t="s">
        <v>795</v>
      </c>
      <c r="C701" t="s">
        <v>1232</v>
      </c>
      <c r="D701" t="s">
        <v>1995</v>
      </c>
      <c r="E701" t="s">
        <v>4248</v>
      </c>
      <c r="F701" t="s">
        <v>4008</v>
      </c>
      <c r="G701" t="s">
        <v>4009</v>
      </c>
      <c r="H701" t="s">
        <v>4284</v>
      </c>
    </row>
    <row r="702" spans="1:8">
      <c r="A702">
        <v>11132404</v>
      </c>
      <c r="B702" t="s">
        <v>796</v>
      </c>
      <c r="C702" t="s">
        <v>1358</v>
      </c>
      <c r="D702" t="s">
        <v>1997</v>
      </c>
      <c r="E702" t="s">
        <v>4249</v>
      </c>
      <c r="F702" t="s">
        <v>4245</v>
      </c>
      <c r="G702" t="s">
        <v>4246</v>
      </c>
      <c r="H702" t="s">
        <v>4284</v>
      </c>
    </row>
    <row r="703" spans="1:8">
      <c r="A703">
        <v>11132405</v>
      </c>
      <c r="B703" t="s">
        <v>797</v>
      </c>
      <c r="C703" t="s">
        <v>1359</v>
      </c>
      <c r="D703" t="s">
        <v>1997</v>
      </c>
      <c r="E703" t="s">
        <v>4249</v>
      </c>
      <c r="F703" t="s">
        <v>4245</v>
      </c>
      <c r="G703" t="s">
        <v>4246</v>
      </c>
      <c r="H703" t="s">
        <v>4284</v>
      </c>
    </row>
    <row r="704" spans="1:8">
      <c r="A704">
        <v>11132406</v>
      </c>
      <c r="B704" t="s">
        <v>798</v>
      </c>
      <c r="C704" t="s">
        <v>1363</v>
      </c>
      <c r="D704" t="s">
        <v>1997</v>
      </c>
      <c r="E704" t="s">
        <v>4249</v>
      </c>
      <c r="F704" t="s">
        <v>4245</v>
      </c>
      <c r="G704" t="s">
        <v>4246</v>
      </c>
      <c r="H704" t="s">
        <v>4284</v>
      </c>
    </row>
    <row r="705" spans="1:8">
      <c r="A705">
        <v>11132407</v>
      </c>
      <c r="B705" t="s">
        <v>799</v>
      </c>
      <c r="C705" t="s">
        <v>1364</v>
      </c>
      <c r="D705" t="s">
        <v>1997</v>
      </c>
      <c r="E705" t="s">
        <v>4249</v>
      </c>
      <c r="F705" t="s">
        <v>4245</v>
      </c>
      <c r="G705" t="s">
        <v>4246</v>
      </c>
      <c r="H705" t="s">
        <v>4284</v>
      </c>
    </row>
    <row r="706" spans="1:8">
      <c r="A706">
        <v>11132408</v>
      </c>
      <c r="B706" t="s">
        <v>800</v>
      </c>
      <c r="C706" t="s">
        <v>1360</v>
      </c>
      <c r="D706" t="s">
        <v>1997</v>
      </c>
      <c r="E706" t="s">
        <v>4249</v>
      </c>
      <c r="F706" t="s">
        <v>4245</v>
      </c>
      <c r="G706" t="s">
        <v>4246</v>
      </c>
      <c r="H706" t="s">
        <v>4284</v>
      </c>
    </row>
    <row r="707" spans="1:8">
      <c r="A707">
        <v>11132409</v>
      </c>
      <c r="B707" t="s">
        <v>801</v>
      </c>
      <c r="C707" t="s">
        <v>1361</v>
      </c>
      <c r="D707" t="s">
        <v>1997</v>
      </c>
      <c r="E707" t="s">
        <v>4249</v>
      </c>
      <c r="F707" t="s">
        <v>4245</v>
      </c>
      <c r="G707" t="s">
        <v>4246</v>
      </c>
      <c r="H707" t="s">
        <v>4284</v>
      </c>
    </row>
    <row r="708" spans="1:8">
      <c r="A708">
        <v>11132410</v>
      </c>
      <c r="B708" t="s">
        <v>802</v>
      </c>
      <c r="C708" t="s">
        <v>1357</v>
      </c>
      <c r="D708" t="s">
        <v>1999</v>
      </c>
      <c r="E708" t="s">
        <v>4250</v>
      </c>
      <c r="F708" t="s">
        <v>4245</v>
      </c>
      <c r="G708" t="s">
        <v>4246</v>
      </c>
      <c r="H708" t="s">
        <v>4284</v>
      </c>
    </row>
    <row r="709" spans="1:8">
      <c r="A709">
        <v>11132411</v>
      </c>
      <c r="B709" t="s">
        <v>803</v>
      </c>
      <c r="C709" t="s">
        <v>1362</v>
      </c>
      <c r="D709" t="s">
        <v>1999</v>
      </c>
      <c r="E709" t="s">
        <v>4250</v>
      </c>
      <c r="F709" t="s">
        <v>4245</v>
      </c>
      <c r="G709" t="s">
        <v>4246</v>
      </c>
      <c r="H709" t="s">
        <v>4284</v>
      </c>
    </row>
    <row r="710" spans="1:8">
      <c r="A710">
        <v>11132414</v>
      </c>
      <c r="B710" t="s">
        <v>804</v>
      </c>
      <c r="C710" t="s">
        <v>1363</v>
      </c>
      <c r="D710" t="s">
        <v>1993</v>
      </c>
      <c r="E710" t="s">
        <v>4247</v>
      </c>
      <c r="F710" t="s">
        <v>4245</v>
      </c>
      <c r="G710" t="s">
        <v>4246</v>
      </c>
      <c r="H710" t="s">
        <v>4284</v>
      </c>
    </row>
    <row r="711" spans="1:8">
      <c r="A711">
        <v>11132415</v>
      </c>
      <c r="B711" t="s">
        <v>805</v>
      </c>
      <c r="C711" t="s">
        <v>1364</v>
      </c>
      <c r="D711" t="s">
        <v>1993</v>
      </c>
      <c r="E711" t="s">
        <v>4247</v>
      </c>
      <c r="F711" t="s">
        <v>4245</v>
      </c>
      <c r="G711" t="s">
        <v>4246</v>
      </c>
      <c r="H711" t="s">
        <v>4284</v>
      </c>
    </row>
    <row r="712" spans="1:8">
      <c r="A712">
        <v>11132360</v>
      </c>
      <c r="B712" t="s">
        <v>806</v>
      </c>
      <c r="C712" t="s">
        <v>1365</v>
      </c>
      <c r="D712" t="s">
        <v>2001</v>
      </c>
      <c r="E712" t="s">
        <v>4251</v>
      </c>
      <c r="F712" t="s">
        <v>4055</v>
      </c>
      <c r="G712" t="s">
        <v>4056</v>
      </c>
      <c r="H712" t="s">
        <v>4284</v>
      </c>
    </row>
    <row r="713" spans="1:8">
      <c r="A713">
        <v>11132361</v>
      </c>
      <c r="B713" t="s">
        <v>807</v>
      </c>
      <c r="C713" t="s">
        <v>1366</v>
      </c>
      <c r="D713" t="s">
        <v>2001</v>
      </c>
      <c r="E713" t="s">
        <v>4251</v>
      </c>
      <c r="F713" t="s">
        <v>4055</v>
      </c>
      <c r="G713" t="s">
        <v>4056</v>
      </c>
      <c r="H713" t="s">
        <v>4284</v>
      </c>
    </row>
    <row r="714" spans="1:8">
      <c r="A714">
        <v>11132362</v>
      </c>
      <c r="B714" t="s">
        <v>808</v>
      </c>
      <c r="C714" t="s">
        <v>1367</v>
      </c>
      <c r="D714" t="s">
        <v>2003</v>
      </c>
      <c r="E714" t="s">
        <v>4035</v>
      </c>
      <c r="F714" t="s">
        <v>4120</v>
      </c>
      <c r="G714" t="s">
        <v>4121</v>
      </c>
      <c r="H714" t="s">
        <v>4284</v>
      </c>
    </row>
    <row r="715" spans="1:8">
      <c r="A715">
        <v>11132363</v>
      </c>
      <c r="B715" t="s">
        <v>809</v>
      </c>
      <c r="C715" t="s">
        <v>1368</v>
      </c>
      <c r="D715" t="s">
        <v>2003</v>
      </c>
      <c r="E715" t="s">
        <v>4035</v>
      </c>
      <c r="F715" t="s">
        <v>4120</v>
      </c>
      <c r="G715" t="s">
        <v>4121</v>
      </c>
      <c r="H715" t="s">
        <v>4284</v>
      </c>
    </row>
    <row r="716" spans="1:8">
      <c r="A716">
        <v>11132364</v>
      </c>
      <c r="B716" t="s">
        <v>810</v>
      </c>
      <c r="C716" t="s">
        <v>1369</v>
      </c>
      <c r="D716" t="s">
        <v>2004</v>
      </c>
      <c r="E716" t="s">
        <v>4252</v>
      </c>
      <c r="F716" t="s">
        <v>4133</v>
      </c>
      <c r="G716" t="s">
        <v>4134</v>
      </c>
      <c r="H716" t="s">
        <v>4284</v>
      </c>
    </row>
    <row r="717" spans="1:8">
      <c r="A717">
        <v>11132365</v>
      </c>
      <c r="B717" t="s">
        <v>811</v>
      </c>
      <c r="C717" t="s">
        <v>1370</v>
      </c>
      <c r="D717" t="s">
        <v>2004</v>
      </c>
      <c r="E717" t="s">
        <v>4252</v>
      </c>
      <c r="F717" t="s">
        <v>4133</v>
      </c>
      <c r="G717" t="s">
        <v>4134</v>
      </c>
      <c r="H717" t="s">
        <v>4284</v>
      </c>
    </row>
    <row r="718" spans="1:8">
      <c r="A718">
        <v>11132366</v>
      </c>
      <c r="B718" t="s">
        <v>812</v>
      </c>
      <c r="C718" t="s">
        <v>1371</v>
      </c>
      <c r="D718" t="s">
        <v>2001</v>
      </c>
      <c r="E718" t="s">
        <v>4251</v>
      </c>
      <c r="F718" t="s">
        <v>4142</v>
      </c>
      <c r="G718" t="s">
        <v>4143</v>
      </c>
      <c r="H718" t="s">
        <v>4284</v>
      </c>
    </row>
    <row r="719" spans="1:8">
      <c r="A719">
        <v>11132367</v>
      </c>
      <c r="B719" t="s">
        <v>813</v>
      </c>
      <c r="C719" t="s">
        <v>1372</v>
      </c>
      <c r="D719" t="s">
        <v>2001</v>
      </c>
      <c r="E719" t="s">
        <v>4251</v>
      </c>
      <c r="F719" t="s">
        <v>4142</v>
      </c>
      <c r="G719" t="s">
        <v>4143</v>
      </c>
      <c r="H719" t="s">
        <v>4284</v>
      </c>
    </row>
    <row r="720" spans="1:8">
      <c r="A720">
        <v>11132368</v>
      </c>
      <c r="B720" t="s">
        <v>814</v>
      </c>
      <c r="C720" t="s">
        <v>1373</v>
      </c>
      <c r="D720" t="s">
        <v>2004</v>
      </c>
      <c r="E720" t="s">
        <v>4252</v>
      </c>
      <c r="F720" t="s">
        <v>4011</v>
      </c>
      <c r="G720" t="s">
        <v>4012</v>
      </c>
      <c r="H720" t="s">
        <v>4284</v>
      </c>
    </row>
    <row r="721" spans="1:8">
      <c r="A721">
        <v>11132369</v>
      </c>
      <c r="B721" t="s">
        <v>815</v>
      </c>
      <c r="C721" t="s">
        <v>1374</v>
      </c>
      <c r="D721" t="s">
        <v>2004</v>
      </c>
      <c r="E721" t="s">
        <v>4252</v>
      </c>
      <c r="F721" t="s">
        <v>4011</v>
      </c>
      <c r="G721" t="s">
        <v>4012</v>
      </c>
      <c r="H721" t="s">
        <v>4284</v>
      </c>
    </row>
    <row r="722" spans="1:8">
      <c r="A722">
        <v>11132370</v>
      </c>
      <c r="B722" t="s">
        <v>816</v>
      </c>
      <c r="C722" t="s">
        <v>1375</v>
      </c>
      <c r="D722" t="s">
        <v>2006</v>
      </c>
      <c r="E722" t="s">
        <v>4033</v>
      </c>
      <c r="F722" t="s">
        <v>4024</v>
      </c>
      <c r="G722" t="s">
        <v>4025</v>
      </c>
      <c r="H722" t="s">
        <v>4284</v>
      </c>
    </row>
    <row r="723" spans="1:8">
      <c r="A723">
        <v>11132371</v>
      </c>
      <c r="B723" t="s">
        <v>817</v>
      </c>
      <c r="C723" t="s">
        <v>1376</v>
      </c>
      <c r="D723" t="s">
        <v>2006</v>
      </c>
      <c r="E723" t="s">
        <v>4033</v>
      </c>
      <c r="F723" t="s">
        <v>4024</v>
      </c>
      <c r="G723" t="s">
        <v>4025</v>
      </c>
      <c r="H723" t="s">
        <v>4284</v>
      </c>
    </row>
    <row r="724" spans="1:8">
      <c r="A724">
        <v>11132372</v>
      </c>
      <c r="B724" t="s">
        <v>818</v>
      </c>
      <c r="C724" t="s">
        <v>1377</v>
      </c>
      <c r="D724" t="s">
        <v>2006</v>
      </c>
      <c r="E724" t="s">
        <v>4033</v>
      </c>
      <c r="F724" t="s">
        <v>4024</v>
      </c>
      <c r="G724" t="s">
        <v>4025</v>
      </c>
      <c r="H724" t="s">
        <v>4284</v>
      </c>
    </row>
    <row r="725" spans="1:8">
      <c r="A725">
        <v>11132373</v>
      </c>
      <c r="B725" t="s">
        <v>819</v>
      </c>
      <c r="C725" t="s">
        <v>1378</v>
      </c>
      <c r="D725" t="s">
        <v>2006</v>
      </c>
      <c r="E725" t="s">
        <v>4033</v>
      </c>
      <c r="F725" t="s">
        <v>4024</v>
      </c>
      <c r="G725" t="s">
        <v>4025</v>
      </c>
      <c r="H725" t="s">
        <v>4284</v>
      </c>
    </row>
    <row r="726" spans="1:8">
      <c r="A726">
        <v>11132374</v>
      </c>
      <c r="B726" t="s">
        <v>820</v>
      </c>
      <c r="C726" t="s">
        <v>1379</v>
      </c>
      <c r="D726" t="s">
        <v>2006</v>
      </c>
      <c r="E726" t="s">
        <v>4033</v>
      </c>
      <c r="F726" t="s">
        <v>4024</v>
      </c>
      <c r="G726" t="s">
        <v>4025</v>
      </c>
      <c r="H726" t="s">
        <v>4284</v>
      </c>
    </row>
    <row r="727" spans="1:8">
      <c r="A727">
        <v>11132375</v>
      </c>
      <c r="B727" t="s">
        <v>821</v>
      </c>
      <c r="C727" t="s">
        <v>1380</v>
      </c>
      <c r="D727" t="s">
        <v>2006</v>
      </c>
      <c r="E727" t="s">
        <v>4033</v>
      </c>
      <c r="F727" t="s">
        <v>4024</v>
      </c>
      <c r="G727" t="s">
        <v>4025</v>
      </c>
      <c r="H727" t="s">
        <v>4284</v>
      </c>
    </row>
    <row r="728" spans="1:8">
      <c r="A728">
        <v>11132376</v>
      </c>
      <c r="B728" t="s">
        <v>822</v>
      </c>
      <c r="C728" t="s">
        <v>1381</v>
      </c>
      <c r="D728" t="s">
        <v>2007</v>
      </c>
      <c r="E728" t="s">
        <v>4034</v>
      </c>
      <c r="F728" t="s">
        <v>4074</v>
      </c>
      <c r="G728" t="s">
        <v>4075</v>
      </c>
      <c r="H728" t="s">
        <v>4284</v>
      </c>
    </row>
    <row r="729" spans="1:8">
      <c r="A729">
        <v>11132377</v>
      </c>
      <c r="B729" t="s">
        <v>823</v>
      </c>
      <c r="C729" t="s">
        <v>1382</v>
      </c>
      <c r="D729" t="s">
        <v>2007</v>
      </c>
      <c r="E729" t="s">
        <v>4034</v>
      </c>
      <c r="F729" t="s">
        <v>4074</v>
      </c>
      <c r="G729" t="s">
        <v>4075</v>
      </c>
      <c r="H729" t="s">
        <v>4284</v>
      </c>
    </row>
    <row r="730" spans="1:8">
      <c r="A730">
        <v>11132378</v>
      </c>
      <c r="B730" t="s">
        <v>824</v>
      </c>
      <c r="C730" t="s">
        <v>1383</v>
      </c>
      <c r="D730" t="s">
        <v>2007</v>
      </c>
      <c r="E730" t="s">
        <v>4034</v>
      </c>
      <c r="F730" t="s">
        <v>4074</v>
      </c>
      <c r="G730" t="s">
        <v>4075</v>
      </c>
      <c r="H730" t="s">
        <v>4284</v>
      </c>
    </row>
    <row r="731" spans="1:8">
      <c r="A731">
        <v>11132379</v>
      </c>
      <c r="B731" t="s">
        <v>825</v>
      </c>
      <c r="C731" t="s">
        <v>1384</v>
      </c>
      <c r="D731" t="s">
        <v>2007</v>
      </c>
      <c r="E731" t="s">
        <v>4034</v>
      </c>
      <c r="F731" t="s">
        <v>4074</v>
      </c>
      <c r="G731" t="s">
        <v>4075</v>
      </c>
      <c r="H731" t="s">
        <v>4284</v>
      </c>
    </row>
    <row r="732" spans="1:8">
      <c r="A732">
        <v>11132380</v>
      </c>
      <c r="B732" t="s">
        <v>826</v>
      </c>
      <c r="C732" t="s">
        <v>1385</v>
      </c>
      <c r="D732" t="s">
        <v>2007</v>
      </c>
      <c r="E732" t="s">
        <v>4034</v>
      </c>
      <c r="F732" t="s">
        <v>4074</v>
      </c>
      <c r="G732" t="s">
        <v>4075</v>
      </c>
      <c r="H732" t="s">
        <v>4284</v>
      </c>
    </row>
    <row r="733" spans="1:8">
      <c r="A733">
        <v>11132381</v>
      </c>
      <c r="B733" t="s">
        <v>827</v>
      </c>
      <c r="C733" t="s">
        <v>1386</v>
      </c>
      <c r="D733" t="s">
        <v>2007</v>
      </c>
      <c r="E733" t="s">
        <v>4034</v>
      </c>
      <c r="F733" t="s">
        <v>4074</v>
      </c>
      <c r="G733" t="s">
        <v>4075</v>
      </c>
      <c r="H733" t="s">
        <v>4284</v>
      </c>
    </row>
    <row r="734" spans="1:8">
      <c r="A734">
        <v>11132382</v>
      </c>
      <c r="B734" t="s">
        <v>828</v>
      </c>
      <c r="C734" t="s">
        <v>1387</v>
      </c>
      <c r="D734" t="s">
        <v>2008</v>
      </c>
      <c r="E734" t="s">
        <v>4253</v>
      </c>
      <c r="F734" t="s">
        <v>3974</v>
      </c>
      <c r="G734" t="s">
        <v>3975</v>
      </c>
      <c r="H734" t="s">
        <v>4284</v>
      </c>
    </row>
    <row r="735" spans="1:8">
      <c r="A735">
        <v>11132383</v>
      </c>
      <c r="B735" t="s">
        <v>829</v>
      </c>
      <c r="C735" t="s">
        <v>1388</v>
      </c>
      <c r="D735" t="s">
        <v>2008</v>
      </c>
      <c r="E735" t="s">
        <v>4253</v>
      </c>
      <c r="F735" t="s">
        <v>3974</v>
      </c>
      <c r="G735" t="s">
        <v>3975</v>
      </c>
      <c r="H735" t="s">
        <v>4284</v>
      </c>
    </row>
    <row r="736" spans="1:8">
      <c r="A736">
        <v>11132384</v>
      </c>
      <c r="B736" t="s">
        <v>830</v>
      </c>
      <c r="C736" t="s">
        <v>1389</v>
      </c>
      <c r="D736" t="s">
        <v>2008</v>
      </c>
      <c r="E736" t="s">
        <v>4253</v>
      </c>
      <c r="F736" t="s">
        <v>3974</v>
      </c>
      <c r="G736" t="s">
        <v>3975</v>
      </c>
      <c r="H736" t="s">
        <v>4284</v>
      </c>
    </row>
    <row r="737" spans="1:8">
      <c r="A737">
        <v>11132385</v>
      </c>
      <c r="B737" t="s">
        <v>831</v>
      </c>
      <c r="C737" t="s">
        <v>1390</v>
      </c>
      <c r="D737" t="s">
        <v>2008</v>
      </c>
      <c r="E737" t="s">
        <v>4253</v>
      </c>
      <c r="F737" t="s">
        <v>3974</v>
      </c>
      <c r="G737" t="s">
        <v>3975</v>
      </c>
      <c r="H737" t="s">
        <v>4284</v>
      </c>
    </row>
    <row r="738" spans="1:8">
      <c r="A738">
        <v>11132386</v>
      </c>
      <c r="B738" t="s">
        <v>832</v>
      </c>
      <c r="C738" t="s">
        <v>1391</v>
      </c>
      <c r="D738" t="s">
        <v>2008</v>
      </c>
      <c r="E738" t="s">
        <v>4253</v>
      </c>
      <c r="F738" t="s">
        <v>3974</v>
      </c>
      <c r="G738" t="s">
        <v>3975</v>
      </c>
      <c r="H738" t="s">
        <v>4284</v>
      </c>
    </row>
    <row r="739" spans="1:8">
      <c r="A739">
        <v>11132387</v>
      </c>
      <c r="B739" t="s">
        <v>833</v>
      </c>
      <c r="C739" t="s">
        <v>1392</v>
      </c>
      <c r="D739" t="s">
        <v>2008</v>
      </c>
      <c r="E739" t="s">
        <v>4253</v>
      </c>
      <c r="F739" t="s">
        <v>3974</v>
      </c>
      <c r="G739" t="s">
        <v>3975</v>
      </c>
      <c r="H739" t="s">
        <v>4284</v>
      </c>
    </row>
    <row r="740" spans="1:8">
      <c r="A740">
        <v>11132388</v>
      </c>
      <c r="B740" t="s">
        <v>834</v>
      </c>
      <c r="C740" t="s">
        <v>1393</v>
      </c>
      <c r="D740" t="s">
        <v>2010</v>
      </c>
      <c r="E740" t="s">
        <v>4254</v>
      </c>
      <c r="F740" t="s">
        <v>4137</v>
      </c>
      <c r="G740" t="s">
        <v>4138</v>
      </c>
      <c r="H740" t="s">
        <v>4284</v>
      </c>
    </row>
    <row r="741" spans="1:8">
      <c r="A741">
        <v>11132389</v>
      </c>
      <c r="B741" t="s">
        <v>835</v>
      </c>
      <c r="C741" t="s">
        <v>1394</v>
      </c>
      <c r="D741" t="s">
        <v>2010</v>
      </c>
      <c r="E741" t="s">
        <v>4254</v>
      </c>
      <c r="F741" t="s">
        <v>4137</v>
      </c>
      <c r="G741" t="s">
        <v>4138</v>
      </c>
      <c r="H741" t="s">
        <v>4284</v>
      </c>
    </row>
    <row r="742" spans="1:8">
      <c r="A742">
        <v>11132390</v>
      </c>
      <c r="B742" t="s">
        <v>836</v>
      </c>
      <c r="C742" t="s">
        <v>1395</v>
      </c>
      <c r="D742" t="s">
        <v>2010</v>
      </c>
      <c r="E742" t="s">
        <v>4254</v>
      </c>
      <c r="F742" t="s">
        <v>4137</v>
      </c>
      <c r="G742" t="s">
        <v>4138</v>
      </c>
      <c r="H742" t="s">
        <v>4284</v>
      </c>
    </row>
    <row r="743" spans="1:8">
      <c r="A743">
        <v>11132391</v>
      </c>
      <c r="B743" t="s">
        <v>837</v>
      </c>
      <c r="C743" t="s">
        <v>1396</v>
      </c>
      <c r="D743" t="s">
        <v>2010</v>
      </c>
      <c r="E743" t="s">
        <v>4254</v>
      </c>
      <c r="F743" t="s">
        <v>4137</v>
      </c>
      <c r="G743" t="s">
        <v>4138</v>
      </c>
      <c r="H743" t="s">
        <v>4284</v>
      </c>
    </row>
    <row r="744" spans="1:8">
      <c r="A744">
        <v>11132392</v>
      </c>
      <c r="B744" t="s">
        <v>838</v>
      </c>
      <c r="C744" t="s">
        <v>1397</v>
      </c>
      <c r="D744" t="s">
        <v>2010</v>
      </c>
      <c r="E744" t="s">
        <v>4254</v>
      </c>
      <c r="F744" t="s">
        <v>4137</v>
      </c>
      <c r="G744" t="s">
        <v>4138</v>
      </c>
      <c r="H744" t="s">
        <v>4284</v>
      </c>
    </row>
    <row r="745" spans="1:8">
      <c r="A745">
        <v>11132393</v>
      </c>
      <c r="B745" t="s">
        <v>839</v>
      </c>
      <c r="C745" t="s">
        <v>1398</v>
      </c>
      <c r="D745" t="s">
        <v>2010</v>
      </c>
      <c r="E745" t="s">
        <v>4254</v>
      </c>
      <c r="F745" t="s">
        <v>4137</v>
      </c>
      <c r="G745" t="s">
        <v>4138</v>
      </c>
      <c r="H745" t="s">
        <v>4284</v>
      </c>
    </row>
    <row r="746" spans="1:8">
      <c r="A746">
        <v>11132394</v>
      </c>
      <c r="B746" t="s">
        <v>840</v>
      </c>
      <c r="C746" t="s">
        <v>1399</v>
      </c>
      <c r="D746" t="s">
        <v>2012</v>
      </c>
      <c r="E746" t="s">
        <v>4255</v>
      </c>
      <c r="F746" t="s">
        <v>4130</v>
      </c>
      <c r="G746" t="s">
        <v>4131</v>
      </c>
      <c r="H746" t="s">
        <v>4284</v>
      </c>
    </row>
    <row r="747" spans="1:8">
      <c r="A747">
        <v>11132395</v>
      </c>
      <c r="B747" t="s">
        <v>841</v>
      </c>
      <c r="C747" t="s">
        <v>1400</v>
      </c>
      <c r="D747" t="s">
        <v>2012</v>
      </c>
      <c r="E747" t="s">
        <v>4255</v>
      </c>
      <c r="F747" t="s">
        <v>4130</v>
      </c>
      <c r="G747" t="s">
        <v>4131</v>
      </c>
      <c r="H747" t="s">
        <v>4284</v>
      </c>
    </row>
    <row r="748" spans="1:8">
      <c r="A748">
        <v>11132396</v>
      </c>
      <c r="B748" t="s">
        <v>842</v>
      </c>
      <c r="C748" t="s">
        <v>1401</v>
      </c>
      <c r="D748" t="s">
        <v>2012</v>
      </c>
      <c r="E748" t="s">
        <v>4255</v>
      </c>
      <c r="F748" t="s">
        <v>4130</v>
      </c>
      <c r="G748" t="s">
        <v>4131</v>
      </c>
      <c r="H748" t="s">
        <v>4284</v>
      </c>
    </row>
    <row r="749" spans="1:8">
      <c r="A749">
        <v>11132397</v>
      </c>
      <c r="B749" t="s">
        <v>843</v>
      </c>
      <c r="C749" t="s">
        <v>1402</v>
      </c>
      <c r="D749" t="s">
        <v>2012</v>
      </c>
      <c r="E749" t="s">
        <v>4255</v>
      </c>
      <c r="F749" t="s">
        <v>4130</v>
      </c>
      <c r="G749" t="s">
        <v>4131</v>
      </c>
      <c r="H749" t="s">
        <v>4284</v>
      </c>
    </row>
    <row r="750" spans="1:8">
      <c r="A750">
        <v>11132398</v>
      </c>
      <c r="B750" t="s">
        <v>844</v>
      </c>
      <c r="C750" t="s">
        <v>1403</v>
      </c>
      <c r="D750" t="s">
        <v>2012</v>
      </c>
      <c r="E750" t="s">
        <v>4255</v>
      </c>
      <c r="F750" t="s">
        <v>4130</v>
      </c>
      <c r="G750" t="s">
        <v>4131</v>
      </c>
      <c r="H750" t="s">
        <v>4284</v>
      </c>
    </row>
    <row r="751" spans="1:8">
      <c r="A751">
        <v>11132399</v>
      </c>
      <c r="B751" t="s">
        <v>845</v>
      </c>
      <c r="C751" t="s">
        <v>1404</v>
      </c>
      <c r="D751" t="s">
        <v>2012</v>
      </c>
      <c r="E751" t="s">
        <v>4255</v>
      </c>
      <c r="F751" t="s">
        <v>4130</v>
      </c>
      <c r="G751" t="s">
        <v>4131</v>
      </c>
      <c r="H751" t="s">
        <v>4284</v>
      </c>
    </row>
    <row r="752" spans="1:8">
      <c r="A752">
        <v>11132400</v>
      </c>
      <c r="B752" t="s">
        <v>846</v>
      </c>
      <c r="C752" t="s">
        <v>1405</v>
      </c>
      <c r="D752" t="s">
        <v>2004</v>
      </c>
      <c r="E752" t="s">
        <v>4252</v>
      </c>
      <c r="F752" t="s">
        <v>4145</v>
      </c>
      <c r="G752" t="s">
        <v>4146</v>
      </c>
      <c r="H752" t="s">
        <v>4284</v>
      </c>
    </row>
    <row r="753" spans="1:8">
      <c r="A753">
        <v>11132401</v>
      </c>
      <c r="B753" t="s">
        <v>847</v>
      </c>
      <c r="C753" t="s">
        <v>1406</v>
      </c>
      <c r="D753" t="s">
        <v>2004</v>
      </c>
      <c r="E753" t="s">
        <v>4252</v>
      </c>
      <c r="F753" t="s">
        <v>4145</v>
      </c>
      <c r="G753" t="s">
        <v>4146</v>
      </c>
      <c r="H753" t="s">
        <v>4284</v>
      </c>
    </row>
    <row r="754" spans="1:8">
      <c r="A754">
        <v>11132263</v>
      </c>
      <c r="B754" t="s">
        <v>848</v>
      </c>
      <c r="C754" t="s">
        <v>1407</v>
      </c>
      <c r="D754" t="s">
        <v>2014</v>
      </c>
      <c r="E754" t="s">
        <v>4256</v>
      </c>
      <c r="F754" t="s">
        <v>4194</v>
      </c>
      <c r="G754" t="s">
        <v>4195</v>
      </c>
      <c r="H754" t="s">
        <v>4284</v>
      </c>
    </row>
    <row r="755" spans="1:8">
      <c r="A755">
        <v>11132264</v>
      </c>
      <c r="B755" t="s">
        <v>849</v>
      </c>
      <c r="C755" t="s">
        <v>1408</v>
      </c>
      <c r="D755" t="s">
        <v>2014</v>
      </c>
      <c r="E755" t="s">
        <v>4256</v>
      </c>
      <c r="F755" t="s">
        <v>4194</v>
      </c>
      <c r="G755" t="s">
        <v>4195</v>
      </c>
      <c r="H755" t="s">
        <v>4284</v>
      </c>
    </row>
    <row r="756" spans="1:8">
      <c r="A756">
        <v>11132266</v>
      </c>
      <c r="B756" t="s">
        <v>850</v>
      </c>
      <c r="C756" t="s">
        <v>1409</v>
      </c>
      <c r="D756" t="s">
        <v>2014</v>
      </c>
      <c r="E756" t="s">
        <v>4256</v>
      </c>
      <c r="F756" t="s">
        <v>4094</v>
      </c>
      <c r="G756" t="s">
        <v>4095</v>
      </c>
      <c r="H756" t="s">
        <v>4284</v>
      </c>
    </row>
    <row r="757" spans="1:8">
      <c r="A757">
        <v>11132281</v>
      </c>
      <c r="B757" t="s">
        <v>851</v>
      </c>
      <c r="C757" t="s">
        <v>1410</v>
      </c>
      <c r="D757" t="s">
        <v>2016</v>
      </c>
      <c r="E757" t="s">
        <v>4257</v>
      </c>
      <c r="F757" t="s">
        <v>4159</v>
      </c>
      <c r="G757" t="s">
        <v>4160</v>
      </c>
      <c r="H757" t="s">
        <v>4284</v>
      </c>
    </row>
    <row r="758" spans="1:8">
      <c r="A758">
        <v>11132282</v>
      </c>
      <c r="B758" t="s">
        <v>852</v>
      </c>
      <c r="C758" t="s">
        <v>1411</v>
      </c>
      <c r="D758" t="s">
        <v>2016</v>
      </c>
      <c r="E758" t="s">
        <v>4257</v>
      </c>
      <c r="F758" t="s">
        <v>4159</v>
      </c>
      <c r="G758" t="s">
        <v>4160</v>
      </c>
      <c r="H758" t="s">
        <v>4284</v>
      </c>
    </row>
    <row r="759" spans="1:8">
      <c r="A759">
        <v>11132283</v>
      </c>
      <c r="B759" t="s">
        <v>853</v>
      </c>
      <c r="C759" t="s">
        <v>1412</v>
      </c>
      <c r="D759" t="s">
        <v>2016</v>
      </c>
      <c r="E759" t="s">
        <v>4257</v>
      </c>
      <c r="F759" t="s">
        <v>4159</v>
      </c>
      <c r="G759" t="s">
        <v>4160</v>
      </c>
      <c r="H759" t="s">
        <v>4284</v>
      </c>
    </row>
    <row r="760" spans="1:8">
      <c r="A760">
        <v>11132284</v>
      </c>
      <c r="B760" t="s">
        <v>854</v>
      </c>
      <c r="C760" t="s">
        <v>1413</v>
      </c>
      <c r="D760" t="s">
        <v>2016</v>
      </c>
      <c r="E760" t="s">
        <v>4257</v>
      </c>
      <c r="F760" t="s">
        <v>4159</v>
      </c>
      <c r="G760" t="s">
        <v>4160</v>
      </c>
      <c r="H760" t="s">
        <v>4284</v>
      </c>
    </row>
    <row r="761" spans="1:8">
      <c r="A761">
        <v>11132287</v>
      </c>
      <c r="B761" t="s">
        <v>855</v>
      </c>
      <c r="C761" t="s">
        <v>1414</v>
      </c>
      <c r="D761" t="s">
        <v>2018</v>
      </c>
      <c r="E761" t="s">
        <v>4258</v>
      </c>
      <c r="F761" t="s">
        <v>4162</v>
      </c>
      <c r="G761" t="s">
        <v>4163</v>
      </c>
      <c r="H761" t="s">
        <v>4284</v>
      </c>
    </row>
    <row r="762" spans="1:8">
      <c r="A762">
        <v>11132288</v>
      </c>
      <c r="B762" t="s">
        <v>856</v>
      </c>
      <c r="C762" t="s">
        <v>1415</v>
      </c>
      <c r="D762" t="s">
        <v>2018</v>
      </c>
      <c r="E762" t="s">
        <v>4258</v>
      </c>
      <c r="F762" t="s">
        <v>4162</v>
      </c>
      <c r="G762" t="s">
        <v>4163</v>
      </c>
      <c r="H762" t="s">
        <v>4284</v>
      </c>
    </row>
    <row r="763" spans="1:8">
      <c r="A763">
        <v>11132289</v>
      </c>
      <c r="B763" t="s">
        <v>857</v>
      </c>
      <c r="C763" t="s">
        <v>1416</v>
      </c>
      <c r="D763" t="s">
        <v>2018</v>
      </c>
      <c r="E763" t="s">
        <v>4258</v>
      </c>
      <c r="F763" t="s">
        <v>4162</v>
      </c>
      <c r="G763" t="s">
        <v>4163</v>
      </c>
      <c r="H763" t="s">
        <v>4284</v>
      </c>
    </row>
    <row r="764" spans="1:8">
      <c r="A764">
        <v>11132290</v>
      </c>
      <c r="B764" t="s">
        <v>858</v>
      </c>
      <c r="C764" t="s">
        <v>1417</v>
      </c>
      <c r="D764" t="s">
        <v>2018</v>
      </c>
      <c r="E764" t="s">
        <v>4258</v>
      </c>
      <c r="F764" t="s">
        <v>4162</v>
      </c>
      <c r="G764" t="s">
        <v>4163</v>
      </c>
      <c r="H764" t="s">
        <v>4284</v>
      </c>
    </row>
    <row r="765" spans="1:8">
      <c r="A765">
        <v>11132297</v>
      </c>
      <c r="B765" t="s">
        <v>859</v>
      </c>
      <c r="C765" t="s">
        <v>1418</v>
      </c>
      <c r="D765" t="s">
        <v>2020</v>
      </c>
      <c r="E765" t="s">
        <v>4029</v>
      </c>
      <c r="F765" t="s">
        <v>4186</v>
      </c>
      <c r="G765" t="s">
        <v>4187</v>
      </c>
      <c r="H765" t="s">
        <v>4284</v>
      </c>
    </row>
    <row r="766" spans="1:8">
      <c r="A766">
        <v>11132298</v>
      </c>
      <c r="B766" t="s">
        <v>860</v>
      </c>
      <c r="C766" t="s">
        <v>1419</v>
      </c>
      <c r="D766" t="s">
        <v>2020</v>
      </c>
      <c r="E766" t="s">
        <v>4029</v>
      </c>
      <c r="F766" t="s">
        <v>4186</v>
      </c>
      <c r="G766" t="s">
        <v>4187</v>
      </c>
      <c r="H766" t="s">
        <v>4284</v>
      </c>
    </row>
    <row r="767" spans="1:8">
      <c r="A767">
        <v>11132299</v>
      </c>
      <c r="B767" t="s">
        <v>861</v>
      </c>
      <c r="C767" t="s">
        <v>1420</v>
      </c>
      <c r="D767" t="s">
        <v>2020</v>
      </c>
      <c r="E767" t="s">
        <v>4029</v>
      </c>
      <c r="F767" t="s">
        <v>4186</v>
      </c>
      <c r="G767" t="s">
        <v>4187</v>
      </c>
      <c r="H767" t="s">
        <v>4284</v>
      </c>
    </row>
    <row r="768" spans="1:8">
      <c r="A768">
        <v>11132300</v>
      </c>
      <c r="B768" t="s">
        <v>862</v>
      </c>
      <c r="C768" t="s">
        <v>1421</v>
      </c>
      <c r="D768" t="s">
        <v>2020</v>
      </c>
      <c r="E768" t="s">
        <v>4029</v>
      </c>
      <c r="F768" t="s">
        <v>4186</v>
      </c>
      <c r="G768" t="s">
        <v>4187</v>
      </c>
      <c r="H768" t="s">
        <v>4284</v>
      </c>
    </row>
    <row r="769" spans="1:8">
      <c r="A769">
        <v>11132309</v>
      </c>
      <c r="B769" t="s">
        <v>863</v>
      </c>
      <c r="C769" t="s">
        <v>1422</v>
      </c>
      <c r="D769" t="s">
        <v>2021</v>
      </c>
      <c r="E769" t="s">
        <v>4259</v>
      </c>
      <c r="F769" t="s">
        <v>4062</v>
      </c>
      <c r="G769" t="s">
        <v>4063</v>
      </c>
      <c r="H769" t="s">
        <v>4284</v>
      </c>
    </row>
    <row r="770" spans="1:8">
      <c r="A770">
        <v>11132310</v>
      </c>
      <c r="B770" t="s">
        <v>864</v>
      </c>
      <c r="C770" t="s">
        <v>1423</v>
      </c>
      <c r="D770" t="s">
        <v>2021</v>
      </c>
      <c r="E770" t="s">
        <v>4259</v>
      </c>
      <c r="F770" t="s">
        <v>4062</v>
      </c>
      <c r="G770" t="s">
        <v>4063</v>
      </c>
      <c r="H770" t="s">
        <v>4284</v>
      </c>
    </row>
    <row r="771" spans="1:8">
      <c r="A771">
        <v>11132311</v>
      </c>
      <c r="B771" t="s">
        <v>865</v>
      </c>
      <c r="C771" t="s">
        <v>1424</v>
      </c>
      <c r="D771" t="s">
        <v>2021</v>
      </c>
      <c r="E771" t="s">
        <v>4259</v>
      </c>
      <c r="F771" t="s">
        <v>4062</v>
      </c>
      <c r="G771" t="s">
        <v>4063</v>
      </c>
      <c r="H771" t="s">
        <v>4284</v>
      </c>
    </row>
    <row r="772" spans="1:8">
      <c r="A772">
        <v>11132312</v>
      </c>
      <c r="B772" t="s">
        <v>866</v>
      </c>
      <c r="C772" t="s">
        <v>1425</v>
      </c>
      <c r="D772" t="s">
        <v>2021</v>
      </c>
      <c r="E772" t="s">
        <v>4259</v>
      </c>
      <c r="F772" t="s">
        <v>4062</v>
      </c>
      <c r="G772" t="s">
        <v>4063</v>
      </c>
      <c r="H772" t="s">
        <v>4284</v>
      </c>
    </row>
    <row r="773" spans="1:8">
      <c r="A773">
        <v>11132313</v>
      </c>
      <c r="B773" t="s">
        <v>867</v>
      </c>
      <c r="C773" t="s">
        <v>1426</v>
      </c>
      <c r="D773" t="s">
        <v>2023</v>
      </c>
      <c r="E773" t="s">
        <v>4260</v>
      </c>
      <c r="F773" t="s">
        <v>4182</v>
      </c>
      <c r="G773" t="s">
        <v>4183</v>
      </c>
      <c r="H773" t="s">
        <v>4284</v>
      </c>
    </row>
    <row r="774" spans="1:8">
      <c r="A774">
        <v>11132314</v>
      </c>
      <c r="B774" t="s">
        <v>868</v>
      </c>
      <c r="C774" t="s">
        <v>1427</v>
      </c>
      <c r="D774" t="s">
        <v>2023</v>
      </c>
      <c r="E774" t="s">
        <v>4260</v>
      </c>
      <c r="F774" t="s">
        <v>4182</v>
      </c>
      <c r="G774" t="s">
        <v>4183</v>
      </c>
      <c r="H774" t="s">
        <v>4284</v>
      </c>
    </row>
    <row r="775" spans="1:8">
      <c r="A775">
        <v>11132315</v>
      </c>
      <c r="B775" t="s">
        <v>869</v>
      </c>
      <c r="C775" t="s">
        <v>1428</v>
      </c>
      <c r="D775" t="s">
        <v>2023</v>
      </c>
      <c r="E775" t="s">
        <v>4260</v>
      </c>
      <c r="F775" t="s">
        <v>4182</v>
      </c>
      <c r="G775" t="s">
        <v>4183</v>
      </c>
      <c r="H775" t="s">
        <v>4284</v>
      </c>
    </row>
    <row r="776" spans="1:8">
      <c r="A776">
        <v>11132316</v>
      </c>
      <c r="B776" t="s">
        <v>870</v>
      </c>
      <c r="C776" t="s">
        <v>1429</v>
      </c>
      <c r="D776" t="s">
        <v>2023</v>
      </c>
      <c r="E776" t="s">
        <v>4260</v>
      </c>
      <c r="F776" t="s">
        <v>4182</v>
      </c>
      <c r="G776" t="s">
        <v>4183</v>
      </c>
      <c r="H776" t="s">
        <v>4284</v>
      </c>
    </row>
    <row r="777" spans="1:8">
      <c r="A777">
        <v>11132317</v>
      </c>
      <c r="B777" t="s">
        <v>871</v>
      </c>
      <c r="C777" t="s">
        <v>1430</v>
      </c>
      <c r="D777" t="s">
        <v>2025</v>
      </c>
      <c r="E777" t="s">
        <v>3979</v>
      </c>
      <c r="F777" t="s">
        <v>4021</v>
      </c>
      <c r="G777" t="s">
        <v>4022</v>
      </c>
      <c r="H777" t="s">
        <v>4284</v>
      </c>
    </row>
    <row r="778" spans="1:8">
      <c r="A778">
        <v>11132318</v>
      </c>
      <c r="B778" t="s">
        <v>872</v>
      </c>
      <c r="C778" t="s">
        <v>1431</v>
      </c>
      <c r="D778" t="s">
        <v>2025</v>
      </c>
      <c r="E778" t="s">
        <v>3979</v>
      </c>
      <c r="F778" t="s">
        <v>4021</v>
      </c>
      <c r="G778" t="s">
        <v>4022</v>
      </c>
      <c r="H778" t="s">
        <v>4284</v>
      </c>
    </row>
    <row r="779" spans="1:8">
      <c r="A779">
        <v>11132319</v>
      </c>
      <c r="B779" t="s">
        <v>873</v>
      </c>
      <c r="C779" t="s">
        <v>1432</v>
      </c>
      <c r="D779" t="s">
        <v>2025</v>
      </c>
      <c r="E779" t="s">
        <v>3979</v>
      </c>
      <c r="F779" t="s">
        <v>4021</v>
      </c>
      <c r="G779" t="s">
        <v>4022</v>
      </c>
      <c r="H779" t="s">
        <v>4284</v>
      </c>
    </row>
    <row r="780" spans="1:8">
      <c r="A780">
        <v>11132320</v>
      </c>
      <c r="B780" t="s">
        <v>874</v>
      </c>
      <c r="C780" t="s">
        <v>1433</v>
      </c>
      <c r="D780" t="s">
        <v>2025</v>
      </c>
      <c r="E780" t="s">
        <v>3979</v>
      </c>
      <c r="F780" t="s">
        <v>4021</v>
      </c>
      <c r="G780" t="s">
        <v>4022</v>
      </c>
      <c r="H780" t="s">
        <v>4284</v>
      </c>
    </row>
    <row r="781" spans="1:8">
      <c r="A781">
        <v>11132333</v>
      </c>
      <c r="B781" t="s">
        <v>875</v>
      </c>
      <c r="C781" t="s">
        <v>1434</v>
      </c>
      <c r="D781" t="s">
        <v>2026</v>
      </c>
      <c r="E781" t="s">
        <v>4261</v>
      </c>
      <c r="F781" t="s">
        <v>4172</v>
      </c>
      <c r="G781" t="s">
        <v>4173</v>
      </c>
      <c r="H781" t="s">
        <v>4284</v>
      </c>
    </row>
    <row r="782" spans="1:8">
      <c r="A782">
        <v>11132338</v>
      </c>
      <c r="B782" t="s">
        <v>876</v>
      </c>
      <c r="C782" t="s">
        <v>1435</v>
      </c>
      <c r="D782" t="s">
        <v>2028</v>
      </c>
      <c r="E782" t="s">
        <v>4032</v>
      </c>
      <c r="F782" t="s">
        <v>4003</v>
      </c>
      <c r="G782" t="s">
        <v>4004</v>
      </c>
      <c r="H782" t="s">
        <v>4284</v>
      </c>
    </row>
    <row r="783" spans="1:8">
      <c r="A783">
        <v>11132339</v>
      </c>
      <c r="B783" t="s">
        <v>877</v>
      </c>
      <c r="C783" t="s">
        <v>1436</v>
      </c>
      <c r="D783" t="s">
        <v>2028</v>
      </c>
      <c r="E783" t="s">
        <v>4032</v>
      </c>
      <c r="F783" t="s">
        <v>4003</v>
      </c>
      <c r="G783" t="s">
        <v>4004</v>
      </c>
      <c r="H783" t="s">
        <v>4284</v>
      </c>
    </row>
    <row r="784" spans="1:8">
      <c r="A784">
        <v>11132340</v>
      </c>
      <c r="B784" t="s">
        <v>878</v>
      </c>
      <c r="C784" t="s">
        <v>1437</v>
      </c>
      <c r="D784" t="s">
        <v>2028</v>
      </c>
      <c r="E784" t="s">
        <v>4032</v>
      </c>
      <c r="F784" t="s">
        <v>4003</v>
      </c>
      <c r="G784" t="s">
        <v>4004</v>
      </c>
      <c r="H784" t="s">
        <v>4284</v>
      </c>
    </row>
    <row r="785" spans="1:8">
      <c r="A785">
        <v>11132341</v>
      </c>
      <c r="B785" t="s">
        <v>879</v>
      </c>
      <c r="C785" t="s">
        <v>1438</v>
      </c>
      <c r="D785" t="s">
        <v>2028</v>
      </c>
      <c r="E785" t="s">
        <v>4032</v>
      </c>
      <c r="F785" t="s">
        <v>4003</v>
      </c>
      <c r="G785" t="s">
        <v>4004</v>
      </c>
      <c r="H785" t="s">
        <v>4284</v>
      </c>
    </row>
    <row r="786" spans="1:8">
      <c r="A786">
        <v>11132342</v>
      </c>
      <c r="B786" t="s">
        <v>880</v>
      </c>
      <c r="C786" t="s">
        <v>1439</v>
      </c>
      <c r="D786" t="s">
        <v>2029</v>
      </c>
      <c r="E786" t="s">
        <v>4262</v>
      </c>
      <c r="F786" t="s">
        <v>4014</v>
      </c>
      <c r="G786" t="s">
        <v>4015</v>
      </c>
      <c r="H786" t="s">
        <v>4284</v>
      </c>
    </row>
    <row r="787" spans="1:8">
      <c r="A787">
        <v>11132343</v>
      </c>
      <c r="B787" t="s">
        <v>881</v>
      </c>
      <c r="C787" t="s">
        <v>1440</v>
      </c>
      <c r="D787" t="s">
        <v>2029</v>
      </c>
      <c r="E787" t="s">
        <v>4262</v>
      </c>
      <c r="F787" t="s">
        <v>4014</v>
      </c>
      <c r="G787" t="s">
        <v>4015</v>
      </c>
      <c r="H787" t="s">
        <v>4284</v>
      </c>
    </row>
    <row r="788" spans="1:8">
      <c r="A788">
        <v>11132344</v>
      </c>
      <c r="B788" t="s">
        <v>882</v>
      </c>
      <c r="C788" t="s">
        <v>1441</v>
      </c>
      <c r="D788" t="s">
        <v>2029</v>
      </c>
      <c r="E788" t="s">
        <v>4262</v>
      </c>
      <c r="F788" t="s">
        <v>4014</v>
      </c>
      <c r="G788" t="s">
        <v>4015</v>
      </c>
      <c r="H788" t="s">
        <v>4284</v>
      </c>
    </row>
    <row r="789" spans="1:8">
      <c r="A789">
        <v>11132345</v>
      </c>
      <c r="B789" t="s">
        <v>883</v>
      </c>
      <c r="C789" t="s">
        <v>1442</v>
      </c>
      <c r="D789" t="s">
        <v>2029</v>
      </c>
      <c r="E789" t="s">
        <v>4262</v>
      </c>
      <c r="F789" t="s">
        <v>4014</v>
      </c>
      <c r="G789" t="s">
        <v>4015</v>
      </c>
      <c r="H789" t="s">
        <v>4284</v>
      </c>
    </row>
    <row r="790" spans="1:8">
      <c r="A790">
        <v>11126305</v>
      </c>
      <c r="B790" t="s">
        <v>884</v>
      </c>
      <c r="C790" t="s">
        <v>1443</v>
      </c>
      <c r="D790" t="s">
        <v>1970</v>
      </c>
      <c r="E790" t="s">
        <v>4236</v>
      </c>
      <c r="F790" t="s">
        <v>4237</v>
      </c>
      <c r="G790" t="s">
        <v>4238</v>
      </c>
      <c r="H790" t="s">
        <v>4284</v>
      </c>
    </row>
    <row r="791" spans="1:8">
      <c r="A791">
        <v>11126308</v>
      </c>
      <c r="B791" t="s">
        <v>885</v>
      </c>
      <c r="C791" t="s">
        <v>1444</v>
      </c>
      <c r="D791" t="s">
        <v>1970</v>
      </c>
      <c r="E791" t="s">
        <v>4236</v>
      </c>
      <c r="F791" t="s">
        <v>4237</v>
      </c>
      <c r="G791" t="s">
        <v>4238</v>
      </c>
      <c r="H791" t="s">
        <v>4284</v>
      </c>
    </row>
    <row r="792" spans="1:8">
      <c r="A792">
        <v>11132418</v>
      </c>
      <c r="B792" t="s">
        <v>886</v>
      </c>
      <c r="C792" t="s">
        <v>1445</v>
      </c>
      <c r="D792" t="s">
        <v>1941</v>
      </c>
      <c r="E792" t="s">
        <v>4217</v>
      </c>
      <c r="F792" t="s">
        <v>4194</v>
      </c>
      <c r="G792" t="s">
        <v>4195</v>
      </c>
      <c r="H792" t="s">
        <v>4284</v>
      </c>
    </row>
    <row r="793" spans="1:8">
      <c r="A793">
        <v>11132420</v>
      </c>
      <c r="B793" t="s">
        <v>887</v>
      </c>
      <c r="C793" t="s">
        <v>1446</v>
      </c>
      <c r="D793" t="s">
        <v>1941</v>
      </c>
      <c r="E793" t="s">
        <v>4217</v>
      </c>
      <c r="F793" t="s">
        <v>4194</v>
      </c>
      <c r="G793" t="s">
        <v>4195</v>
      </c>
      <c r="H793" t="s">
        <v>4284</v>
      </c>
    </row>
    <row r="794" spans="1:8">
      <c r="A794">
        <v>11131330</v>
      </c>
      <c r="B794" t="s">
        <v>888</v>
      </c>
      <c r="C794" t="s">
        <v>1109</v>
      </c>
      <c r="D794" t="s">
        <v>2031</v>
      </c>
      <c r="E794" t="s">
        <v>4148</v>
      </c>
      <c r="F794" t="s">
        <v>4014</v>
      </c>
      <c r="G794" t="s">
        <v>4015</v>
      </c>
      <c r="H794" t="s">
        <v>4284</v>
      </c>
    </row>
    <row r="795" spans="1:8">
      <c r="A795">
        <v>11131331</v>
      </c>
      <c r="B795" t="s">
        <v>889</v>
      </c>
      <c r="C795" t="s">
        <v>1108</v>
      </c>
      <c r="D795" t="s">
        <v>2031</v>
      </c>
      <c r="E795" t="s">
        <v>4148</v>
      </c>
      <c r="F795" t="s">
        <v>4014</v>
      </c>
      <c r="G795" t="s">
        <v>4015</v>
      </c>
      <c r="H795" t="s">
        <v>4284</v>
      </c>
    </row>
    <row r="796" spans="1:8">
      <c r="A796">
        <v>11131332</v>
      </c>
      <c r="B796" t="s">
        <v>890</v>
      </c>
      <c r="C796" t="s">
        <v>1000</v>
      </c>
      <c r="D796" t="s">
        <v>2031</v>
      </c>
      <c r="E796" t="s">
        <v>4148</v>
      </c>
      <c r="F796" t="s">
        <v>4014</v>
      </c>
      <c r="G796" t="s">
        <v>4015</v>
      </c>
      <c r="H796" t="s">
        <v>4284</v>
      </c>
    </row>
    <row r="797" spans="1:8">
      <c r="A797">
        <v>11131333</v>
      </c>
      <c r="B797" t="s">
        <v>891</v>
      </c>
      <c r="C797" t="s">
        <v>1110</v>
      </c>
      <c r="D797" t="s">
        <v>2031</v>
      </c>
      <c r="E797" t="s">
        <v>4148</v>
      </c>
      <c r="F797" t="s">
        <v>4014</v>
      </c>
      <c r="G797" t="s">
        <v>4015</v>
      </c>
      <c r="H797" t="s">
        <v>4284</v>
      </c>
    </row>
    <row r="798" spans="1:8">
      <c r="A798">
        <v>11131334</v>
      </c>
      <c r="B798" t="s">
        <v>892</v>
      </c>
      <c r="C798" t="s">
        <v>1144</v>
      </c>
      <c r="D798" t="s">
        <v>2032</v>
      </c>
      <c r="E798" t="s">
        <v>4149</v>
      </c>
      <c r="F798" t="s">
        <v>4003</v>
      </c>
      <c r="G798" t="s">
        <v>4004</v>
      </c>
      <c r="H798" t="s">
        <v>4284</v>
      </c>
    </row>
    <row r="799" spans="1:8">
      <c r="A799">
        <v>11131335</v>
      </c>
      <c r="B799" t="s">
        <v>893</v>
      </c>
      <c r="C799" t="s">
        <v>1143</v>
      </c>
      <c r="D799" t="s">
        <v>2032</v>
      </c>
      <c r="E799" t="s">
        <v>4149</v>
      </c>
      <c r="F799" t="s">
        <v>4003</v>
      </c>
      <c r="G799" t="s">
        <v>4004</v>
      </c>
      <c r="H799" t="s">
        <v>4284</v>
      </c>
    </row>
    <row r="800" spans="1:8">
      <c r="A800">
        <v>11131336</v>
      </c>
      <c r="B800" t="s">
        <v>894</v>
      </c>
      <c r="C800" t="s">
        <v>1207</v>
      </c>
      <c r="D800" t="s">
        <v>2032</v>
      </c>
      <c r="E800" t="s">
        <v>4149</v>
      </c>
      <c r="F800" t="s">
        <v>4003</v>
      </c>
      <c r="G800" t="s">
        <v>4004</v>
      </c>
      <c r="H800" t="s">
        <v>4284</v>
      </c>
    </row>
    <row r="801" spans="1:8">
      <c r="A801">
        <v>11131337</v>
      </c>
      <c r="B801" t="s">
        <v>895</v>
      </c>
      <c r="C801" t="s">
        <v>1145</v>
      </c>
      <c r="D801" t="s">
        <v>2032</v>
      </c>
      <c r="E801" t="s">
        <v>4149</v>
      </c>
      <c r="F801" t="s">
        <v>4003</v>
      </c>
      <c r="G801" t="s">
        <v>4004</v>
      </c>
      <c r="H801" t="s">
        <v>4284</v>
      </c>
    </row>
    <row r="802" spans="1:8">
      <c r="A802">
        <v>11131338</v>
      </c>
      <c r="B802" t="s">
        <v>896</v>
      </c>
      <c r="C802" t="s">
        <v>1001</v>
      </c>
      <c r="D802" t="s">
        <v>2033</v>
      </c>
      <c r="E802" t="s">
        <v>3969</v>
      </c>
      <c r="F802" t="s">
        <v>3970</v>
      </c>
      <c r="G802" t="s">
        <v>3971</v>
      </c>
      <c r="H802" t="s">
        <v>4284</v>
      </c>
    </row>
    <row r="803" spans="1:8">
      <c r="A803">
        <v>11131339</v>
      </c>
      <c r="B803" t="s">
        <v>897</v>
      </c>
      <c r="C803" t="s">
        <v>1104</v>
      </c>
      <c r="D803" t="s">
        <v>2033</v>
      </c>
      <c r="E803" t="s">
        <v>3969</v>
      </c>
      <c r="F803" t="s">
        <v>3970</v>
      </c>
      <c r="G803" t="s">
        <v>3971</v>
      </c>
      <c r="H803" t="s">
        <v>4284</v>
      </c>
    </row>
    <row r="804" spans="1:8">
      <c r="A804">
        <v>11131340</v>
      </c>
      <c r="B804" t="s">
        <v>898</v>
      </c>
      <c r="C804" t="s">
        <v>999</v>
      </c>
      <c r="D804" t="s">
        <v>2033</v>
      </c>
      <c r="E804" t="s">
        <v>3969</v>
      </c>
      <c r="F804" t="s">
        <v>3970</v>
      </c>
      <c r="G804" t="s">
        <v>3971</v>
      </c>
      <c r="H804" t="s">
        <v>4284</v>
      </c>
    </row>
    <row r="805" spans="1:8">
      <c r="A805">
        <v>11131341</v>
      </c>
      <c r="B805" t="s">
        <v>899</v>
      </c>
      <c r="C805" t="s">
        <v>1002</v>
      </c>
      <c r="D805" t="s">
        <v>2033</v>
      </c>
      <c r="E805" t="s">
        <v>3969</v>
      </c>
      <c r="F805" t="s">
        <v>3970</v>
      </c>
      <c r="G805" t="s">
        <v>3971</v>
      </c>
      <c r="H805" t="s">
        <v>4284</v>
      </c>
    </row>
    <row r="806" spans="1:8">
      <c r="A806">
        <v>11131342</v>
      </c>
      <c r="B806" t="s">
        <v>900</v>
      </c>
      <c r="C806" t="s">
        <v>1095</v>
      </c>
      <c r="D806" t="s">
        <v>2034</v>
      </c>
      <c r="E806" t="s">
        <v>4207</v>
      </c>
      <c r="F806" t="s">
        <v>3960</v>
      </c>
      <c r="G806" t="s">
        <v>3961</v>
      </c>
      <c r="H806" t="s">
        <v>4284</v>
      </c>
    </row>
    <row r="807" spans="1:8">
      <c r="A807">
        <v>11131343</v>
      </c>
      <c r="B807" t="s">
        <v>901</v>
      </c>
      <c r="C807" t="s">
        <v>1096</v>
      </c>
      <c r="D807" t="s">
        <v>2035</v>
      </c>
      <c r="E807" t="s">
        <v>4208</v>
      </c>
      <c r="F807" t="s">
        <v>3960</v>
      </c>
      <c r="G807" t="s">
        <v>3961</v>
      </c>
      <c r="H807" t="s">
        <v>4284</v>
      </c>
    </row>
    <row r="808" spans="1:8">
      <c r="A808">
        <v>11131344</v>
      </c>
      <c r="B808" t="s">
        <v>902</v>
      </c>
      <c r="C808" t="s">
        <v>1097</v>
      </c>
      <c r="D808" t="s">
        <v>2036</v>
      </c>
      <c r="E808" t="s">
        <v>4209</v>
      </c>
      <c r="F808" t="s">
        <v>3960</v>
      </c>
      <c r="G808" t="s">
        <v>3961</v>
      </c>
      <c r="H808" t="s">
        <v>4284</v>
      </c>
    </row>
    <row r="809" spans="1:8">
      <c r="A809">
        <v>11131347</v>
      </c>
      <c r="B809" t="s">
        <v>903</v>
      </c>
      <c r="C809" t="s">
        <v>1102</v>
      </c>
      <c r="D809" t="s">
        <v>2037</v>
      </c>
      <c r="E809" t="s">
        <v>4263</v>
      </c>
      <c r="F809" t="s">
        <v>3960</v>
      </c>
      <c r="G809" t="s">
        <v>3961</v>
      </c>
      <c r="H809" t="s">
        <v>4284</v>
      </c>
    </row>
    <row r="810" spans="1:8">
      <c r="A810">
        <v>11131350</v>
      </c>
      <c r="B810" t="s">
        <v>904</v>
      </c>
      <c r="C810" t="s">
        <v>1103</v>
      </c>
      <c r="D810" t="s">
        <v>2037</v>
      </c>
      <c r="E810" t="s">
        <v>4263</v>
      </c>
      <c r="F810" t="s">
        <v>3960</v>
      </c>
      <c r="G810" t="s">
        <v>3961</v>
      </c>
      <c r="H810" t="s">
        <v>4284</v>
      </c>
    </row>
    <row r="811" spans="1:8">
      <c r="A811">
        <v>11127802</v>
      </c>
      <c r="B811" t="s">
        <v>905</v>
      </c>
      <c r="C811" t="s">
        <v>1243</v>
      </c>
      <c r="D811" t="s">
        <v>1974</v>
      </c>
      <c r="E811" t="s">
        <v>4239</v>
      </c>
      <c r="F811" t="s">
        <v>4088</v>
      </c>
      <c r="G811" t="s">
        <v>4089</v>
      </c>
      <c r="H811" t="s">
        <v>4284</v>
      </c>
    </row>
    <row r="812" spans="1:8">
      <c r="A812">
        <v>11127842</v>
      </c>
      <c r="B812" t="s">
        <v>906</v>
      </c>
      <c r="C812" t="s">
        <v>1447</v>
      </c>
      <c r="D812" t="s">
        <v>2039</v>
      </c>
      <c r="E812" t="s">
        <v>4264</v>
      </c>
      <c r="F812" t="s">
        <v>4265</v>
      </c>
      <c r="G812" t="s">
        <v>4266</v>
      </c>
      <c r="H812" t="s">
        <v>4284</v>
      </c>
    </row>
    <row r="813" spans="1:8">
      <c r="A813">
        <v>11127843</v>
      </c>
      <c r="B813" t="s">
        <v>907</v>
      </c>
      <c r="C813" t="s">
        <v>1448</v>
      </c>
      <c r="D813" t="s">
        <v>2039</v>
      </c>
      <c r="E813" t="s">
        <v>4264</v>
      </c>
      <c r="F813" t="s">
        <v>4265</v>
      </c>
      <c r="G813" t="s">
        <v>4266</v>
      </c>
      <c r="H813" t="s">
        <v>4284</v>
      </c>
    </row>
    <row r="814" spans="1:8">
      <c r="A814">
        <v>11132446</v>
      </c>
      <c r="B814" t="s">
        <v>908</v>
      </c>
      <c r="C814" t="s">
        <v>1449</v>
      </c>
      <c r="D814" t="s">
        <v>2043</v>
      </c>
      <c r="E814" t="s">
        <v>4267</v>
      </c>
      <c r="F814" t="s">
        <v>4268</v>
      </c>
      <c r="G814" t="s">
        <v>4269</v>
      </c>
      <c r="H814" t="s">
        <v>4284</v>
      </c>
    </row>
    <row r="815" spans="1:8">
      <c r="A815">
        <v>11103768</v>
      </c>
      <c r="B815" t="s">
        <v>909</v>
      </c>
      <c r="C815" t="s">
        <v>994</v>
      </c>
      <c r="D815" t="s">
        <v>1902</v>
      </c>
      <c r="E815" t="s">
        <v>4005</v>
      </c>
      <c r="F815" t="s">
        <v>3990</v>
      </c>
      <c r="G815" t="s">
        <v>3991</v>
      </c>
      <c r="H815" t="s">
        <v>4284</v>
      </c>
    </row>
    <row r="816" spans="1:8">
      <c r="A816">
        <v>11126301</v>
      </c>
      <c r="B816" t="s">
        <v>910</v>
      </c>
      <c r="C816" t="s">
        <v>984</v>
      </c>
      <c r="D816" t="s">
        <v>1983</v>
      </c>
      <c r="E816" t="s">
        <v>3965</v>
      </c>
      <c r="F816" t="s">
        <v>3963</v>
      </c>
      <c r="G816" t="s">
        <v>3964</v>
      </c>
      <c r="H816" t="s">
        <v>4284</v>
      </c>
    </row>
    <row r="817" spans="1:8">
      <c r="A817">
        <v>11132657</v>
      </c>
      <c r="B817" t="s">
        <v>911</v>
      </c>
      <c r="C817" t="s">
        <v>1139</v>
      </c>
      <c r="D817" t="s">
        <v>1774</v>
      </c>
      <c r="E817" t="s">
        <v>3988</v>
      </c>
      <c r="F817" t="s">
        <v>4122</v>
      </c>
      <c r="G817" t="s">
        <v>4123</v>
      </c>
      <c r="H817" t="s">
        <v>4284</v>
      </c>
    </row>
    <row r="818" spans="1:8">
      <c r="A818">
        <v>11132659</v>
      </c>
      <c r="B818" t="s">
        <v>912</v>
      </c>
      <c r="C818" t="s">
        <v>1155</v>
      </c>
      <c r="D818" t="s">
        <v>1926</v>
      </c>
      <c r="E818" t="s">
        <v>4210</v>
      </c>
      <c r="F818" t="s">
        <v>4174</v>
      </c>
      <c r="G818" t="s">
        <v>4175</v>
      </c>
      <c r="H818" t="s">
        <v>4284</v>
      </c>
    </row>
    <row r="819" spans="1:8">
      <c r="A819">
        <v>11127792</v>
      </c>
      <c r="B819" t="s">
        <v>913</v>
      </c>
      <c r="C819" t="s">
        <v>1450</v>
      </c>
      <c r="D819" t="s">
        <v>2047</v>
      </c>
      <c r="E819" t="s">
        <v>4270</v>
      </c>
      <c r="F819" t="s">
        <v>4191</v>
      </c>
      <c r="G819" t="s">
        <v>4192</v>
      </c>
      <c r="H819" t="s">
        <v>4284</v>
      </c>
    </row>
    <row r="820" spans="1:8">
      <c r="A820">
        <v>11127794</v>
      </c>
      <c r="B820" t="s">
        <v>914</v>
      </c>
      <c r="C820" t="s">
        <v>1451</v>
      </c>
      <c r="D820" t="s">
        <v>2049</v>
      </c>
      <c r="E820" t="s">
        <v>4271</v>
      </c>
      <c r="F820" t="s">
        <v>4188</v>
      </c>
      <c r="G820" t="s">
        <v>4189</v>
      </c>
      <c r="H820" t="s">
        <v>4284</v>
      </c>
    </row>
    <row r="821" spans="1:8">
      <c r="A821">
        <v>11133667</v>
      </c>
      <c r="B821" t="s">
        <v>915</v>
      </c>
      <c r="C821" t="s">
        <v>1452</v>
      </c>
      <c r="D821" t="s">
        <v>2051</v>
      </c>
      <c r="E821" t="s">
        <v>4272</v>
      </c>
      <c r="F821" t="s">
        <v>3992</v>
      </c>
      <c r="G821" t="s">
        <v>3993</v>
      </c>
      <c r="H821" t="s">
        <v>4284</v>
      </c>
    </row>
    <row r="822" spans="1:8">
      <c r="A822">
        <v>11133668</v>
      </c>
      <c r="B822" t="s">
        <v>916</v>
      </c>
      <c r="C822" t="s">
        <v>1453</v>
      </c>
      <c r="D822" t="s">
        <v>2051</v>
      </c>
      <c r="E822" t="s">
        <v>4272</v>
      </c>
      <c r="F822" t="s">
        <v>3992</v>
      </c>
      <c r="G822" t="s">
        <v>3993</v>
      </c>
      <c r="H822" t="s">
        <v>4284</v>
      </c>
    </row>
    <row r="823" spans="1:8">
      <c r="A823">
        <v>11132646</v>
      </c>
      <c r="B823" t="s">
        <v>917</v>
      </c>
      <c r="C823" t="s">
        <v>1095</v>
      </c>
      <c r="D823" t="s">
        <v>1923</v>
      </c>
      <c r="E823" t="s">
        <v>3995</v>
      </c>
      <c r="F823" t="s">
        <v>3960</v>
      </c>
      <c r="G823" t="s">
        <v>3961</v>
      </c>
      <c r="H823" t="s">
        <v>4284</v>
      </c>
    </row>
    <row r="824" spans="1:8">
      <c r="A824">
        <v>11132649</v>
      </c>
      <c r="B824" t="s">
        <v>918</v>
      </c>
      <c r="C824" t="s">
        <v>1096</v>
      </c>
      <c r="D824" t="s">
        <v>1924</v>
      </c>
      <c r="E824" t="s">
        <v>3996</v>
      </c>
      <c r="F824" t="s">
        <v>3960</v>
      </c>
      <c r="G824" t="s">
        <v>3961</v>
      </c>
      <c r="H824" t="s">
        <v>4284</v>
      </c>
    </row>
    <row r="825" spans="1:8">
      <c r="A825">
        <v>11132652</v>
      </c>
      <c r="B825" t="s">
        <v>919</v>
      </c>
      <c r="C825" t="s">
        <v>1097</v>
      </c>
      <c r="D825" t="s">
        <v>1925</v>
      </c>
      <c r="E825" t="s">
        <v>3997</v>
      </c>
      <c r="F825" t="s">
        <v>3960</v>
      </c>
      <c r="G825" t="s">
        <v>3961</v>
      </c>
      <c r="H825" t="s">
        <v>4284</v>
      </c>
    </row>
    <row r="826" spans="1:8">
      <c r="A826">
        <v>11131220</v>
      </c>
      <c r="B826" t="s">
        <v>920</v>
      </c>
      <c r="C826" t="s">
        <v>1454</v>
      </c>
      <c r="D826" t="s">
        <v>2053</v>
      </c>
      <c r="E826" t="s">
        <v>4273</v>
      </c>
      <c r="F826" t="s">
        <v>4274</v>
      </c>
      <c r="G826" t="s">
        <v>4275</v>
      </c>
      <c r="H826" t="s">
        <v>4284</v>
      </c>
    </row>
    <row r="827" spans="1:8">
      <c r="A827">
        <v>11131221</v>
      </c>
      <c r="B827" t="s">
        <v>921</v>
      </c>
      <c r="C827" t="s">
        <v>1455</v>
      </c>
      <c r="D827" t="s">
        <v>2053</v>
      </c>
      <c r="E827" t="s">
        <v>4273</v>
      </c>
      <c r="F827" t="s">
        <v>4274</v>
      </c>
      <c r="G827" t="s">
        <v>4275</v>
      </c>
      <c r="H827" t="s">
        <v>4284</v>
      </c>
    </row>
    <row r="828" spans="1:8">
      <c r="A828">
        <v>11131222</v>
      </c>
      <c r="B828" t="s">
        <v>922</v>
      </c>
      <c r="C828" t="s">
        <v>1456</v>
      </c>
      <c r="D828" t="s">
        <v>2053</v>
      </c>
      <c r="E828" t="s">
        <v>4273</v>
      </c>
      <c r="F828" t="s">
        <v>4274</v>
      </c>
      <c r="G828" t="s">
        <v>4275</v>
      </c>
      <c r="H828" t="s">
        <v>4284</v>
      </c>
    </row>
    <row r="829" spans="1:8">
      <c r="A829">
        <v>11131223</v>
      </c>
      <c r="B829" t="s">
        <v>923</v>
      </c>
      <c r="C829" t="s">
        <v>1457</v>
      </c>
      <c r="D829" t="s">
        <v>2053</v>
      </c>
      <c r="E829" t="s">
        <v>4273</v>
      </c>
      <c r="F829" t="s">
        <v>4274</v>
      </c>
      <c r="G829" t="s">
        <v>4275</v>
      </c>
      <c r="H829" t="s">
        <v>4284</v>
      </c>
    </row>
    <row r="830" spans="1:8">
      <c r="A830">
        <v>11131224</v>
      </c>
      <c r="B830" t="s">
        <v>924</v>
      </c>
      <c r="C830" t="s">
        <v>1458</v>
      </c>
      <c r="D830" t="s">
        <v>2053</v>
      </c>
      <c r="E830" t="s">
        <v>4273</v>
      </c>
      <c r="F830" t="s">
        <v>4274</v>
      </c>
      <c r="G830" t="s">
        <v>4275</v>
      </c>
      <c r="H830" t="s">
        <v>4284</v>
      </c>
    </row>
    <row r="831" spans="1:8">
      <c r="A831">
        <v>11131225</v>
      </c>
      <c r="B831" t="s">
        <v>925</v>
      </c>
      <c r="C831" t="s">
        <v>1459</v>
      </c>
      <c r="D831" t="s">
        <v>2053</v>
      </c>
      <c r="E831" t="s">
        <v>4273</v>
      </c>
      <c r="F831" t="s">
        <v>4274</v>
      </c>
      <c r="G831" t="s">
        <v>4275</v>
      </c>
      <c r="H831" t="s">
        <v>4284</v>
      </c>
    </row>
    <row r="832" spans="1:8">
      <c r="A832">
        <v>11132683</v>
      </c>
      <c r="B832" t="s">
        <v>926</v>
      </c>
      <c r="C832" t="s">
        <v>965</v>
      </c>
      <c r="D832" t="s">
        <v>1928</v>
      </c>
      <c r="E832" t="s">
        <v>3968</v>
      </c>
      <c r="F832" t="s">
        <v>4000</v>
      </c>
      <c r="G832" t="s">
        <v>4001</v>
      </c>
      <c r="H832" t="s">
        <v>4284</v>
      </c>
    </row>
    <row r="833" spans="1:8">
      <c r="A833">
        <v>11133705</v>
      </c>
      <c r="B833" t="s">
        <v>927</v>
      </c>
      <c r="C833" t="s">
        <v>1460</v>
      </c>
      <c r="D833" t="s">
        <v>2057</v>
      </c>
      <c r="E833" t="s">
        <v>4276</v>
      </c>
      <c r="F833" t="s">
        <v>4122</v>
      </c>
      <c r="G833" t="s">
        <v>4123</v>
      </c>
      <c r="H833" t="s">
        <v>4284</v>
      </c>
    </row>
    <row r="834" spans="1:8">
      <c r="A834">
        <v>11133706</v>
      </c>
      <c r="B834" t="s">
        <v>928</v>
      </c>
      <c r="C834" t="s">
        <v>1461</v>
      </c>
      <c r="D834" t="s">
        <v>2059</v>
      </c>
      <c r="E834" t="s">
        <v>4277</v>
      </c>
      <c r="F834" t="s">
        <v>4169</v>
      </c>
      <c r="G834" t="s">
        <v>4170</v>
      </c>
      <c r="H834" t="s">
        <v>4284</v>
      </c>
    </row>
    <row r="835" spans="1:8">
      <c r="A835">
        <v>11133707</v>
      </c>
      <c r="B835" t="s">
        <v>929</v>
      </c>
      <c r="C835" t="s">
        <v>1462</v>
      </c>
      <c r="D835" t="s">
        <v>2061</v>
      </c>
      <c r="E835" t="s">
        <v>4278</v>
      </c>
      <c r="F835" t="s">
        <v>3970</v>
      </c>
      <c r="G835" t="s">
        <v>3971</v>
      </c>
      <c r="H835" t="s">
        <v>4284</v>
      </c>
    </row>
    <row r="836" spans="1:8">
      <c r="A836">
        <v>11133708</v>
      </c>
      <c r="B836" t="s">
        <v>930</v>
      </c>
      <c r="C836" t="s">
        <v>1463</v>
      </c>
      <c r="D836" t="s">
        <v>2063</v>
      </c>
      <c r="E836" t="s">
        <v>4279</v>
      </c>
      <c r="F836" t="s">
        <v>4014</v>
      </c>
      <c r="G836" t="s">
        <v>4015</v>
      </c>
      <c r="H836" t="s">
        <v>4284</v>
      </c>
    </row>
    <row r="837" spans="1:8">
      <c r="A837">
        <v>11133709</v>
      </c>
      <c r="B837" t="s">
        <v>931</v>
      </c>
      <c r="C837" t="s">
        <v>1464</v>
      </c>
      <c r="D837" t="s">
        <v>2065</v>
      </c>
      <c r="E837" t="s">
        <v>4280</v>
      </c>
      <c r="F837" t="s">
        <v>3990</v>
      </c>
      <c r="G837" t="s">
        <v>3991</v>
      </c>
      <c r="H837" t="s">
        <v>4284</v>
      </c>
    </row>
    <row r="838" spans="1:8">
      <c r="A838">
        <v>11133715</v>
      </c>
      <c r="B838" t="s">
        <v>932</v>
      </c>
      <c r="C838" t="s">
        <v>1465</v>
      </c>
      <c r="D838" t="s">
        <v>2067</v>
      </c>
      <c r="E838" t="s">
        <v>4281</v>
      </c>
      <c r="F838" t="s">
        <v>4174</v>
      </c>
      <c r="G838" t="s">
        <v>4175</v>
      </c>
      <c r="H838" t="s">
        <v>4284</v>
      </c>
    </row>
    <row r="839" spans="1:8">
      <c r="A839">
        <v>11133716</v>
      </c>
      <c r="B839" t="s">
        <v>933</v>
      </c>
      <c r="C839" t="s">
        <v>1466</v>
      </c>
      <c r="D839" t="s">
        <v>2067</v>
      </c>
      <c r="E839" t="s">
        <v>4281</v>
      </c>
      <c r="F839" t="s">
        <v>4174</v>
      </c>
      <c r="G839" t="s">
        <v>4175</v>
      </c>
      <c r="H839" t="s">
        <v>4284</v>
      </c>
    </row>
    <row r="840" spans="1:8">
      <c r="A840">
        <v>11103769</v>
      </c>
      <c r="B840" t="s">
        <v>934</v>
      </c>
      <c r="C840" t="s">
        <v>996</v>
      </c>
      <c r="D840" t="s">
        <v>1730</v>
      </c>
      <c r="E840" t="s">
        <v>4101</v>
      </c>
      <c r="F840" t="s">
        <v>3992</v>
      </c>
      <c r="G840" t="s">
        <v>3993</v>
      </c>
      <c r="H840" t="s">
        <v>4284</v>
      </c>
    </row>
    <row r="841" spans="1:8">
      <c r="A841">
        <v>11133733</v>
      </c>
      <c r="B841" t="s">
        <v>935</v>
      </c>
      <c r="C841" t="s">
        <v>1241</v>
      </c>
      <c r="D841" t="s">
        <v>2069</v>
      </c>
      <c r="E841" t="s">
        <v>4087</v>
      </c>
      <c r="F841" t="s">
        <v>4088</v>
      </c>
      <c r="G841" t="s">
        <v>4089</v>
      </c>
      <c r="H841" t="s">
        <v>4284</v>
      </c>
    </row>
    <row r="842" spans="1:8">
      <c r="A842">
        <v>11133734</v>
      </c>
      <c r="B842" t="s">
        <v>936</v>
      </c>
      <c r="C842" t="s">
        <v>1245</v>
      </c>
      <c r="D842" t="s">
        <v>2069</v>
      </c>
      <c r="E842" t="s">
        <v>4087</v>
      </c>
      <c r="F842" t="s">
        <v>4088</v>
      </c>
      <c r="G842" t="s">
        <v>4089</v>
      </c>
      <c r="H842" t="s">
        <v>4284</v>
      </c>
    </row>
    <row r="843" spans="1:8">
      <c r="A843">
        <v>11133735</v>
      </c>
      <c r="B843" t="s">
        <v>937</v>
      </c>
      <c r="C843" t="s">
        <v>1244</v>
      </c>
      <c r="D843" t="s">
        <v>2069</v>
      </c>
      <c r="E843" t="s">
        <v>4087</v>
      </c>
      <c r="F843" t="s">
        <v>4088</v>
      </c>
      <c r="G843" t="s">
        <v>4089</v>
      </c>
      <c r="H843" t="s">
        <v>4284</v>
      </c>
    </row>
    <row r="844" spans="1:8">
      <c r="A844">
        <v>11133736</v>
      </c>
      <c r="B844" t="s">
        <v>938</v>
      </c>
      <c r="C844" t="s">
        <v>1246</v>
      </c>
      <c r="D844" t="s">
        <v>2069</v>
      </c>
      <c r="E844" t="s">
        <v>4087</v>
      </c>
      <c r="F844" t="s">
        <v>4088</v>
      </c>
      <c r="G844" t="s">
        <v>4089</v>
      </c>
      <c r="H844" t="s">
        <v>4284</v>
      </c>
    </row>
    <row r="845" spans="1:8">
      <c r="A845">
        <v>11133737</v>
      </c>
      <c r="B845" t="s">
        <v>939</v>
      </c>
      <c r="C845" t="s">
        <v>1242</v>
      </c>
      <c r="D845" t="s">
        <v>2069</v>
      </c>
      <c r="E845" t="s">
        <v>4087</v>
      </c>
      <c r="F845" t="s">
        <v>4088</v>
      </c>
      <c r="G845" t="s">
        <v>4089</v>
      </c>
      <c r="H845" t="s">
        <v>4284</v>
      </c>
    </row>
    <row r="846" spans="1:8">
      <c r="A846">
        <v>11133738</v>
      </c>
      <c r="B846" t="s">
        <v>940</v>
      </c>
      <c r="C846" t="s">
        <v>1243</v>
      </c>
      <c r="D846" t="s">
        <v>2069</v>
      </c>
      <c r="E846" t="s">
        <v>4087</v>
      </c>
      <c r="F846" t="s">
        <v>4088</v>
      </c>
      <c r="G846" t="s">
        <v>4089</v>
      </c>
      <c r="H846" t="s">
        <v>4284</v>
      </c>
    </row>
    <row r="847" spans="1:8">
      <c r="A847">
        <v>11133739</v>
      </c>
      <c r="B847" t="s">
        <v>941</v>
      </c>
      <c r="C847" t="s">
        <v>1244</v>
      </c>
      <c r="D847" t="s">
        <v>2070</v>
      </c>
      <c r="E847" t="s">
        <v>4090</v>
      </c>
      <c r="F847" t="s">
        <v>4091</v>
      </c>
      <c r="G847" t="s">
        <v>4092</v>
      </c>
      <c r="H847" t="s">
        <v>4284</v>
      </c>
    </row>
    <row r="848" spans="1:8">
      <c r="A848">
        <v>11133740</v>
      </c>
      <c r="B848" t="s">
        <v>942</v>
      </c>
      <c r="C848" t="s">
        <v>1245</v>
      </c>
      <c r="D848" t="s">
        <v>2070</v>
      </c>
      <c r="E848" t="s">
        <v>4090</v>
      </c>
      <c r="F848" t="s">
        <v>4091</v>
      </c>
      <c r="G848" t="s">
        <v>4092</v>
      </c>
      <c r="H848" t="s">
        <v>4284</v>
      </c>
    </row>
    <row r="849" spans="1:8">
      <c r="A849">
        <v>11133741</v>
      </c>
      <c r="B849" t="s">
        <v>943</v>
      </c>
      <c r="C849" t="s">
        <v>1241</v>
      </c>
      <c r="D849" t="s">
        <v>2070</v>
      </c>
      <c r="E849" t="s">
        <v>4090</v>
      </c>
      <c r="F849" t="s">
        <v>4091</v>
      </c>
      <c r="G849" t="s">
        <v>4092</v>
      </c>
      <c r="H849" t="s">
        <v>4284</v>
      </c>
    </row>
    <row r="850" spans="1:8">
      <c r="A850">
        <v>11133742</v>
      </c>
      <c r="B850" t="s">
        <v>944</v>
      </c>
      <c r="C850" t="s">
        <v>1246</v>
      </c>
      <c r="D850" t="s">
        <v>2070</v>
      </c>
      <c r="E850" t="s">
        <v>4090</v>
      </c>
      <c r="F850" t="s">
        <v>4091</v>
      </c>
      <c r="G850" t="s">
        <v>4092</v>
      </c>
      <c r="H850" t="s">
        <v>4284</v>
      </c>
    </row>
    <row r="851" spans="1:8">
      <c r="A851">
        <v>11133743</v>
      </c>
      <c r="B851" t="s">
        <v>945</v>
      </c>
      <c r="C851" t="s">
        <v>1242</v>
      </c>
      <c r="D851" t="s">
        <v>2070</v>
      </c>
      <c r="E851" t="s">
        <v>4090</v>
      </c>
      <c r="F851" t="s">
        <v>4091</v>
      </c>
      <c r="G851" t="s">
        <v>4092</v>
      </c>
      <c r="H851" t="s">
        <v>4284</v>
      </c>
    </row>
    <row r="852" spans="1:8">
      <c r="A852">
        <v>11133744</v>
      </c>
      <c r="B852" t="s">
        <v>946</v>
      </c>
      <c r="C852" t="s">
        <v>1243</v>
      </c>
      <c r="D852" t="s">
        <v>2070</v>
      </c>
      <c r="E852" t="s">
        <v>4090</v>
      </c>
      <c r="F852" t="s">
        <v>4091</v>
      </c>
      <c r="G852" t="s">
        <v>4092</v>
      </c>
      <c r="H852" t="s">
        <v>4284</v>
      </c>
    </row>
    <row r="853" spans="1:8">
      <c r="A853">
        <v>11133745</v>
      </c>
      <c r="B853" t="s">
        <v>947</v>
      </c>
      <c r="C853" t="s">
        <v>1227</v>
      </c>
      <c r="D853" t="s">
        <v>2071</v>
      </c>
      <c r="E853" t="s">
        <v>4086</v>
      </c>
      <c r="F853" t="s">
        <v>4082</v>
      </c>
      <c r="G853" t="s">
        <v>4083</v>
      </c>
      <c r="H853" t="s">
        <v>4284</v>
      </c>
    </row>
    <row r="854" spans="1:8">
      <c r="A854">
        <v>11133746</v>
      </c>
      <c r="B854" t="s">
        <v>948</v>
      </c>
      <c r="C854" t="s">
        <v>1228</v>
      </c>
      <c r="D854" t="s">
        <v>2071</v>
      </c>
      <c r="E854" t="s">
        <v>4086</v>
      </c>
      <c r="F854" t="s">
        <v>4082</v>
      </c>
      <c r="G854" t="s">
        <v>4083</v>
      </c>
      <c r="H854" t="s">
        <v>4284</v>
      </c>
    </row>
    <row r="855" spans="1:8">
      <c r="A855">
        <v>11134062</v>
      </c>
      <c r="B855" t="s">
        <v>949</v>
      </c>
      <c r="C855" t="s">
        <v>1009</v>
      </c>
      <c r="D855" t="s">
        <v>1930</v>
      </c>
      <c r="E855" t="s">
        <v>3973</v>
      </c>
      <c r="F855" t="s">
        <v>4133</v>
      </c>
      <c r="G855" t="s">
        <v>4134</v>
      </c>
      <c r="H855" t="s">
        <v>4284</v>
      </c>
    </row>
    <row r="856" spans="1:8">
      <c r="A856">
        <v>11134063</v>
      </c>
      <c r="B856" t="s">
        <v>950</v>
      </c>
      <c r="C856" t="s">
        <v>1196</v>
      </c>
      <c r="D856" t="s">
        <v>1930</v>
      </c>
      <c r="E856" t="s">
        <v>3973</v>
      </c>
      <c r="F856" t="s">
        <v>4133</v>
      </c>
      <c r="G856" t="s">
        <v>4134</v>
      </c>
      <c r="H856" t="s">
        <v>4284</v>
      </c>
    </row>
    <row r="857" spans="1:8">
      <c r="A857">
        <v>11134070</v>
      </c>
      <c r="B857" t="s">
        <v>951</v>
      </c>
      <c r="C857" t="s">
        <v>969</v>
      </c>
      <c r="D857" t="s">
        <v>2072</v>
      </c>
      <c r="E857" t="s">
        <v>4282</v>
      </c>
      <c r="F857" t="s">
        <v>3974</v>
      </c>
      <c r="G857" t="s">
        <v>3975</v>
      </c>
      <c r="H857" t="s">
        <v>4284</v>
      </c>
    </row>
    <row r="858" spans="1:8">
      <c r="A858">
        <v>11134076</v>
      </c>
      <c r="B858" t="s">
        <v>952</v>
      </c>
      <c r="C858" t="s">
        <v>1064</v>
      </c>
      <c r="D858" t="s">
        <v>1931</v>
      </c>
      <c r="E858" t="s">
        <v>4211</v>
      </c>
      <c r="F858" t="s">
        <v>4137</v>
      </c>
      <c r="G858" t="s">
        <v>4138</v>
      </c>
      <c r="H858" t="s">
        <v>4284</v>
      </c>
    </row>
    <row r="859" spans="1:8">
      <c r="A859">
        <v>11134082</v>
      </c>
      <c r="B859" t="s">
        <v>953</v>
      </c>
      <c r="C859" t="s">
        <v>1141</v>
      </c>
      <c r="D859" t="s">
        <v>1933</v>
      </c>
      <c r="E859" t="s">
        <v>4212</v>
      </c>
      <c r="F859" t="s">
        <v>4024</v>
      </c>
      <c r="G859" t="s">
        <v>4025</v>
      </c>
      <c r="H859" t="s">
        <v>4284</v>
      </c>
    </row>
    <row r="860" spans="1:8">
      <c r="A860">
        <v>11134088</v>
      </c>
      <c r="B860" t="s">
        <v>954</v>
      </c>
      <c r="C860" t="s">
        <v>1467</v>
      </c>
      <c r="D860" t="s">
        <v>1934</v>
      </c>
      <c r="E860" t="s">
        <v>4213</v>
      </c>
      <c r="F860" t="s">
        <v>4074</v>
      </c>
      <c r="G860" t="s">
        <v>4075</v>
      </c>
      <c r="H860" t="s">
        <v>4284</v>
      </c>
    </row>
    <row r="861" spans="1:8">
      <c r="A861">
        <v>11123343</v>
      </c>
      <c r="B861" t="s">
        <v>955</v>
      </c>
      <c r="C861" t="s">
        <v>1355</v>
      </c>
      <c r="D861" t="s">
        <v>1722</v>
      </c>
      <c r="E861" t="s">
        <v>4096</v>
      </c>
      <c r="F861" t="s">
        <v>4097</v>
      </c>
      <c r="G861" t="s">
        <v>4098</v>
      </c>
      <c r="H861" t="s">
        <v>4284</v>
      </c>
    </row>
    <row r="862" spans="1:8">
      <c r="A862">
        <v>11127801</v>
      </c>
      <c r="B862" t="s">
        <v>956</v>
      </c>
      <c r="C862" t="s">
        <v>1468</v>
      </c>
      <c r="D862" t="s">
        <v>1974</v>
      </c>
      <c r="E862" t="s">
        <v>4239</v>
      </c>
      <c r="F862" t="s">
        <v>4088</v>
      </c>
      <c r="G862" t="s">
        <v>4089</v>
      </c>
      <c r="H862" t="s">
        <v>4284</v>
      </c>
    </row>
    <row r="863" spans="1:8">
      <c r="A863">
        <v>11127807</v>
      </c>
      <c r="B863" t="s">
        <v>957</v>
      </c>
      <c r="C863" t="s">
        <v>1469</v>
      </c>
      <c r="D863" t="s">
        <v>1976</v>
      </c>
      <c r="E863" t="s">
        <v>4240</v>
      </c>
      <c r="F863" t="s">
        <v>4091</v>
      </c>
      <c r="G863" t="s">
        <v>4092</v>
      </c>
      <c r="H863" t="s">
        <v>4284</v>
      </c>
    </row>
    <row r="864" spans="1:8">
      <c r="A864">
        <v>11134115</v>
      </c>
      <c r="B864" t="s">
        <v>958</v>
      </c>
      <c r="C864" t="s">
        <v>1470</v>
      </c>
      <c r="D864" t="s">
        <v>2074</v>
      </c>
      <c r="E864" t="s">
        <v>4283</v>
      </c>
      <c r="F864" t="s">
        <v>3951</v>
      </c>
      <c r="G864" t="s">
        <v>3952</v>
      </c>
      <c r="H864" t="s">
        <v>4284</v>
      </c>
    </row>
    <row r="865" spans="1:8">
      <c r="A865" s="69">
        <v>11007539</v>
      </c>
      <c r="B865" s="69" t="s">
        <v>4605</v>
      </c>
      <c r="C865" s="69" t="s">
        <v>5613</v>
      </c>
      <c r="D865" t="s">
        <v>6220</v>
      </c>
      <c r="E865" t="s">
        <v>5949</v>
      </c>
      <c r="H865" t="s">
        <v>4284</v>
      </c>
    </row>
    <row r="866" spans="1:8">
      <c r="A866">
        <v>11007537</v>
      </c>
      <c r="B866" t="s">
        <v>4606</v>
      </c>
      <c r="C866" t="s">
        <v>5614</v>
      </c>
      <c r="D866" t="s">
        <v>6220</v>
      </c>
      <c r="E866" t="s">
        <v>5949</v>
      </c>
      <c r="H866" t="s">
        <v>4284</v>
      </c>
    </row>
    <row r="867" spans="1:8">
      <c r="A867" t="s">
        <v>4604</v>
      </c>
      <c r="B867" t="s">
        <v>4607</v>
      </c>
      <c r="C867" t="s">
        <v>5615</v>
      </c>
      <c r="D867" t="s">
        <v>6221</v>
      </c>
      <c r="E867" t="s">
        <v>5949</v>
      </c>
      <c r="H867" t="s">
        <v>4284</v>
      </c>
    </row>
    <row r="868" spans="1:8">
      <c r="B868" t="s">
        <v>4608</v>
      </c>
      <c r="C868" t="s">
        <v>1195</v>
      </c>
      <c r="D868" t="s">
        <v>6222</v>
      </c>
      <c r="E868" t="s">
        <v>6223</v>
      </c>
      <c r="H868" t="s">
        <v>4284</v>
      </c>
    </row>
    <row r="869" spans="1:8">
      <c r="A869" t="s">
        <v>4604</v>
      </c>
      <c r="B869" t="s">
        <v>4609</v>
      </c>
      <c r="C869" t="s">
        <v>1196</v>
      </c>
      <c r="D869" t="s">
        <v>6222</v>
      </c>
      <c r="E869" t="s">
        <v>6223</v>
      </c>
      <c r="H869" t="s">
        <v>4284</v>
      </c>
    </row>
    <row r="870" spans="1:8">
      <c r="A870" t="s">
        <v>4604</v>
      </c>
      <c r="B870" t="s">
        <v>4610</v>
      </c>
      <c r="C870" t="s">
        <v>1177</v>
      </c>
      <c r="D870" t="s">
        <v>6224</v>
      </c>
      <c r="E870" t="s">
        <v>6225</v>
      </c>
      <c r="H870" t="s">
        <v>4284</v>
      </c>
    </row>
    <row r="871" spans="1:8">
      <c r="A871" t="s">
        <v>4604</v>
      </c>
      <c r="B871" t="s">
        <v>4611</v>
      </c>
      <c r="C871" t="s">
        <v>1081</v>
      </c>
      <c r="D871" t="s">
        <v>6224</v>
      </c>
      <c r="E871" t="s">
        <v>6225</v>
      </c>
      <c r="H871" t="s">
        <v>4284</v>
      </c>
    </row>
    <row r="872" spans="1:8">
      <c r="A872" t="s">
        <v>4604</v>
      </c>
      <c r="B872" t="s">
        <v>4612</v>
      </c>
      <c r="C872" t="s">
        <v>1197</v>
      </c>
      <c r="D872" t="s">
        <v>6226</v>
      </c>
      <c r="E872" t="s">
        <v>6227</v>
      </c>
      <c r="H872" t="s">
        <v>4284</v>
      </c>
    </row>
    <row r="873" spans="1:8">
      <c r="A873" t="s">
        <v>4604</v>
      </c>
      <c r="B873" t="s">
        <v>4613</v>
      </c>
      <c r="C873" t="s">
        <v>1006</v>
      </c>
      <c r="D873" t="s">
        <v>6226</v>
      </c>
      <c r="E873" t="s">
        <v>6227</v>
      </c>
      <c r="H873" t="s">
        <v>4284</v>
      </c>
    </row>
    <row r="874" spans="1:8">
      <c r="A874" t="s">
        <v>4604</v>
      </c>
      <c r="B874" t="s">
        <v>4614</v>
      </c>
      <c r="C874" t="s">
        <v>5616</v>
      </c>
      <c r="D874" t="s">
        <v>6228</v>
      </c>
      <c r="E874" t="s">
        <v>6229</v>
      </c>
      <c r="H874" t="s">
        <v>4284</v>
      </c>
    </row>
    <row r="875" spans="1:8">
      <c r="A875" t="s">
        <v>4604</v>
      </c>
      <c r="B875" t="s">
        <v>4615</v>
      </c>
      <c r="C875" t="s">
        <v>5617</v>
      </c>
      <c r="D875" t="s">
        <v>6228</v>
      </c>
      <c r="E875" t="s">
        <v>6229</v>
      </c>
      <c r="H875" t="s">
        <v>4284</v>
      </c>
    </row>
    <row r="876" spans="1:8">
      <c r="A876" t="s">
        <v>4604</v>
      </c>
      <c r="B876" t="s">
        <v>4616</v>
      </c>
      <c r="C876" t="s">
        <v>5618</v>
      </c>
      <c r="D876" t="s">
        <v>6230</v>
      </c>
      <c r="E876" t="s">
        <v>5949</v>
      </c>
      <c r="H876" t="s">
        <v>4284</v>
      </c>
    </row>
    <row r="877" spans="1:8">
      <c r="A877">
        <v>11007178</v>
      </c>
      <c r="B877" t="s">
        <v>4617</v>
      </c>
      <c r="C877" t="s">
        <v>5618</v>
      </c>
      <c r="D877" t="s">
        <v>6231</v>
      </c>
      <c r="E877" t="s">
        <v>5949</v>
      </c>
      <c r="H877" t="s">
        <v>4284</v>
      </c>
    </row>
    <row r="878" spans="1:8">
      <c r="A878" t="s">
        <v>4604</v>
      </c>
      <c r="B878" t="s">
        <v>4618</v>
      </c>
      <c r="C878" t="s">
        <v>5619</v>
      </c>
      <c r="D878" t="s">
        <v>6230</v>
      </c>
      <c r="E878" t="s">
        <v>5949</v>
      </c>
      <c r="H878" t="s">
        <v>4284</v>
      </c>
    </row>
    <row r="879" spans="1:8">
      <c r="A879" t="s">
        <v>4604</v>
      </c>
      <c r="B879" t="s">
        <v>4619</v>
      </c>
      <c r="C879" t="s">
        <v>5619</v>
      </c>
      <c r="D879" t="s">
        <v>6231</v>
      </c>
      <c r="E879" t="s">
        <v>5949</v>
      </c>
      <c r="H879" t="s">
        <v>4284</v>
      </c>
    </row>
    <row r="880" spans="1:8">
      <c r="A880" t="s">
        <v>4604</v>
      </c>
      <c r="B880" t="s">
        <v>4620</v>
      </c>
      <c r="C880" t="s">
        <v>5620</v>
      </c>
      <c r="D880" t="s">
        <v>6232</v>
      </c>
      <c r="E880" t="s">
        <v>5949</v>
      </c>
      <c r="H880" t="s">
        <v>4284</v>
      </c>
    </row>
    <row r="881" spans="1:8">
      <c r="A881">
        <v>11007176</v>
      </c>
      <c r="B881" t="s">
        <v>4621</v>
      </c>
      <c r="C881" t="s">
        <v>5620</v>
      </c>
      <c r="D881" t="s">
        <v>6233</v>
      </c>
      <c r="E881" t="s">
        <v>5949</v>
      </c>
      <c r="H881" t="s">
        <v>4284</v>
      </c>
    </row>
    <row r="882" spans="1:8">
      <c r="A882" t="s">
        <v>4604</v>
      </c>
      <c r="B882" t="s">
        <v>4622</v>
      </c>
      <c r="C882" t="s">
        <v>5621</v>
      </c>
      <c r="D882">
        <v>0</v>
      </c>
      <c r="E882">
        <v>0</v>
      </c>
      <c r="H882" t="s">
        <v>4284</v>
      </c>
    </row>
    <row r="883" spans="1:8">
      <c r="A883" t="s">
        <v>4604</v>
      </c>
      <c r="B883" t="s">
        <v>4623</v>
      </c>
      <c r="C883" t="s">
        <v>5621</v>
      </c>
      <c r="D883" t="s">
        <v>6233</v>
      </c>
      <c r="E883" t="s">
        <v>5949</v>
      </c>
      <c r="H883" t="s">
        <v>4284</v>
      </c>
    </row>
    <row r="884" spans="1:8">
      <c r="A884" t="s">
        <v>4604</v>
      </c>
      <c r="B884" t="s">
        <v>4624</v>
      </c>
      <c r="C884" t="s">
        <v>5622</v>
      </c>
      <c r="D884" t="s">
        <v>6232</v>
      </c>
      <c r="E884" t="s">
        <v>5949</v>
      </c>
      <c r="H884" t="s">
        <v>4284</v>
      </c>
    </row>
    <row r="885" spans="1:8">
      <c r="A885">
        <v>11007174</v>
      </c>
      <c r="B885" t="s">
        <v>4625</v>
      </c>
      <c r="C885" t="s">
        <v>5622</v>
      </c>
      <c r="D885" t="s">
        <v>6233</v>
      </c>
      <c r="E885" t="s">
        <v>5949</v>
      </c>
      <c r="H885" t="s">
        <v>4284</v>
      </c>
    </row>
    <row r="886" spans="1:8">
      <c r="A886" t="s">
        <v>4604</v>
      </c>
      <c r="B886" t="s">
        <v>4626</v>
      </c>
      <c r="C886" t="s">
        <v>5623</v>
      </c>
      <c r="D886">
        <v>0</v>
      </c>
      <c r="E886">
        <v>0</v>
      </c>
      <c r="H886" t="s">
        <v>4284</v>
      </c>
    </row>
    <row r="887" spans="1:8">
      <c r="A887" t="s">
        <v>4604</v>
      </c>
      <c r="B887" t="s">
        <v>4627</v>
      </c>
      <c r="C887" t="s">
        <v>5623</v>
      </c>
      <c r="D887" t="s">
        <v>6233</v>
      </c>
      <c r="E887" t="s">
        <v>5949</v>
      </c>
      <c r="H887" t="s">
        <v>4284</v>
      </c>
    </row>
    <row r="888" spans="1:8">
      <c r="A888" t="s">
        <v>4604</v>
      </c>
      <c r="B888" t="s">
        <v>4628</v>
      </c>
      <c r="C888" t="s">
        <v>5624</v>
      </c>
      <c r="D888" t="s">
        <v>6234</v>
      </c>
      <c r="E888" t="s">
        <v>5949</v>
      </c>
      <c r="H888" t="s">
        <v>4284</v>
      </c>
    </row>
    <row r="889" spans="1:8">
      <c r="A889" t="s">
        <v>4604</v>
      </c>
      <c r="B889" t="s">
        <v>4629</v>
      </c>
      <c r="C889" t="s">
        <v>5624</v>
      </c>
      <c r="D889" t="s">
        <v>6235</v>
      </c>
      <c r="E889" t="s">
        <v>5949</v>
      </c>
      <c r="H889" t="s">
        <v>4284</v>
      </c>
    </row>
    <row r="890" spans="1:8">
      <c r="A890" t="s">
        <v>4604</v>
      </c>
      <c r="B890" t="s">
        <v>4630</v>
      </c>
      <c r="C890" t="s">
        <v>5625</v>
      </c>
      <c r="D890" t="s">
        <v>6234</v>
      </c>
      <c r="E890" t="s">
        <v>5949</v>
      </c>
      <c r="H890" t="s">
        <v>4284</v>
      </c>
    </row>
    <row r="891" spans="1:8">
      <c r="A891" t="s">
        <v>4604</v>
      </c>
      <c r="B891" t="s">
        <v>4631</v>
      </c>
      <c r="C891" t="s">
        <v>5625</v>
      </c>
      <c r="D891" t="s">
        <v>6235</v>
      </c>
      <c r="E891" t="s">
        <v>5949</v>
      </c>
      <c r="H891" t="s">
        <v>4284</v>
      </c>
    </row>
    <row r="892" spans="1:8">
      <c r="A892" t="s">
        <v>4604</v>
      </c>
      <c r="B892" t="s">
        <v>4632</v>
      </c>
      <c r="C892" t="s">
        <v>5626</v>
      </c>
      <c r="D892">
        <v>0</v>
      </c>
      <c r="E892">
        <v>0</v>
      </c>
      <c r="H892" t="s">
        <v>4284</v>
      </c>
    </row>
    <row r="893" spans="1:8">
      <c r="A893" t="s">
        <v>4604</v>
      </c>
      <c r="B893" t="s">
        <v>4633</v>
      </c>
      <c r="C893" t="s">
        <v>5626</v>
      </c>
      <c r="D893" t="s">
        <v>6235</v>
      </c>
      <c r="E893" t="s">
        <v>5949</v>
      </c>
      <c r="H893" t="s">
        <v>4284</v>
      </c>
    </row>
    <row r="894" spans="1:8">
      <c r="A894" t="s">
        <v>4604</v>
      </c>
      <c r="B894" t="s">
        <v>4634</v>
      </c>
      <c r="C894" t="s">
        <v>5627</v>
      </c>
      <c r="D894">
        <v>0</v>
      </c>
      <c r="E894">
        <v>0</v>
      </c>
      <c r="H894" t="s">
        <v>4284</v>
      </c>
    </row>
    <row r="895" spans="1:8">
      <c r="A895" t="s">
        <v>4604</v>
      </c>
      <c r="B895" t="s">
        <v>4635</v>
      </c>
      <c r="C895" t="s">
        <v>5627</v>
      </c>
      <c r="D895" t="s">
        <v>6235</v>
      </c>
      <c r="E895" t="s">
        <v>5949</v>
      </c>
      <c r="H895" t="s">
        <v>4284</v>
      </c>
    </row>
    <row r="896" spans="1:8">
      <c r="A896" t="s">
        <v>4604</v>
      </c>
      <c r="B896" t="s">
        <v>4636</v>
      </c>
      <c r="C896" t="s">
        <v>5628</v>
      </c>
      <c r="D896" t="s">
        <v>6236</v>
      </c>
      <c r="E896" t="s">
        <v>5949</v>
      </c>
      <c r="H896" t="s">
        <v>4284</v>
      </c>
    </row>
    <row r="897" spans="1:8">
      <c r="A897">
        <v>11007172</v>
      </c>
      <c r="B897" t="s">
        <v>4637</v>
      </c>
      <c r="C897" t="s">
        <v>5628</v>
      </c>
      <c r="D897" t="s">
        <v>6237</v>
      </c>
      <c r="E897" t="s">
        <v>5949</v>
      </c>
      <c r="H897" t="s">
        <v>4284</v>
      </c>
    </row>
    <row r="898" spans="1:8">
      <c r="A898" t="s">
        <v>4604</v>
      </c>
      <c r="B898" t="s">
        <v>4638</v>
      </c>
      <c r="C898" t="s">
        <v>5629</v>
      </c>
      <c r="D898" t="s">
        <v>6238</v>
      </c>
      <c r="E898" t="s">
        <v>5949</v>
      </c>
      <c r="H898" t="s">
        <v>4284</v>
      </c>
    </row>
    <row r="899" spans="1:8">
      <c r="A899" t="s">
        <v>4604</v>
      </c>
      <c r="B899" t="s">
        <v>4639</v>
      </c>
      <c r="C899" t="s">
        <v>5629</v>
      </c>
      <c r="D899" t="s">
        <v>6239</v>
      </c>
      <c r="E899" t="s">
        <v>5949</v>
      </c>
      <c r="H899" t="s">
        <v>4284</v>
      </c>
    </row>
    <row r="900" spans="1:8">
      <c r="A900" t="s">
        <v>4604</v>
      </c>
      <c r="B900" t="s">
        <v>4640</v>
      </c>
      <c r="C900" t="s">
        <v>5630</v>
      </c>
      <c r="D900" t="s">
        <v>6238</v>
      </c>
      <c r="E900" t="s">
        <v>5949</v>
      </c>
      <c r="H900" t="s">
        <v>4284</v>
      </c>
    </row>
    <row r="901" spans="1:8">
      <c r="A901">
        <v>11007170</v>
      </c>
      <c r="B901" t="s">
        <v>4641</v>
      </c>
      <c r="C901" t="s">
        <v>5630</v>
      </c>
      <c r="D901" t="s">
        <v>6239</v>
      </c>
      <c r="E901" t="s">
        <v>5949</v>
      </c>
      <c r="H901" t="s">
        <v>4284</v>
      </c>
    </row>
    <row r="902" spans="1:8">
      <c r="A902" t="s">
        <v>4604</v>
      </c>
      <c r="B902" t="s">
        <v>4642</v>
      </c>
      <c r="C902" t="s">
        <v>5631</v>
      </c>
      <c r="D902" t="s">
        <v>6238</v>
      </c>
      <c r="E902" t="s">
        <v>5949</v>
      </c>
      <c r="H902" t="s">
        <v>4284</v>
      </c>
    </row>
    <row r="903" spans="1:8">
      <c r="A903" t="s">
        <v>4604</v>
      </c>
      <c r="B903" t="s">
        <v>4643</v>
      </c>
      <c r="C903" t="s">
        <v>5631</v>
      </c>
      <c r="D903" t="s">
        <v>6239</v>
      </c>
      <c r="E903" t="s">
        <v>5949</v>
      </c>
      <c r="H903" t="s">
        <v>4284</v>
      </c>
    </row>
    <row r="904" spans="1:8">
      <c r="A904" t="s">
        <v>4604</v>
      </c>
      <c r="B904" t="s">
        <v>4644</v>
      </c>
      <c r="C904" t="s">
        <v>5632</v>
      </c>
      <c r="D904" t="s">
        <v>6240</v>
      </c>
      <c r="E904" t="s">
        <v>5949</v>
      </c>
      <c r="H904" t="s">
        <v>4284</v>
      </c>
    </row>
    <row r="905" spans="1:8">
      <c r="A905">
        <v>11007169</v>
      </c>
      <c r="B905" t="s">
        <v>4645</v>
      </c>
      <c r="C905" t="s">
        <v>5632</v>
      </c>
      <c r="D905" t="s">
        <v>6241</v>
      </c>
      <c r="E905" t="s">
        <v>5949</v>
      </c>
      <c r="H905" t="s">
        <v>4284</v>
      </c>
    </row>
    <row r="906" spans="1:8">
      <c r="A906" t="s">
        <v>4604</v>
      </c>
      <c r="B906" t="s">
        <v>4646</v>
      </c>
      <c r="C906" t="s">
        <v>5633</v>
      </c>
      <c r="D906" t="s">
        <v>6240</v>
      </c>
      <c r="E906" t="s">
        <v>5949</v>
      </c>
      <c r="H906" t="s">
        <v>4284</v>
      </c>
    </row>
    <row r="907" spans="1:8">
      <c r="A907" t="s">
        <v>4604</v>
      </c>
      <c r="B907" t="s">
        <v>4647</v>
      </c>
      <c r="C907" t="s">
        <v>5633</v>
      </c>
      <c r="D907" t="s">
        <v>6241</v>
      </c>
      <c r="E907" t="s">
        <v>5949</v>
      </c>
      <c r="H907" t="s">
        <v>4284</v>
      </c>
    </row>
    <row r="908" spans="1:8">
      <c r="A908" t="s">
        <v>4604</v>
      </c>
      <c r="B908" t="s">
        <v>4648</v>
      </c>
      <c r="C908" t="s">
        <v>5634</v>
      </c>
      <c r="D908" t="s">
        <v>6242</v>
      </c>
      <c r="E908" t="s">
        <v>5949</v>
      </c>
      <c r="H908" t="s">
        <v>4284</v>
      </c>
    </row>
    <row r="909" spans="1:8">
      <c r="A909">
        <v>11007167</v>
      </c>
      <c r="B909" t="s">
        <v>4649</v>
      </c>
      <c r="C909" t="s">
        <v>5634</v>
      </c>
      <c r="D909" t="s">
        <v>6243</v>
      </c>
      <c r="E909" t="s">
        <v>5949</v>
      </c>
      <c r="H909" t="s">
        <v>4284</v>
      </c>
    </row>
    <row r="910" spans="1:8">
      <c r="A910" t="s">
        <v>4604</v>
      </c>
      <c r="B910" t="s">
        <v>4650</v>
      </c>
      <c r="C910" t="s">
        <v>5635</v>
      </c>
      <c r="D910" t="s">
        <v>6242</v>
      </c>
      <c r="E910" t="s">
        <v>5949</v>
      </c>
      <c r="H910" t="s">
        <v>4284</v>
      </c>
    </row>
    <row r="911" spans="1:8">
      <c r="A911">
        <v>11007166</v>
      </c>
      <c r="B911" t="s">
        <v>4651</v>
      </c>
      <c r="C911" t="s">
        <v>5635</v>
      </c>
      <c r="D911" t="s">
        <v>6243</v>
      </c>
      <c r="E911" t="s">
        <v>5949</v>
      </c>
      <c r="H911" t="s">
        <v>4284</v>
      </c>
    </row>
    <row r="912" spans="1:8">
      <c r="A912" t="s">
        <v>4604</v>
      </c>
      <c r="B912" t="s">
        <v>4652</v>
      </c>
      <c r="C912" t="s">
        <v>5636</v>
      </c>
      <c r="D912" t="s">
        <v>6242</v>
      </c>
      <c r="E912" t="s">
        <v>5949</v>
      </c>
      <c r="H912" t="s">
        <v>4284</v>
      </c>
    </row>
    <row r="913" spans="1:8">
      <c r="A913">
        <v>11007165</v>
      </c>
      <c r="B913" t="s">
        <v>4653</v>
      </c>
      <c r="C913" t="s">
        <v>5636</v>
      </c>
      <c r="D913" t="s">
        <v>6243</v>
      </c>
      <c r="E913" t="s">
        <v>5949</v>
      </c>
      <c r="H913" t="s">
        <v>4284</v>
      </c>
    </row>
    <row r="914" spans="1:8">
      <c r="A914" t="s">
        <v>4604</v>
      </c>
      <c r="B914" t="s">
        <v>4654</v>
      </c>
      <c r="C914" t="s">
        <v>5637</v>
      </c>
      <c r="D914" t="s">
        <v>6242</v>
      </c>
      <c r="E914" t="s">
        <v>5949</v>
      </c>
      <c r="H914" t="s">
        <v>4284</v>
      </c>
    </row>
    <row r="915" spans="1:8">
      <c r="A915">
        <v>11007164</v>
      </c>
      <c r="B915" t="s">
        <v>4655</v>
      </c>
      <c r="C915" t="s">
        <v>5637</v>
      </c>
      <c r="D915" t="s">
        <v>6243</v>
      </c>
      <c r="E915" t="s">
        <v>5949</v>
      </c>
      <c r="H915" t="s">
        <v>4284</v>
      </c>
    </row>
    <row r="916" spans="1:8">
      <c r="A916" t="s">
        <v>4604</v>
      </c>
      <c r="B916" t="s">
        <v>4656</v>
      </c>
      <c r="C916" t="s">
        <v>5638</v>
      </c>
      <c r="D916">
        <v>0</v>
      </c>
      <c r="E916">
        <v>0</v>
      </c>
      <c r="H916" t="s">
        <v>4284</v>
      </c>
    </row>
    <row r="917" spans="1:8">
      <c r="A917" t="s">
        <v>4604</v>
      </c>
      <c r="B917" t="s">
        <v>4657</v>
      </c>
      <c r="C917" t="s">
        <v>5638</v>
      </c>
      <c r="D917" t="s">
        <v>6244</v>
      </c>
      <c r="E917" t="s">
        <v>5949</v>
      </c>
      <c r="H917" t="s">
        <v>4284</v>
      </c>
    </row>
    <row r="918" spans="1:8">
      <c r="A918" t="s">
        <v>4604</v>
      </c>
      <c r="B918" t="s">
        <v>4658</v>
      </c>
      <c r="C918" t="s">
        <v>5639</v>
      </c>
      <c r="D918">
        <v>0</v>
      </c>
      <c r="E918">
        <v>0</v>
      </c>
      <c r="H918" t="s">
        <v>4284</v>
      </c>
    </row>
    <row r="919" spans="1:8">
      <c r="A919" t="s">
        <v>4604</v>
      </c>
      <c r="B919" t="s">
        <v>4659</v>
      </c>
      <c r="C919" t="s">
        <v>5639</v>
      </c>
      <c r="D919" t="s">
        <v>6244</v>
      </c>
      <c r="E919" t="s">
        <v>5949</v>
      </c>
      <c r="H919" t="s">
        <v>4284</v>
      </c>
    </row>
    <row r="920" spans="1:8">
      <c r="A920" t="s">
        <v>4604</v>
      </c>
      <c r="B920" t="s">
        <v>4660</v>
      </c>
      <c r="C920" t="s">
        <v>5640</v>
      </c>
      <c r="D920" t="s">
        <v>6245</v>
      </c>
      <c r="E920" t="s">
        <v>5949</v>
      </c>
      <c r="H920" t="s">
        <v>4284</v>
      </c>
    </row>
    <row r="921" spans="1:8">
      <c r="A921">
        <v>11007163</v>
      </c>
      <c r="B921" t="s">
        <v>4661</v>
      </c>
      <c r="C921" t="s">
        <v>5640</v>
      </c>
      <c r="D921" t="s">
        <v>6246</v>
      </c>
      <c r="E921" t="s">
        <v>5949</v>
      </c>
      <c r="H921" t="s">
        <v>4284</v>
      </c>
    </row>
    <row r="922" spans="1:8">
      <c r="A922" t="s">
        <v>4604</v>
      </c>
      <c r="B922" t="s">
        <v>4662</v>
      </c>
      <c r="C922" t="s">
        <v>5641</v>
      </c>
      <c r="D922">
        <v>0</v>
      </c>
      <c r="E922">
        <v>0</v>
      </c>
      <c r="H922" t="s">
        <v>4284</v>
      </c>
    </row>
    <row r="923" spans="1:8">
      <c r="A923" t="s">
        <v>4604</v>
      </c>
      <c r="B923" t="s">
        <v>4663</v>
      </c>
      <c r="C923" t="s">
        <v>5641</v>
      </c>
      <c r="D923" t="s">
        <v>6246</v>
      </c>
      <c r="E923" t="s">
        <v>5949</v>
      </c>
      <c r="H923" t="s">
        <v>4284</v>
      </c>
    </row>
    <row r="924" spans="1:8">
      <c r="A924" t="s">
        <v>4604</v>
      </c>
      <c r="B924" t="s">
        <v>4664</v>
      </c>
      <c r="C924" t="s">
        <v>5642</v>
      </c>
      <c r="D924" t="s">
        <v>6246</v>
      </c>
      <c r="E924" t="s">
        <v>5949</v>
      </c>
      <c r="H924" t="s">
        <v>4284</v>
      </c>
    </row>
    <row r="925" spans="1:8">
      <c r="A925" t="s">
        <v>4604</v>
      </c>
      <c r="B925" t="s">
        <v>4665</v>
      </c>
      <c r="C925" t="s">
        <v>5643</v>
      </c>
      <c r="D925" t="s">
        <v>6246</v>
      </c>
      <c r="E925" t="s">
        <v>5949</v>
      </c>
      <c r="H925" t="s">
        <v>4284</v>
      </c>
    </row>
    <row r="926" spans="1:8">
      <c r="A926">
        <v>11007162</v>
      </c>
      <c r="B926" t="s">
        <v>4666</v>
      </c>
      <c r="C926" t="s">
        <v>5644</v>
      </c>
      <c r="D926" t="s">
        <v>6247</v>
      </c>
      <c r="E926" t="s">
        <v>5949</v>
      </c>
      <c r="H926" t="s">
        <v>4284</v>
      </c>
    </row>
    <row r="927" spans="1:8">
      <c r="A927">
        <v>11007160</v>
      </c>
      <c r="B927" t="s">
        <v>4667</v>
      </c>
      <c r="C927" t="s">
        <v>5645</v>
      </c>
      <c r="D927" t="s">
        <v>6247</v>
      </c>
      <c r="E927" t="s">
        <v>5949</v>
      </c>
      <c r="H927" t="s">
        <v>4284</v>
      </c>
    </row>
    <row r="928" spans="1:8">
      <c r="A928" t="s">
        <v>4604</v>
      </c>
      <c r="B928" t="s">
        <v>4668</v>
      </c>
      <c r="C928" t="s">
        <v>5646</v>
      </c>
      <c r="D928" t="s">
        <v>6247</v>
      </c>
      <c r="E928" t="s">
        <v>5949</v>
      </c>
      <c r="H928" t="s">
        <v>4284</v>
      </c>
    </row>
    <row r="929" spans="1:8">
      <c r="A929" t="s">
        <v>4604</v>
      </c>
      <c r="B929" t="s">
        <v>4669</v>
      </c>
      <c r="C929" t="s">
        <v>5647</v>
      </c>
      <c r="D929" t="s">
        <v>6247</v>
      </c>
      <c r="E929" t="s">
        <v>5949</v>
      </c>
      <c r="H929" t="s">
        <v>4284</v>
      </c>
    </row>
    <row r="930" spans="1:8">
      <c r="A930">
        <v>11007159</v>
      </c>
      <c r="B930" t="s">
        <v>4670</v>
      </c>
      <c r="C930" t="s">
        <v>5648</v>
      </c>
      <c r="D930" t="s">
        <v>6247</v>
      </c>
      <c r="E930" t="s">
        <v>5949</v>
      </c>
      <c r="H930" t="s">
        <v>4284</v>
      </c>
    </row>
    <row r="931" spans="1:8">
      <c r="A931" t="s">
        <v>4604</v>
      </c>
      <c r="B931" t="s">
        <v>4671</v>
      </c>
      <c r="C931" t="s">
        <v>5649</v>
      </c>
      <c r="D931" t="s">
        <v>6247</v>
      </c>
      <c r="E931" t="s">
        <v>5949</v>
      </c>
      <c r="H931" t="s">
        <v>4284</v>
      </c>
    </row>
    <row r="932" spans="1:8">
      <c r="A932">
        <v>11007157</v>
      </c>
      <c r="B932" t="s">
        <v>4672</v>
      </c>
      <c r="C932" t="s">
        <v>5650</v>
      </c>
      <c r="D932" t="s">
        <v>6247</v>
      </c>
      <c r="E932" t="s">
        <v>5949</v>
      </c>
      <c r="H932" t="s">
        <v>4284</v>
      </c>
    </row>
    <row r="933" spans="1:8">
      <c r="A933">
        <v>11007155</v>
      </c>
      <c r="B933" t="s">
        <v>4673</v>
      </c>
      <c r="C933" t="s">
        <v>5651</v>
      </c>
      <c r="D933" t="s">
        <v>6247</v>
      </c>
      <c r="E933" t="s">
        <v>5949</v>
      </c>
      <c r="H933" t="s">
        <v>4284</v>
      </c>
    </row>
    <row r="934" spans="1:8">
      <c r="A934" t="s">
        <v>4604</v>
      </c>
      <c r="B934" t="s">
        <v>4674</v>
      </c>
      <c r="C934" t="s">
        <v>5652</v>
      </c>
      <c r="D934" t="s">
        <v>6248</v>
      </c>
      <c r="E934" t="s">
        <v>5949</v>
      </c>
      <c r="H934" t="s">
        <v>4284</v>
      </c>
    </row>
    <row r="935" spans="1:8">
      <c r="A935" t="s">
        <v>4604</v>
      </c>
      <c r="B935" t="s">
        <v>4675</v>
      </c>
      <c r="C935" t="s">
        <v>5653</v>
      </c>
      <c r="D935" t="s">
        <v>6248</v>
      </c>
      <c r="E935" t="s">
        <v>5949</v>
      </c>
      <c r="H935" t="s">
        <v>4284</v>
      </c>
    </row>
    <row r="936" spans="1:8">
      <c r="A936" t="s">
        <v>4604</v>
      </c>
      <c r="B936" t="s">
        <v>4676</v>
      </c>
      <c r="C936" t="s">
        <v>5654</v>
      </c>
      <c r="D936" t="s">
        <v>6248</v>
      </c>
      <c r="E936" t="s">
        <v>5949</v>
      </c>
      <c r="H936" t="s">
        <v>4284</v>
      </c>
    </row>
    <row r="937" spans="1:8">
      <c r="A937" t="s">
        <v>4604</v>
      </c>
      <c r="B937" t="s">
        <v>4677</v>
      </c>
      <c r="C937" t="s">
        <v>5655</v>
      </c>
      <c r="D937" t="s">
        <v>6248</v>
      </c>
      <c r="E937" t="s">
        <v>5949</v>
      </c>
      <c r="H937" t="s">
        <v>4284</v>
      </c>
    </row>
    <row r="938" spans="1:8">
      <c r="A938">
        <v>11007153</v>
      </c>
      <c r="B938" t="s">
        <v>4678</v>
      </c>
      <c r="C938" t="s">
        <v>5656</v>
      </c>
      <c r="D938" t="s">
        <v>6249</v>
      </c>
      <c r="E938" t="s">
        <v>5949</v>
      </c>
      <c r="H938" t="s">
        <v>4284</v>
      </c>
    </row>
    <row r="939" spans="1:8">
      <c r="A939" t="s">
        <v>4604</v>
      </c>
      <c r="B939" t="s">
        <v>4679</v>
      </c>
      <c r="C939" t="s">
        <v>5657</v>
      </c>
      <c r="D939" t="s">
        <v>6249</v>
      </c>
      <c r="E939" t="s">
        <v>5949</v>
      </c>
      <c r="H939" t="s">
        <v>4284</v>
      </c>
    </row>
    <row r="940" spans="1:8">
      <c r="A940">
        <v>11007152</v>
      </c>
      <c r="B940" t="s">
        <v>4680</v>
      </c>
      <c r="C940" t="s">
        <v>5658</v>
      </c>
      <c r="D940" t="s">
        <v>6249</v>
      </c>
      <c r="E940" t="s">
        <v>5949</v>
      </c>
      <c r="H940" t="s">
        <v>4284</v>
      </c>
    </row>
    <row r="941" spans="1:8">
      <c r="A941" t="s">
        <v>4604</v>
      </c>
      <c r="B941" t="s">
        <v>4681</v>
      </c>
      <c r="C941" t="s">
        <v>5659</v>
      </c>
      <c r="D941" t="s">
        <v>6249</v>
      </c>
      <c r="E941" t="s">
        <v>5949</v>
      </c>
      <c r="H941" t="s">
        <v>4284</v>
      </c>
    </row>
    <row r="942" spans="1:8">
      <c r="A942">
        <v>11007151</v>
      </c>
      <c r="B942" t="s">
        <v>4682</v>
      </c>
      <c r="C942" t="s">
        <v>5660</v>
      </c>
      <c r="D942" t="s">
        <v>6250</v>
      </c>
      <c r="E942" t="s">
        <v>5949</v>
      </c>
      <c r="H942" t="s">
        <v>4284</v>
      </c>
    </row>
    <row r="943" spans="1:8">
      <c r="A943" t="s">
        <v>4604</v>
      </c>
      <c r="B943" t="s">
        <v>4683</v>
      </c>
      <c r="C943" t="s">
        <v>5661</v>
      </c>
      <c r="D943" t="s">
        <v>6250</v>
      </c>
      <c r="E943" t="s">
        <v>5949</v>
      </c>
      <c r="H943" t="s">
        <v>4284</v>
      </c>
    </row>
    <row r="944" spans="1:8">
      <c r="A944">
        <v>11007149</v>
      </c>
      <c r="B944" t="s">
        <v>4684</v>
      </c>
      <c r="C944" t="s">
        <v>5662</v>
      </c>
      <c r="D944" t="s">
        <v>6250</v>
      </c>
      <c r="E944" t="s">
        <v>5949</v>
      </c>
      <c r="H944" t="s">
        <v>4284</v>
      </c>
    </row>
    <row r="945" spans="1:8">
      <c r="A945" t="s">
        <v>4604</v>
      </c>
      <c r="B945" t="s">
        <v>4685</v>
      </c>
      <c r="C945" t="s">
        <v>5663</v>
      </c>
      <c r="D945" t="s">
        <v>6250</v>
      </c>
      <c r="E945" t="s">
        <v>5949</v>
      </c>
      <c r="H945" t="s">
        <v>4284</v>
      </c>
    </row>
    <row r="946" spans="1:8">
      <c r="A946" t="s">
        <v>4604</v>
      </c>
      <c r="B946" t="s">
        <v>4686</v>
      </c>
      <c r="C946" t="s">
        <v>5664</v>
      </c>
      <c r="D946" t="s">
        <v>6231</v>
      </c>
      <c r="E946" t="s">
        <v>5949</v>
      </c>
      <c r="H946" t="s">
        <v>4284</v>
      </c>
    </row>
    <row r="947" spans="1:8">
      <c r="A947" t="s">
        <v>4604</v>
      </c>
      <c r="B947" t="s">
        <v>4687</v>
      </c>
      <c r="C947" t="s">
        <v>5665</v>
      </c>
      <c r="D947" t="s">
        <v>6231</v>
      </c>
      <c r="E947" t="s">
        <v>5949</v>
      </c>
      <c r="H947" t="s">
        <v>4284</v>
      </c>
    </row>
    <row r="948" spans="1:8">
      <c r="A948">
        <v>11007148</v>
      </c>
      <c r="B948" t="s">
        <v>4688</v>
      </c>
      <c r="C948" t="s">
        <v>5666</v>
      </c>
      <c r="D948" t="s">
        <v>6221</v>
      </c>
      <c r="E948" t="s">
        <v>5949</v>
      </c>
      <c r="H948" t="s">
        <v>4284</v>
      </c>
    </row>
    <row r="949" spans="1:8">
      <c r="A949" t="s">
        <v>4604</v>
      </c>
      <c r="B949" t="s">
        <v>4689</v>
      </c>
      <c r="C949" t="s">
        <v>1216</v>
      </c>
      <c r="D949" t="s">
        <v>6251</v>
      </c>
      <c r="E949" t="s">
        <v>5949</v>
      </c>
      <c r="H949" t="s">
        <v>4284</v>
      </c>
    </row>
    <row r="950" spans="1:8">
      <c r="A950" t="s">
        <v>4604</v>
      </c>
      <c r="B950" t="s">
        <v>4690</v>
      </c>
      <c r="C950" t="s">
        <v>1216</v>
      </c>
      <c r="D950" t="s">
        <v>6252</v>
      </c>
      <c r="E950" t="s">
        <v>5949</v>
      </c>
      <c r="H950" t="s">
        <v>4284</v>
      </c>
    </row>
    <row r="951" spans="1:8">
      <c r="A951" t="s">
        <v>4604</v>
      </c>
      <c r="B951" t="s">
        <v>4691</v>
      </c>
      <c r="C951" t="s">
        <v>1030</v>
      </c>
      <c r="D951" t="s">
        <v>6251</v>
      </c>
      <c r="E951" t="s">
        <v>5949</v>
      </c>
      <c r="H951" t="s">
        <v>4284</v>
      </c>
    </row>
    <row r="952" spans="1:8">
      <c r="A952" t="s">
        <v>4604</v>
      </c>
      <c r="B952" t="s">
        <v>4692</v>
      </c>
      <c r="C952" t="s">
        <v>1030</v>
      </c>
      <c r="D952" t="s">
        <v>6252</v>
      </c>
      <c r="E952" t="s">
        <v>5949</v>
      </c>
      <c r="H952" t="s">
        <v>4284</v>
      </c>
    </row>
    <row r="953" spans="1:8">
      <c r="A953" t="s">
        <v>4604</v>
      </c>
      <c r="B953" t="s">
        <v>4693</v>
      </c>
      <c r="C953" t="s">
        <v>1031</v>
      </c>
      <c r="D953" t="s">
        <v>6252</v>
      </c>
      <c r="E953" t="s">
        <v>5949</v>
      </c>
      <c r="H953" t="s">
        <v>4284</v>
      </c>
    </row>
    <row r="954" spans="1:8">
      <c r="A954" t="s">
        <v>4604</v>
      </c>
      <c r="B954" t="s">
        <v>4694</v>
      </c>
      <c r="C954" t="s">
        <v>1032</v>
      </c>
      <c r="D954" t="s">
        <v>6252</v>
      </c>
      <c r="E954" t="s">
        <v>5949</v>
      </c>
      <c r="H954" t="s">
        <v>4284</v>
      </c>
    </row>
    <row r="955" spans="1:8">
      <c r="A955" t="s">
        <v>4604</v>
      </c>
      <c r="B955" t="s">
        <v>4695</v>
      </c>
      <c r="C955" t="s">
        <v>5667</v>
      </c>
      <c r="D955">
        <v>0</v>
      </c>
      <c r="E955">
        <v>0</v>
      </c>
      <c r="H955" t="s">
        <v>4284</v>
      </c>
    </row>
    <row r="956" spans="1:8">
      <c r="A956">
        <v>11007146</v>
      </c>
      <c r="B956" t="s">
        <v>4696</v>
      </c>
      <c r="C956" t="s">
        <v>5667</v>
      </c>
      <c r="D956" t="s">
        <v>6253</v>
      </c>
      <c r="E956" t="s">
        <v>6254</v>
      </c>
      <c r="H956" t="s">
        <v>4284</v>
      </c>
    </row>
    <row r="957" spans="1:8">
      <c r="A957" t="s">
        <v>4604</v>
      </c>
      <c r="B957" t="s">
        <v>4697</v>
      </c>
      <c r="C957" t="s">
        <v>5668</v>
      </c>
      <c r="D957">
        <v>0</v>
      </c>
      <c r="E957">
        <v>0</v>
      </c>
      <c r="H957" t="s">
        <v>4284</v>
      </c>
    </row>
    <row r="958" spans="1:8">
      <c r="A958">
        <v>11007144</v>
      </c>
      <c r="B958" t="s">
        <v>4698</v>
      </c>
      <c r="C958" t="s">
        <v>5668</v>
      </c>
      <c r="D958" t="s">
        <v>6253</v>
      </c>
      <c r="E958" t="s">
        <v>6254</v>
      </c>
      <c r="H958" t="s">
        <v>4284</v>
      </c>
    </row>
    <row r="959" spans="1:8">
      <c r="A959" t="s">
        <v>4604</v>
      </c>
      <c r="B959" t="s">
        <v>4699</v>
      </c>
      <c r="C959" t="s">
        <v>5667</v>
      </c>
      <c r="D959">
        <v>0</v>
      </c>
      <c r="E959">
        <v>0</v>
      </c>
      <c r="H959" t="s">
        <v>4284</v>
      </c>
    </row>
    <row r="960" spans="1:8">
      <c r="A960">
        <v>11007143</v>
      </c>
      <c r="B960" t="s">
        <v>4700</v>
      </c>
      <c r="C960" t="s">
        <v>5667</v>
      </c>
      <c r="D960" t="s">
        <v>6255</v>
      </c>
      <c r="E960" t="s">
        <v>5949</v>
      </c>
      <c r="H960" t="s">
        <v>4284</v>
      </c>
    </row>
    <row r="961" spans="1:8">
      <c r="A961" t="s">
        <v>4604</v>
      </c>
      <c r="B961" t="s">
        <v>4701</v>
      </c>
      <c r="C961" t="s">
        <v>5668</v>
      </c>
      <c r="D961">
        <v>0</v>
      </c>
      <c r="E961">
        <v>0</v>
      </c>
      <c r="H961" t="s">
        <v>4284</v>
      </c>
    </row>
    <row r="962" spans="1:8">
      <c r="A962" t="s">
        <v>4604</v>
      </c>
      <c r="B962" t="s">
        <v>4702</v>
      </c>
      <c r="C962" t="s">
        <v>5668</v>
      </c>
      <c r="D962" t="s">
        <v>6255</v>
      </c>
      <c r="E962" t="s">
        <v>5949</v>
      </c>
      <c r="H962" t="s">
        <v>4284</v>
      </c>
    </row>
    <row r="963" spans="1:8">
      <c r="A963" t="s">
        <v>4604</v>
      </c>
      <c r="B963" t="s">
        <v>4703</v>
      </c>
      <c r="C963" t="s">
        <v>5669</v>
      </c>
      <c r="D963" t="s">
        <v>6256</v>
      </c>
      <c r="E963" t="s">
        <v>6257</v>
      </c>
      <c r="H963" t="s">
        <v>4284</v>
      </c>
    </row>
    <row r="964" spans="1:8">
      <c r="A964" t="s">
        <v>4604</v>
      </c>
      <c r="B964" t="s">
        <v>4704</v>
      </c>
      <c r="C964" t="s">
        <v>1137</v>
      </c>
      <c r="D964" t="s">
        <v>6258</v>
      </c>
      <c r="E964" t="s">
        <v>6257</v>
      </c>
      <c r="H964" t="s">
        <v>4284</v>
      </c>
    </row>
    <row r="965" spans="1:8">
      <c r="A965" t="s">
        <v>4604</v>
      </c>
      <c r="B965" t="s">
        <v>4705</v>
      </c>
      <c r="C965" t="s">
        <v>5670</v>
      </c>
      <c r="D965" t="s">
        <v>6256</v>
      </c>
      <c r="E965" t="s">
        <v>6257</v>
      </c>
      <c r="H965" t="s">
        <v>4284</v>
      </c>
    </row>
    <row r="966" spans="1:8">
      <c r="A966" t="s">
        <v>4604</v>
      </c>
      <c r="B966" t="s">
        <v>4706</v>
      </c>
      <c r="C966" t="s">
        <v>1138</v>
      </c>
      <c r="D966">
        <v>0</v>
      </c>
      <c r="E966">
        <v>0</v>
      </c>
      <c r="H966" t="s">
        <v>4284</v>
      </c>
    </row>
    <row r="967" spans="1:8">
      <c r="A967" t="s">
        <v>4604</v>
      </c>
      <c r="B967" t="s">
        <v>4707</v>
      </c>
      <c r="C967" t="s">
        <v>5671</v>
      </c>
      <c r="D967" t="s">
        <v>6256</v>
      </c>
      <c r="E967" t="s">
        <v>6257</v>
      </c>
      <c r="H967" t="s">
        <v>4284</v>
      </c>
    </row>
    <row r="968" spans="1:8">
      <c r="A968" t="s">
        <v>4604</v>
      </c>
      <c r="B968" t="s">
        <v>4708</v>
      </c>
      <c r="C968" t="s">
        <v>5672</v>
      </c>
      <c r="D968">
        <v>0</v>
      </c>
      <c r="E968">
        <v>0</v>
      </c>
      <c r="H968" t="s">
        <v>4284</v>
      </c>
    </row>
    <row r="969" spans="1:8">
      <c r="A969" t="s">
        <v>4604</v>
      </c>
      <c r="B969" t="s">
        <v>4709</v>
      </c>
      <c r="C969" t="s">
        <v>5673</v>
      </c>
      <c r="D969" t="s">
        <v>6256</v>
      </c>
      <c r="E969" t="s">
        <v>6257</v>
      </c>
      <c r="H969" t="s">
        <v>4284</v>
      </c>
    </row>
    <row r="970" spans="1:8">
      <c r="A970" t="s">
        <v>4604</v>
      </c>
      <c r="B970" t="s">
        <v>4710</v>
      </c>
      <c r="C970" t="s">
        <v>1022</v>
      </c>
      <c r="D970">
        <v>0</v>
      </c>
      <c r="E970">
        <v>0</v>
      </c>
      <c r="H970" t="s">
        <v>4284</v>
      </c>
    </row>
    <row r="971" spans="1:8">
      <c r="A971" t="s">
        <v>4604</v>
      </c>
      <c r="B971" t="s">
        <v>4711</v>
      </c>
      <c r="C971" t="s">
        <v>5674</v>
      </c>
      <c r="D971" t="s">
        <v>6259</v>
      </c>
      <c r="E971" t="s">
        <v>6260</v>
      </c>
      <c r="H971" t="s">
        <v>4284</v>
      </c>
    </row>
    <row r="972" spans="1:8">
      <c r="A972" t="s">
        <v>4604</v>
      </c>
      <c r="B972" t="s">
        <v>4712</v>
      </c>
      <c r="C972" t="s">
        <v>5675</v>
      </c>
      <c r="D972">
        <v>0</v>
      </c>
      <c r="E972">
        <v>0</v>
      </c>
      <c r="H972" t="s">
        <v>4284</v>
      </c>
    </row>
    <row r="973" spans="1:8">
      <c r="A973" t="s">
        <v>4604</v>
      </c>
      <c r="B973" t="s">
        <v>4713</v>
      </c>
      <c r="C973" t="s">
        <v>5676</v>
      </c>
      <c r="D973" t="s">
        <v>6259</v>
      </c>
      <c r="E973" t="s">
        <v>6260</v>
      </c>
      <c r="H973" t="s">
        <v>4284</v>
      </c>
    </row>
    <row r="974" spans="1:8">
      <c r="A974" t="s">
        <v>4604</v>
      </c>
      <c r="B974" t="s">
        <v>4714</v>
      </c>
      <c r="C974" t="s">
        <v>5676</v>
      </c>
      <c r="D974">
        <v>0</v>
      </c>
      <c r="E974">
        <v>0</v>
      </c>
      <c r="H974" t="s">
        <v>4284</v>
      </c>
    </row>
    <row r="975" spans="1:8">
      <c r="A975" t="s">
        <v>4604</v>
      </c>
      <c r="B975" t="s">
        <v>4715</v>
      </c>
      <c r="C975" t="s">
        <v>5677</v>
      </c>
      <c r="D975" t="s">
        <v>6261</v>
      </c>
      <c r="E975" t="s">
        <v>6262</v>
      </c>
      <c r="H975" t="s">
        <v>4284</v>
      </c>
    </row>
    <row r="976" spans="1:8">
      <c r="A976" t="s">
        <v>4604</v>
      </c>
      <c r="B976" t="s">
        <v>4716</v>
      </c>
      <c r="C976" t="s">
        <v>5677</v>
      </c>
      <c r="D976">
        <v>0</v>
      </c>
      <c r="E976">
        <v>0</v>
      </c>
      <c r="H976" t="s">
        <v>4284</v>
      </c>
    </row>
    <row r="977" spans="1:8">
      <c r="A977" t="s">
        <v>4604</v>
      </c>
      <c r="B977" t="s">
        <v>4717</v>
      </c>
      <c r="C977" t="s">
        <v>982</v>
      </c>
      <c r="D977" t="s">
        <v>6261</v>
      </c>
      <c r="E977" t="s">
        <v>6262</v>
      </c>
      <c r="H977" t="s">
        <v>4284</v>
      </c>
    </row>
    <row r="978" spans="1:8">
      <c r="A978" t="s">
        <v>4604</v>
      </c>
      <c r="B978" t="s">
        <v>4718</v>
      </c>
      <c r="C978" t="s">
        <v>982</v>
      </c>
      <c r="D978">
        <v>0</v>
      </c>
      <c r="E978">
        <v>0</v>
      </c>
      <c r="H978" t="s">
        <v>4284</v>
      </c>
    </row>
    <row r="979" spans="1:8">
      <c r="A979" t="s">
        <v>4604</v>
      </c>
      <c r="B979" t="s">
        <v>4719</v>
      </c>
      <c r="C979" t="s">
        <v>5678</v>
      </c>
      <c r="D979">
        <v>0</v>
      </c>
      <c r="E979">
        <v>0</v>
      </c>
      <c r="H979" t="s">
        <v>4284</v>
      </c>
    </row>
    <row r="980" spans="1:8">
      <c r="A980" t="s">
        <v>4604</v>
      </c>
      <c r="B980" t="s">
        <v>4720</v>
      </c>
      <c r="C980" t="s">
        <v>5678</v>
      </c>
      <c r="D980" t="s">
        <v>6263</v>
      </c>
      <c r="E980" t="s">
        <v>6264</v>
      </c>
      <c r="H980" t="s">
        <v>4284</v>
      </c>
    </row>
    <row r="981" spans="1:8">
      <c r="A981" t="s">
        <v>4604</v>
      </c>
      <c r="B981" t="s">
        <v>4721</v>
      </c>
      <c r="C981" t="s">
        <v>5679</v>
      </c>
      <c r="D981">
        <v>0</v>
      </c>
      <c r="E981">
        <v>0</v>
      </c>
      <c r="H981" t="s">
        <v>4284</v>
      </c>
    </row>
    <row r="982" spans="1:8">
      <c r="A982" t="s">
        <v>4604</v>
      </c>
      <c r="B982" t="s">
        <v>4722</v>
      </c>
      <c r="C982" t="s">
        <v>5679</v>
      </c>
      <c r="D982" t="s">
        <v>6263</v>
      </c>
      <c r="E982" t="s">
        <v>6264</v>
      </c>
      <c r="H982" t="s">
        <v>4284</v>
      </c>
    </row>
    <row r="983" spans="1:8">
      <c r="A983" t="s">
        <v>4604</v>
      </c>
      <c r="B983" t="s">
        <v>4723</v>
      </c>
      <c r="C983" t="s">
        <v>984</v>
      </c>
      <c r="D983">
        <v>0</v>
      </c>
      <c r="E983">
        <v>0</v>
      </c>
      <c r="H983" t="s">
        <v>4284</v>
      </c>
    </row>
    <row r="984" spans="1:8">
      <c r="A984">
        <v>11007120</v>
      </c>
      <c r="B984" t="s">
        <v>4724</v>
      </c>
      <c r="C984" t="s">
        <v>984</v>
      </c>
      <c r="D984" t="s">
        <v>6263</v>
      </c>
      <c r="E984" t="s">
        <v>6264</v>
      </c>
      <c r="H984" t="s">
        <v>4284</v>
      </c>
    </row>
    <row r="985" spans="1:8">
      <c r="A985" t="s">
        <v>4604</v>
      </c>
      <c r="B985" t="s">
        <v>4725</v>
      </c>
      <c r="C985" t="s">
        <v>1132</v>
      </c>
      <c r="D985">
        <v>0</v>
      </c>
      <c r="E985">
        <v>0</v>
      </c>
      <c r="H985" t="s">
        <v>4284</v>
      </c>
    </row>
    <row r="986" spans="1:8">
      <c r="A986">
        <v>11007117</v>
      </c>
      <c r="B986" t="s">
        <v>4726</v>
      </c>
      <c r="C986" t="s">
        <v>1132</v>
      </c>
      <c r="D986" t="s">
        <v>6263</v>
      </c>
      <c r="E986" t="s">
        <v>6264</v>
      </c>
      <c r="H986" t="s">
        <v>4284</v>
      </c>
    </row>
    <row r="987" spans="1:8">
      <c r="A987" t="s">
        <v>4604</v>
      </c>
      <c r="B987" t="s">
        <v>4727</v>
      </c>
      <c r="C987" t="s">
        <v>1133</v>
      </c>
      <c r="D987">
        <v>0</v>
      </c>
      <c r="E987">
        <v>0</v>
      </c>
      <c r="H987" t="s">
        <v>4284</v>
      </c>
    </row>
    <row r="988" spans="1:8">
      <c r="A988">
        <v>11007114</v>
      </c>
      <c r="B988" t="s">
        <v>4728</v>
      </c>
      <c r="C988" t="s">
        <v>1133</v>
      </c>
      <c r="D988" t="s">
        <v>6263</v>
      </c>
      <c r="E988" t="s">
        <v>6264</v>
      </c>
      <c r="H988" t="s">
        <v>4284</v>
      </c>
    </row>
    <row r="989" spans="1:8">
      <c r="A989" t="s">
        <v>4604</v>
      </c>
      <c r="B989" t="s">
        <v>4729</v>
      </c>
      <c r="C989" t="s">
        <v>5680</v>
      </c>
      <c r="D989">
        <v>0</v>
      </c>
      <c r="E989">
        <v>0</v>
      </c>
      <c r="H989" t="s">
        <v>4284</v>
      </c>
    </row>
    <row r="990" spans="1:8">
      <c r="A990" t="s">
        <v>4604</v>
      </c>
      <c r="B990" t="s">
        <v>4730</v>
      </c>
      <c r="C990" t="s">
        <v>5681</v>
      </c>
      <c r="D990" t="s">
        <v>6265</v>
      </c>
      <c r="E990" t="s">
        <v>6266</v>
      </c>
      <c r="H990" t="s">
        <v>4284</v>
      </c>
    </row>
    <row r="991" spans="1:8">
      <c r="A991" t="s">
        <v>4604</v>
      </c>
      <c r="B991" t="s">
        <v>4731</v>
      </c>
      <c r="C991" t="s">
        <v>5682</v>
      </c>
      <c r="D991" t="s">
        <v>6265</v>
      </c>
      <c r="E991" t="s">
        <v>6266</v>
      </c>
      <c r="H991" t="s">
        <v>4284</v>
      </c>
    </row>
    <row r="992" spans="1:8">
      <c r="A992" t="s">
        <v>4604</v>
      </c>
      <c r="B992" t="s">
        <v>4732</v>
      </c>
      <c r="C992" t="s">
        <v>5683</v>
      </c>
      <c r="D992">
        <v>0</v>
      </c>
      <c r="E992">
        <v>0</v>
      </c>
      <c r="H992" t="s">
        <v>4284</v>
      </c>
    </row>
    <row r="993" spans="1:8">
      <c r="A993" t="s">
        <v>4604</v>
      </c>
      <c r="B993" t="s">
        <v>4733</v>
      </c>
      <c r="C993" t="s">
        <v>5683</v>
      </c>
      <c r="D993" t="s">
        <v>6265</v>
      </c>
      <c r="E993" t="s">
        <v>6266</v>
      </c>
      <c r="H993" t="s">
        <v>4284</v>
      </c>
    </row>
    <row r="994" spans="1:8">
      <c r="A994" t="s">
        <v>4604</v>
      </c>
      <c r="B994" t="s">
        <v>4734</v>
      </c>
      <c r="C994" t="s">
        <v>5684</v>
      </c>
      <c r="D994">
        <v>0</v>
      </c>
      <c r="E994">
        <v>0</v>
      </c>
      <c r="H994" t="s">
        <v>4284</v>
      </c>
    </row>
    <row r="995" spans="1:8">
      <c r="A995" t="s">
        <v>4604</v>
      </c>
      <c r="B995" t="s">
        <v>4735</v>
      </c>
      <c r="C995" t="s">
        <v>5684</v>
      </c>
      <c r="D995" t="s">
        <v>6265</v>
      </c>
      <c r="E995" t="s">
        <v>6266</v>
      </c>
      <c r="H995" t="s">
        <v>4284</v>
      </c>
    </row>
    <row r="996" spans="1:8">
      <c r="A996" t="s">
        <v>4604</v>
      </c>
      <c r="B996" t="s">
        <v>4736</v>
      </c>
      <c r="C996" t="s">
        <v>5685</v>
      </c>
      <c r="D996" t="s">
        <v>6267</v>
      </c>
      <c r="E996" t="s">
        <v>6268</v>
      </c>
      <c r="H996" t="s">
        <v>4284</v>
      </c>
    </row>
    <row r="997" spans="1:8">
      <c r="A997" t="s">
        <v>4604</v>
      </c>
      <c r="B997" t="s">
        <v>4737</v>
      </c>
      <c r="C997" t="s">
        <v>5686</v>
      </c>
      <c r="D997" t="s">
        <v>6267</v>
      </c>
      <c r="E997" t="s">
        <v>6268</v>
      </c>
      <c r="H997" t="s">
        <v>4284</v>
      </c>
    </row>
    <row r="998" spans="1:8">
      <c r="A998" t="s">
        <v>4604</v>
      </c>
      <c r="B998" t="s">
        <v>4738</v>
      </c>
      <c r="C998" t="s">
        <v>5687</v>
      </c>
      <c r="D998" t="s">
        <v>6267</v>
      </c>
      <c r="E998" t="s">
        <v>6268</v>
      </c>
      <c r="H998" t="s">
        <v>4284</v>
      </c>
    </row>
    <row r="999" spans="1:8">
      <c r="A999" t="s">
        <v>4604</v>
      </c>
      <c r="B999" t="s">
        <v>4739</v>
      </c>
      <c r="C999" t="s">
        <v>5688</v>
      </c>
      <c r="D999" t="s">
        <v>6269</v>
      </c>
      <c r="E999" t="s">
        <v>6270</v>
      </c>
      <c r="H999" t="s">
        <v>4284</v>
      </c>
    </row>
    <row r="1000" spans="1:8">
      <c r="A1000" t="s">
        <v>4604</v>
      </c>
      <c r="B1000" t="s">
        <v>4740</v>
      </c>
      <c r="C1000" t="s">
        <v>5689</v>
      </c>
      <c r="D1000" t="s">
        <v>6269</v>
      </c>
      <c r="E1000" t="s">
        <v>6270</v>
      </c>
      <c r="H1000" t="s">
        <v>4284</v>
      </c>
    </row>
    <row r="1001" spans="1:8">
      <c r="A1001" t="s">
        <v>4604</v>
      </c>
      <c r="B1001" t="s">
        <v>4741</v>
      </c>
      <c r="C1001" t="s">
        <v>5690</v>
      </c>
      <c r="D1001" t="s">
        <v>6269</v>
      </c>
      <c r="E1001" t="s">
        <v>6270</v>
      </c>
      <c r="H1001" t="s">
        <v>4284</v>
      </c>
    </row>
    <row r="1002" spans="1:8">
      <c r="A1002" t="s">
        <v>4604</v>
      </c>
      <c r="B1002" t="s">
        <v>4742</v>
      </c>
      <c r="C1002" t="s">
        <v>5691</v>
      </c>
      <c r="D1002" t="s">
        <v>6269</v>
      </c>
      <c r="E1002" t="s">
        <v>6270</v>
      </c>
      <c r="H1002" t="s">
        <v>4284</v>
      </c>
    </row>
    <row r="1003" spans="1:8">
      <c r="A1003" t="s">
        <v>4604</v>
      </c>
      <c r="B1003" t="s">
        <v>4743</v>
      </c>
      <c r="C1003" t="s">
        <v>5674</v>
      </c>
      <c r="D1003" t="s">
        <v>6271</v>
      </c>
      <c r="E1003" t="s">
        <v>6272</v>
      </c>
      <c r="H1003" t="s">
        <v>4284</v>
      </c>
    </row>
    <row r="1004" spans="1:8">
      <c r="A1004" t="s">
        <v>4604</v>
      </c>
      <c r="B1004" t="s">
        <v>4744</v>
      </c>
      <c r="C1004" t="s">
        <v>5676</v>
      </c>
      <c r="D1004" t="s">
        <v>6271</v>
      </c>
      <c r="E1004" t="s">
        <v>6272</v>
      </c>
      <c r="H1004" t="s">
        <v>4284</v>
      </c>
    </row>
    <row r="1005" spans="1:8">
      <c r="A1005">
        <v>11007068</v>
      </c>
      <c r="B1005" t="s">
        <v>4745</v>
      </c>
      <c r="C1005" t="s">
        <v>5692</v>
      </c>
      <c r="D1005" t="s">
        <v>6273</v>
      </c>
      <c r="E1005" t="s">
        <v>6274</v>
      </c>
      <c r="H1005" t="s">
        <v>4284</v>
      </c>
    </row>
    <row r="1006" spans="1:8">
      <c r="A1006" t="s">
        <v>4604</v>
      </c>
      <c r="B1006" t="s">
        <v>4746</v>
      </c>
      <c r="C1006" t="s">
        <v>5693</v>
      </c>
      <c r="D1006">
        <v>0</v>
      </c>
      <c r="E1006">
        <v>0</v>
      </c>
      <c r="H1006" t="s">
        <v>4284</v>
      </c>
    </row>
    <row r="1007" spans="1:8">
      <c r="A1007" t="s">
        <v>4604</v>
      </c>
      <c r="B1007" t="s">
        <v>4747</v>
      </c>
      <c r="C1007" t="s">
        <v>5693</v>
      </c>
      <c r="D1007" t="s">
        <v>6273</v>
      </c>
      <c r="E1007" t="s">
        <v>6274</v>
      </c>
      <c r="H1007" t="s">
        <v>4284</v>
      </c>
    </row>
    <row r="1008" spans="1:8">
      <c r="A1008" t="s">
        <v>4604</v>
      </c>
      <c r="B1008" t="s">
        <v>4748</v>
      </c>
      <c r="C1008" t="s">
        <v>5694</v>
      </c>
      <c r="D1008">
        <v>0</v>
      </c>
      <c r="E1008">
        <v>0</v>
      </c>
      <c r="H1008" t="s">
        <v>4284</v>
      </c>
    </row>
    <row r="1009" spans="1:8">
      <c r="A1009" t="s">
        <v>4604</v>
      </c>
      <c r="B1009" t="s">
        <v>4749</v>
      </c>
      <c r="C1009" t="s">
        <v>5694</v>
      </c>
      <c r="D1009" t="s">
        <v>6273</v>
      </c>
      <c r="E1009" t="s">
        <v>6274</v>
      </c>
      <c r="H1009" t="s">
        <v>4284</v>
      </c>
    </row>
    <row r="1010" spans="1:8">
      <c r="A1010" t="s">
        <v>4604</v>
      </c>
      <c r="B1010" t="s">
        <v>4750</v>
      </c>
      <c r="C1010" t="s">
        <v>5695</v>
      </c>
      <c r="D1010" t="s">
        <v>6273</v>
      </c>
      <c r="E1010" t="s">
        <v>6274</v>
      </c>
      <c r="H1010" t="s">
        <v>4284</v>
      </c>
    </row>
    <row r="1011" spans="1:8">
      <c r="A1011" t="s">
        <v>4604</v>
      </c>
      <c r="B1011" t="s">
        <v>4751</v>
      </c>
      <c r="C1011" t="s">
        <v>5696</v>
      </c>
      <c r="D1011">
        <v>0</v>
      </c>
      <c r="E1011">
        <v>0</v>
      </c>
      <c r="H1011" t="s">
        <v>4284</v>
      </c>
    </row>
    <row r="1012" spans="1:8">
      <c r="A1012" t="s">
        <v>4604</v>
      </c>
      <c r="B1012" t="s">
        <v>4752</v>
      </c>
      <c r="C1012" t="s">
        <v>5696</v>
      </c>
      <c r="D1012" t="s">
        <v>6273</v>
      </c>
      <c r="E1012" t="s">
        <v>6274</v>
      </c>
      <c r="H1012" t="s">
        <v>4284</v>
      </c>
    </row>
    <row r="1013" spans="1:8">
      <c r="A1013" t="s">
        <v>4604</v>
      </c>
      <c r="B1013" t="s">
        <v>4753</v>
      </c>
      <c r="C1013" t="s">
        <v>5657</v>
      </c>
      <c r="D1013" t="s">
        <v>6273</v>
      </c>
      <c r="E1013" t="s">
        <v>6274</v>
      </c>
      <c r="H1013" t="s">
        <v>4284</v>
      </c>
    </row>
    <row r="1014" spans="1:8">
      <c r="A1014">
        <v>11007061</v>
      </c>
      <c r="B1014" t="s">
        <v>4754</v>
      </c>
      <c r="C1014" t="s">
        <v>5697</v>
      </c>
      <c r="D1014" t="s">
        <v>6275</v>
      </c>
      <c r="E1014" t="s">
        <v>6276</v>
      </c>
      <c r="H1014" t="s">
        <v>4284</v>
      </c>
    </row>
    <row r="1015" spans="1:8">
      <c r="A1015" t="s">
        <v>4604</v>
      </c>
      <c r="B1015" t="s">
        <v>4755</v>
      </c>
      <c r="C1015" t="s">
        <v>5698</v>
      </c>
      <c r="D1015" t="s">
        <v>6275</v>
      </c>
      <c r="E1015" t="s">
        <v>6276</v>
      </c>
      <c r="H1015" t="s">
        <v>4284</v>
      </c>
    </row>
    <row r="1016" spans="1:8">
      <c r="A1016" t="s">
        <v>4604</v>
      </c>
      <c r="B1016" t="s">
        <v>4756</v>
      </c>
      <c r="C1016" t="s">
        <v>5699</v>
      </c>
      <c r="D1016" t="s">
        <v>6275</v>
      </c>
      <c r="E1016" t="s">
        <v>6276</v>
      </c>
      <c r="H1016" t="s">
        <v>4284</v>
      </c>
    </row>
    <row r="1017" spans="1:8">
      <c r="A1017" t="s">
        <v>4604</v>
      </c>
      <c r="B1017" t="s">
        <v>4757</v>
      </c>
      <c r="C1017" t="s">
        <v>5700</v>
      </c>
      <c r="D1017" t="s">
        <v>6275</v>
      </c>
      <c r="E1017" t="s">
        <v>6276</v>
      </c>
      <c r="H1017" t="s">
        <v>4284</v>
      </c>
    </row>
    <row r="1018" spans="1:8">
      <c r="A1018" t="s">
        <v>4604</v>
      </c>
      <c r="B1018" t="s">
        <v>4758</v>
      </c>
      <c r="C1018" t="s">
        <v>5701</v>
      </c>
      <c r="D1018" t="s">
        <v>6277</v>
      </c>
      <c r="E1018" t="s">
        <v>6278</v>
      </c>
      <c r="H1018" t="s">
        <v>4284</v>
      </c>
    </row>
    <row r="1019" spans="1:8">
      <c r="A1019" t="s">
        <v>4604</v>
      </c>
      <c r="B1019" t="s">
        <v>4759</v>
      </c>
      <c r="C1019" t="s">
        <v>5702</v>
      </c>
      <c r="D1019" t="s">
        <v>6277</v>
      </c>
      <c r="E1019" t="s">
        <v>6278</v>
      </c>
      <c r="H1019" t="s">
        <v>4284</v>
      </c>
    </row>
    <row r="1020" spans="1:8">
      <c r="A1020" t="s">
        <v>4604</v>
      </c>
      <c r="B1020" t="s">
        <v>4760</v>
      </c>
      <c r="C1020" t="s">
        <v>5703</v>
      </c>
      <c r="D1020" t="s">
        <v>6277</v>
      </c>
      <c r="E1020" t="s">
        <v>6278</v>
      </c>
      <c r="H1020" t="s">
        <v>4284</v>
      </c>
    </row>
    <row r="1021" spans="1:8">
      <c r="A1021" t="s">
        <v>4604</v>
      </c>
      <c r="B1021" t="s">
        <v>4761</v>
      </c>
      <c r="C1021" t="s">
        <v>5704</v>
      </c>
      <c r="D1021">
        <v>0</v>
      </c>
      <c r="E1021">
        <v>0</v>
      </c>
      <c r="H1021" t="s">
        <v>4284</v>
      </c>
    </row>
    <row r="1022" spans="1:8">
      <c r="A1022" t="s">
        <v>4604</v>
      </c>
      <c r="B1022" t="s">
        <v>4762</v>
      </c>
      <c r="C1022" t="s">
        <v>5705</v>
      </c>
      <c r="D1022" t="s">
        <v>6277</v>
      </c>
      <c r="E1022" t="s">
        <v>6278</v>
      </c>
      <c r="H1022" t="s">
        <v>4284</v>
      </c>
    </row>
    <row r="1023" spans="1:8">
      <c r="A1023" t="s">
        <v>4604</v>
      </c>
      <c r="B1023" t="s">
        <v>4763</v>
      </c>
      <c r="C1023" t="s">
        <v>5706</v>
      </c>
      <c r="D1023">
        <v>0</v>
      </c>
      <c r="E1023">
        <v>0</v>
      </c>
      <c r="H1023" t="s">
        <v>4284</v>
      </c>
    </row>
    <row r="1024" spans="1:8">
      <c r="A1024" t="s">
        <v>4604</v>
      </c>
      <c r="B1024" t="s">
        <v>4764</v>
      </c>
      <c r="C1024" t="s">
        <v>5707</v>
      </c>
      <c r="D1024" t="s">
        <v>6277</v>
      </c>
      <c r="E1024" t="s">
        <v>6278</v>
      </c>
      <c r="H1024" t="s">
        <v>4284</v>
      </c>
    </row>
    <row r="1025" spans="1:8">
      <c r="A1025" t="s">
        <v>4604</v>
      </c>
      <c r="B1025" t="s">
        <v>4765</v>
      </c>
      <c r="C1025" t="s">
        <v>5708</v>
      </c>
      <c r="D1025">
        <v>0</v>
      </c>
      <c r="E1025">
        <v>0</v>
      </c>
      <c r="H1025" t="s">
        <v>4284</v>
      </c>
    </row>
    <row r="1026" spans="1:8">
      <c r="A1026" t="s">
        <v>4604</v>
      </c>
      <c r="B1026" t="s">
        <v>4766</v>
      </c>
      <c r="C1026" t="s">
        <v>5709</v>
      </c>
      <c r="D1026" t="s">
        <v>6277</v>
      </c>
      <c r="E1026" t="s">
        <v>6278</v>
      </c>
      <c r="H1026" t="s">
        <v>4284</v>
      </c>
    </row>
    <row r="1027" spans="1:8">
      <c r="A1027" t="s">
        <v>4604</v>
      </c>
      <c r="B1027" t="s">
        <v>4767</v>
      </c>
      <c r="C1027" t="s">
        <v>5710</v>
      </c>
      <c r="D1027" t="s">
        <v>6277</v>
      </c>
      <c r="E1027" t="s">
        <v>6278</v>
      </c>
      <c r="H1027" t="s">
        <v>4284</v>
      </c>
    </row>
    <row r="1028" spans="1:8">
      <c r="A1028" t="s">
        <v>4604</v>
      </c>
      <c r="B1028" t="s">
        <v>4768</v>
      </c>
      <c r="C1028" t="s">
        <v>5711</v>
      </c>
      <c r="D1028" t="s">
        <v>6277</v>
      </c>
      <c r="E1028" t="s">
        <v>6278</v>
      </c>
      <c r="H1028" t="s">
        <v>4284</v>
      </c>
    </row>
    <row r="1029" spans="1:8">
      <c r="A1029" t="s">
        <v>4604</v>
      </c>
      <c r="B1029" t="s">
        <v>4769</v>
      </c>
      <c r="C1029" t="s">
        <v>5712</v>
      </c>
      <c r="D1029" t="s">
        <v>6277</v>
      </c>
      <c r="E1029" t="s">
        <v>6278</v>
      </c>
      <c r="H1029" t="s">
        <v>4284</v>
      </c>
    </row>
    <row r="1030" spans="1:8">
      <c r="A1030" t="s">
        <v>4604</v>
      </c>
      <c r="B1030" t="s">
        <v>4770</v>
      </c>
      <c r="C1030" t="s">
        <v>5713</v>
      </c>
      <c r="D1030" t="s">
        <v>6277</v>
      </c>
      <c r="E1030" t="s">
        <v>6278</v>
      </c>
      <c r="H1030" t="s">
        <v>4284</v>
      </c>
    </row>
    <row r="1031" spans="1:8">
      <c r="A1031" t="s">
        <v>4604</v>
      </c>
      <c r="B1031" t="s">
        <v>4771</v>
      </c>
      <c r="C1031" t="s">
        <v>5714</v>
      </c>
      <c r="D1031" t="s">
        <v>6277</v>
      </c>
      <c r="E1031" t="s">
        <v>6278</v>
      </c>
      <c r="H1031" t="s">
        <v>4284</v>
      </c>
    </row>
    <row r="1032" spans="1:8">
      <c r="A1032" t="s">
        <v>4604</v>
      </c>
      <c r="B1032" t="s">
        <v>4772</v>
      </c>
      <c r="C1032" t="s">
        <v>5715</v>
      </c>
      <c r="D1032">
        <v>0</v>
      </c>
      <c r="E1032">
        <v>0</v>
      </c>
      <c r="H1032" t="s">
        <v>4284</v>
      </c>
    </row>
    <row r="1033" spans="1:8">
      <c r="A1033" t="s">
        <v>4604</v>
      </c>
      <c r="B1033" t="s">
        <v>4773</v>
      </c>
      <c r="C1033" t="s">
        <v>5715</v>
      </c>
      <c r="D1033" t="s">
        <v>6277</v>
      </c>
      <c r="E1033" t="s">
        <v>6278</v>
      </c>
      <c r="H1033" t="s">
        <v>4284</v>
      </c>
    </row>
    <row r="1034" spans="1:8">
      <c r="A1034" t="s">
        <v>4604</v>
      </c>
      <c r="B1034" t="s">
        <v>4774</v>
      </c>
      <c r="C1034" t="s">
        <v>5716</v>
      </c>
      <c r="D1034" t="s">
        <v>6277</v>
      </c>
      <c r="E1034" t="s">
        <v>6278</v>
      </c>
      <c r="H1034" t="s">
        <v>4284</v>
      </c>
    </row>
    <row r="1035" spans="1:8">
      <c r="A1035" t="s">
        <v>4604</v>
      </c>
      <c r="B1035" t="s">
        <v>4775</v>
      </c>
      <c r="C1035" t="s">
        <v>5717</v>
      </c>
      <c r="D1035">
        <v>0</v>
      </c>
      <c r="E1035">
        <v>0</v>
      </c>
      <c r="H1035" t="s">
        <v>4284</v>
      </c>
    </row>
    <row r="1036" spans="1:8">
      <c r="A1036" t="s">
        <v>4604</v>
      </c>
      <c r="B1036" t="s">
        <v>4776</v>
      </c>
      <c r="C1036" t="s">
        <v>5717</v>
      </c>
      <c r="D1036" t="s">
        <v>6277</v>
      </c>
      <c r="E1036" t="s">
        <v>6278</v>
      </c>
      <c r="H1036" t="s">
        <v>4284</v>
      </c>
    </row>
    <row r="1037" spans="1:8">
      <c r="A1037">
        <v>11007035</v>
      </c>
      <c r="B1037" t="s">
        <v>4777</v>
      </c>
      <c r="C1037" t="s">
        <v>5718</v>
      </c>
      <c r="D1037" t="s">
        <v>6279</v>
      </c>
      <c r="E1037" t="s">
        <v>6280</v>
      </c>
      <c r="H1037" t="s">
        <v>4284</v>
      </c>
    </row>
    <row r="1038" spans="1:8">
      <c r="A1038" t="s">
        <v>4604</v>
      </c>
      <c r="B1038" t="s">
        <v>4778</v>
      </c>
      <c r="C1038" t="s">
        <v>5719</v>
      </c>
      <c r="D1038" t="s">
        <v>6279</v>
      </c>
      <c r="E1038" t="s">
        <v>6280</v>
      </c>
      <c r="H1038" t="s">
        <v>4284</v>
      </c>
    </row>
    <row r="1039" spans="1:8">
      <c r="A1039" t="s">
        <v>4604</v>
      </c>
      <c r="B1039" t="s">
        <v>4779</v>
      </c>
      <c r="C1039" t="s">
        <v>5720</v>
      </c>
      <c r="D1039" t="s">
        <v>6279</v>
      </c>
      <c r="E1039" t="s">
        <v>6280</v>
      </c>
      <c r="H1039" t="s">
        <v>4284</v>
      </c>
    </row>
    <row r="1040" spans="1:8">
      <c r="A1040" t="s">
        <v>4604</v>
      </c>
      <c r="B1040" t="s">
        <v>4780</v>
      </c>
      <c r="C1040" t="s">
        <v>5721</v>
      </c>
      <c r="D1040" t="s">
        <v>6281</v>
      </c>
      <c r="E1040" t="s">
        <v>6282</v>
      </c>
      <c r="H1040" t="s">
        <v>4284</v>
      </c>
    </row>
    <row r="1041" spans="1:8">
      <c r="A1041" t="s">
        <v>4604</v>
      </c>
      <c r="B1041" t="s">
        <v>4781</v>
      </c>
      <c r="C1041" t="s">
        <v>5722</v>
      </c>
      <c r="D1041" t="s">
        <v>6281</v>
      </c>
      <c r="E1041" t="s">
        <v>6282</v>
      </c>
      <c r="H1041" t="s">
        <v>4284</v>
      </c>
    </row>
    <row r="1042" spans="1:8">
      <c r="A1042" t="s">
        <v>4604</v>
      </c>
      <c r="B1042" t="s">
        <v>4782</v>
      </c>
      <c r="C1042" t="s">
        <v>5723</v>
      </c>
      <c r="D1042">
        <v>0</v>
      </c>
      <c r="E1042">
        <v>0</v>
      </c>
      <c r="H1042" t="s">
        <v>4284</v>
      </c>
    </row>
    <row r="1043" spans="1:8">
      <c r="A1043" t="s">
        <v>4604</v>
      </c>
      <c r="B1043" t="s">
        <v>4783</v>
      </c>
      <c r="C1043" t="s">
        <v>5723</v>
      </c>
      <c r="D1043" t="s">
        <v>6281</v>
      </c>
      <c r="E1043" t="s">
        <v>6282</v>
      </c>
      <c r="H1043" t="s">
        <v>4284</v>
      </c>
    </row>
    <row r="1044" spans="1:8">
      <c r="A1044" t="s">
        <v>4604</v>
      </c>
      <c r="B1044" t="s">
        <v>4784</v>
      </c>
      <c r="C1044" t="s">
        <v>5724</v>
      </c>
      <c r="D1044">
        <v>0</v>
      </c>
      <c r="E1044">
        <v>0</v>
      </c>
      <c r="H1044" t="s">
        <v>4284</v>
      </c>
    </row>
    <row r="1045" spans="1:8">
      <c r="A1045" t="s">
        <v>4604</v>
      </c>
      <c r="B1045" t="s">
        <v>4785</v>
      </c>
      <c r="C1045" t="s">
        <v>5724</v>
      </c>
      <c r="D1045">
        <v>0</v>
      </c>
      <c r="E1045">
        <v>0</v>
      </c>
      <c r="H1045" t="s">
        <v>4284</v>
      </c>
    </row>
    <row r="1046" spans="1:8">
      <c r="A1046" t="s">
        <v>4604</v>
      </c>
      <c r="B1046" t="s">
        <v>4786</v>
      </c>
      <c r="C1046" t="s">
        <v>5725</v>
      </c>
      <c r="D1046" t="s">
        <v>6283</v>
      </c>
      <c r="E1046" t="s">
        <v>6284</v>
      </c>
      <c r="H1046" t="s">
        <v>4284</v>
      </c>
    </row>
    <row r="1047" spans="1:8">
      <c r="A1047" t="s">
        <v>4604</v>
      </c>
      <c r="B1047" t="s">
        <v>4787</v>
      </c>
      <c r="C1047" t="s">
        <v>5726</v>
      </c>
      <c r="D1047" t="s">
        <v>6283</v>
      </c>
      <c r="E1047" t="s">
        <v>6284</v>
      </c>
      <c r="H1047" t="s">
        <v>4284</v>
      </c>
    </row>
    <row r="1048" spans="1:8">
      <c r="A1048" t="s">
        <v>4604</v>
      </c>
      <c r="B1048" t="s">
        <v>4788</v>
      </c>
      <c r="C1048" t="s">
        <v>5727</v>
      </c>
      <c r="D1048">
        <v>0</v>
      </c>
      <c r="E1048">
        <v>0</v>
      </c>
      <c r="H1048" t="s">
        <v>4284</v>
      </c>
    </row>
    <row r="1049" spans="1:8">
      <c r="A1049" t="s">
        <v>4604</v>
      </c>
      <c r="B1049" t="s">
        <v>4789</v>
      </c>
      <c r="C1049" t="s">
        <v>5727</v>
      </c>
      <c r="D1049" t="s">
        <v>6283</v>
      </c>
      <c r="E1049" t="s">
        <v>6284</v>
      </c>
      <c r="H1049" t="s">
        <v>4284</v>
      </c>
    </row>
    <row r="1050" spans="1:8">
      <c r="A1050" t="s">
        <v>4604</v>
      </c>
      <c r="B1050" t="s">
        <v>4790</v>
      </c>
      <c r="C1050" t="s">
        <v>5728</v>
      </c>
      <c r="D1050">
        <v>0</v>
      </c>
      <c r="E1050">
        <v>0</v>
      </c>
      <c r="H1050" t="s">
        <v>4284</v>
      </c>
    </row>
    <row r="1051" spans="1:8">
      <c r="A1051" t="s">
        <v>4604</v>
      </c>
      <c r="B1051" t="s">
        <v>4791</v>
      </c>
      <c r="C1051" t="s">
        <v>5728</v>
      </c>
      <c r="D1051" t="s">
        <v>6283</v>
      </c>
      <c r="E1051" t="s">
        <v>6284</v>
      </c>
      <c r="H1051" t="s">
        <v>4284</v>
      </c>
    </row>
    <row r="1052" spans="1:8">
      <c r="A1052">
        <v>11007023</v>
      </c>
      <c r="B1052" t="s">
        <v>4792</v>
      </c>
      <c r="C1052" t="s">
        <v>5729</v>
      </c>
      <c r="D1052" t="s">
        <v>6285</v>
      </c>
      <c r="E1052" t="s">
        <v>6286</v>
      </c>
      <c r="H1052" t="s">
        <v>4284</v>
      </c>
    </row>
    <row r="1053" spans="1:8">
      <c r="A1053" t="s">
        <v>4604</v>
      </c>
      <c r="B1053" t="s">
        <v>4793</v>
      </c>
      <c r="C1053" t="s">
        <v>5730</v>
      </c>
      <c r="D1053" t="s">
        <v>6287</v>
      </c>
      <c r="E1053" t="s">
        <v>6288</v>
      </c>
      <c r="H1053" t="s">
        <v>4284</v>
      </c>
    </row>
    <row r="1054" spans="1:8">
      <c r="A1054" t="s">
        <v>4604</v>
      </c>
      <c r="B1054" t="s">
        <v>4794</v>
      </c>
      <c r="C1054" t="s">
        <v>5731</v>
      </c>
      <c r="D1054" t="s">
        <v>6287</v>
      </c>
      <c r="E1054" t="s">
        <v>6288</v>
      </c>
      <c r="H1054" t="s">
        <v>4284</v>
      </c>
    </row>
    <row r="1055" spans="1:8">
      <c r="A1055" t="s">
        <v>4604</v>
      </c>
      <c r="B1055" t="s">
        <v>4795</v>
      </c>
      <c r="C1055" t="s">
        <v>5732</v>
      </c>
      <c r="D1055">
        <v>0</v>
      </c>
      <c r="E1055">
        <v>0</v>
      </c>
      <c r="H1055" t="s">
        <v>4284</v>
      </c>
    </row>
    <row r="1056" spans="1:8">
      <c r="A1056" t="s">
        <v>4604</v>
      </c>
      <c r="B1056" t="s">
        <v>4796</v>
      </c>
      <c r="C1056" t="s">
        <v>5732</v>
      </c>
      <c r="D1056" t="s">
        <v>6287</v>
      </c>
      <c r="E1056" t="s">
        <v>6288</v>
      </c>
      <c r="H1056" t="s">
        <v>4284</v>
      </c>
    </row>
    <row r="1057" spans="1:8">
      <c r="A1057" t="s">
        <v>4604</v>
      </c>
      <c r="B1057" t="s">
        <v>4797</v>
      </c>
      <c r="C1057" t="s">
        <v>5733</v>
      </c>
      <c r="D1057">
        <v>0</v>
      </c>
      <c r="E1057">
        <v>0</v>
      </c>
      <c r="H1057" t="s">
        <v>4284</v>
      </c>
    </row>
    <row r="1058" spans="1:8">
      <c r="A1058" t="s">
        <v>4604</v>
      </c>
      <c r="B1058" t="s">
        <v>4798</v>
      </c>
      <c r="C1058" t="s">
        <v>5733</v>
      </c>
      <c r="D1058" t="s">
        <v>6287</v>
      </c>
      <c r="E1058" t="s">
        <v>6288</v>
      </c>
      <c r="H1058" t="s">
        <v>4284</v>
      </c>
    </row>
    <row r="1059" spans="1:8">
      <c r="A1059">
        <v>11007015</v>
      </c>
      <c r="B1059" t="s">
        <v>4799</v>
      </c>
      <c r="C1059" t="s">
        <v>5734</v>
      </c>
      <c r="D1059" t="s">
        <v>6289</v>
      </c>
      <c r="E1059" t="s">
        <v>6290</v>
      </c>
      <c r="H1059" t="s">
        <v>4284</v>
      </c>
    </row>
    <row r="1060" spans="1:8">
      <c r="A1060">
        <v>11007013</v>
      </c>
      <c r="B1060" t="s">
        <v>4800</v>
      </c>
      <c r="C1060" t="s">
        <v>5735</v>
      </c>
      <c r="D1060" t="s">
        <v>6289</v>
      </c>
      <c r="E1060" t="s">
        <v>6290</v>
      </c>
      <c r="H1060" t="s">
        <v>4284</v>
      </c>
    </row>
    <row r="1061" spans="1:8">
      <c r="A1061" t="s">
        <v>4604</v>
      </c>
      <c r="B1061" t="s">
        <v>4801</v>
      </c>
      <c r="C1061" t="s">
        <v>5736</v>
      </c>
      <c r="D1061">
        <v>0</v>
      </c>
      <c r="E1061">
        <v>0</v>
      </c>
      <c r="H1061" t="s">
        <v>4284</v>
      </c>
    </row>
    <row r="1062" spans="1:8">
      <c r="A1062" t="s">
        <v>4604</v>
      </c>
      <c r="B1062" t="s">
        <v>4802</v>
      </c>
      <c r="C1062" t="s">
        <v>5736</v>
      </c>
      <c r="D1062" t="s">
        <v>6291</v>
      </c>
      <c r="E1062" t="s">
        <v>6292</v>
      </c>
      <c r="H1062" t="s">
        <v>4284</v>
      </c>
    </row>
    <row r="1063" spans="1:8">
      <c r="A1063" t="s">
        <v>4604</v>
      </c>
      <c r="B1063" t="s">
        <v>4803</v>
      </c>
      <c r="C1063" t="s">
        <v>5737</v>
      </c>
      <c r="D1063">
        <v>0</v>
      </c>
      <c r="E1063">
        <v>0</v>
      </c>
      <c r="H1063" t="s">
        <v>4284</v>
      </c>
    </row>
    <row r="1064" spans="1:8">
      <c r="A1064" t="s">
        <v>4604</v>
      </c>
      <c r="B1064" t="s">
        <v>4804</v>
      </c>
      <c r="C1064" t="s">
        <v>5737</v>
      </c>
      <c r="D1064" t="s">
        <v>6291</v>
      </c>
      <c r="E1064" t="s">
        <v>6292</v>
      </c>
      <c r="H1064" t="s">
        <v>4284</v>
      </c>
    </row>
    <row r="1065" spans="1:8">
      <c r="A1065" t="s">
        <v>4604</v>
      </c>
      <c r="B1065" t="s">
        <v>4805</v>
      </c>
      <c r="C1065" t="s">
        <v>5738</v>
      </c>
      <c r="D1065">
        <v>0</v>
      </c>
      <c r="E1065">
        <v>0</v>
      </c>
      <c r="H1065" t="s">
        <v>4284</v>
      </c>
    </row>
    <row r="1066" spans="1:8">
      <c r="A1066" t="s">
        <v>4604</v>
      </c>
      <c r="B1066" t="s">
        <v>4806</v>
      </c>
      <c r="C1066" t="s">
        <v>5738</v>
      </c>
      <c r="D1066" t="s">
        <v>6291</v>
      </c>
      <c r="E1066" t="s">
        <v>6292</v>
      </c>
      <c r="H1066" t="s">
        <v>4284</v>
      </c>
    </row>
    <row r="1067" spans="1:8">
      <c r="A1067" t="s">
        <v>4604</v>
      </c>
      <c r="B1067" t="s">
        <v>4807</v>
      </c>
      <c r="C1067" t="s">
        <v>5739</v>
      </c>
      <c r="D1067">
        <v>0</v>
      </c>
      <c r="E1067">
        <v>0</v>
      </c>
      <c r="H1067" t="s">
        <v>4284</v>
      </c>
    </row>
    <row r="1068" spans="1:8">
      <c r="A1068" t="s">
        <v>4604</v>
      </c>
      <c r="B1068" t="s">
        <v>4808</v>
      </c>
      <c r="C1068" t="s">
        <v>5739</v>
      </c>
      <c r="D1068">
        <v>0</v>
      </c>
      <c r="E1068">
        <v>0</v>
      </c>
      <c r="H1068" t="s">
        <v>4284</v>
      </c>
    </row>
    <row r="1069" spans="1:8">
      <c r="A1069" t="s">
        <v>4604</v>
      </c>
      <c r="B1069" t="s">
        <v>4809</v>
      </c>
      <c r="C1069" t="s">
        <v>5740</v>
      </c>
      <c r="D1069" t="s">
        <v>6291</v>
      </c>
      <c r="E1069" t="s">
        <v>6292</v>
      </c>
      <c r="H1069" t="s">
        <v>4284</v>
      </c>
    </row>
    <row r="1070" spans="1:8">
      <c r="A1070" t="s">
        <v>4604</v>
      </c>
      <c r="B1070" t="s">
        <v>4810</v>
      </c>
      <c r="C1070" t="s">
        <v>5741</v>
      </c>
      <c r="D1070">
        <v>0</v>
      </c>
      <c r="E1070">
        <v>0</v>
      </c>
      <c r="H1070" t="s">
        <v>4284</v>
      </c>
    </row>
    <row r="1071" spans="1:8">
      <c r="A1071" t="s">
        <v>4604</v>
      </c>
      <c r="B1071" t="s">
        <v>4811</v>
      </c>
      <c r="C1071" t="s">
        <v>5741</v>
      </c>
      <c r="D1071">
        <v>0</v>
      </c>
      <c r="E1071">
        <v>0</v>
      </c>
      <c r="H1071" t="s">
        <v>4284</v>
      </c>
    </row>
    <row r="1072" spans="1:8">
      <c r="A1072" t="s">
        <v>4604</v>
      </c>
      <c r="B1072" t="s">
        <v>4812</v>
      </c>
      <c r="C1072" t="s">
        <v>5742</v>
      </c>
      <c r="D1072">
        <v>0</v>
      </c>
      <c r="E1072">
        <v>0</v>
      </c>
      <c r="H1072" t="s">
        <v>4284</v>
      </c>
    </row>
    <row r="1073" spans="1:8">
      <c r="A1073" t="s">
        <v>4604</v>
      </c>
      <c r="B1073" t="s">
        <v>4813</v>
      </c>
      <c r="C1073" t="s">
        <v>5742</v>
      </c>
      <c r="D1073" t="s">
        <v>6291</v>
      </c>
      <c r="E1073" t="s">
        <v>6292</v>
      </c>
      <c r="H1073" t="s">
        <v>4284</v>
      </c>
    </row>
    <row r="1074" spans="1:8">
      <c r="A1074" t="s">
        <v>4604</v>
      </c>
      <c r="B1074" t="s">
        <v>4814</v>
      </c>
      <c r="C1074" t="s">
        <v>5743</v>
      </c>
      <c r="D1074">
        <v>0</v>
      </c>
      <c r="E1074">
        <v>0</v>
      </c>
      <c r="H1074" t="s">
        <v>4284</v>
      </c>
    </row>
    <row r="1075" spans="1:8">
      <c r="A1075" t="s">
        <v>4604</v>
      </c>
      <c r="B1075" t="s">
        <v>4815</v>
      </c>
      <c r="C1075" t="s">
        <v>5743</v>
      </c>
      <c r="D1075">
        <v>0</v>
      </c>
      <c r="E1075">
        <v>0</v>
      </c>
      <c r="H1075" t="s">
        <v>4284</v>
      </c>
    </row>
    <row r="1076" spans="1:8">
      <c r="A1076">
        <v>11007007</v>
      </c>
      <c r="B1076" t="s">
        <v>4816</v>
      </c>
      <c r="C1076" t="s">
        <v>5744</v>
      </c>
      <c r="D1076" t="s">
        <v>6291</v>
      </c>
      <c r="E1076" t="s">
        <v>6292</v>
      </c>
      <c r="H1076" t="s">
        <v>4284</v>
      </c>
    </row>
    <row r="1077" spans="1:8">
      <c r="A1077" t="s">
        <v>4604</v>
      </c>
      <c r="B1077" t="s">
        <v>4817</v>
      </c>
      <c r="C1077" t="s">
        <v>5745</v>
      </c>
      <c r="D1077">
        <v>0</v>
      </c>
      <c r="E1077">
        <v>0</v>
      </c>
      <c r="H1077" t="s">
        <v>4284</v>
      </c>
    </row>
    <row r="1078" spans="1:8">
      <c r="A1078" t="s">
        <v>4604</v>
      </c>
      <c r="B1078" t="s">
        <v>4818</v>
      </c>
      <c r="C1078" t="s">
        <v>5745</v>
      </c>
      <c r="D1078">
        <v>0</v>
      </c>
      <c r="E1078">
        <v>0</v>
      </c>
      <c r="H1078" t="s">
        <v>4284</v>
      </c>
    </row>
    <row r="1079" spans="1:8">
      <c r="A1079" t="s">
        <v>4604</v>
      </c>
      <c r="B1079" t="s">
        <v>4819</v>
      </c>
      <c r="C1079" t="s">
        <v>5746</v>
      </c>
      <c r="D1079">
        <v>0</v>
      </c>
      <c r="E1079">
        <v>0</v>
      </c>
      <c r="H1079" t="s">
        <v>4284</v>
      </c>
    </row>
    <row r="1080" spans="1:8">
      <c r="A1080" t="s">
        <v>4604</v>
      </c>
      <c r="B1080" t="s">
        <v>4820</v>
      </c>
      <c r="C1080" t="s">
        <v>5746</v>
      </c>
      <c r="D1080" t="s">
        <v>6291</v>
      </c>
      <c r="E1080" t="s">
        <v>6292</v>
      </c>
      <c r="H1080" t="s">
        <v>4284</v>
      </c>
    </row>
    <row r="1081" spans="1:8">
      <c r="A1081" t="s">
        <v>4604</v>
      </c>
      <c r="B1081" t="s">
        <v>4821</v>
      </c>
      <c r="C1081" t="s">
        <v>5747</v>
      </c>
      <c r="D1081">
        <v>0</v>
      </c>
      <c r="E1081">
        <v>0</v>
      </c>
      <c r="H1081" t="s">
        <v>4284</v>
      </c>
    </row>
    <row r="1082" spans="1:8">
      <c r="A1082" t="s">
        <v>4604</v>
      </c>
      <c r="B1082" t="s">
        <v>4822</v>
      </c>
      <c r="C1082" t="s">
        <v>5747</v>
      </c>
      <c r="D1082">
        <v>0</v>
      </c>
      <c r="E1082">
        <v>0</v>
      </c>
      <c r="H1082" t="s">
        <v>4284</v>
      </c>
    </row>
    <row r="1083" spans="1:8">
      <c r="A1083" t="s">
        <v>4604</v>
      </c>
      <c r="B1083" t="s">
        <v>4823</v>
      </c>
      <c r="C1083" t="s">
        <v>5748</v>
      </c>
      <c r="D1083" t="s">
        <v>6291</v>
      </c>
      <c r="E1083" t="s">
        <v>6292</v>
      </c>
      <c r="H1083" t="s">
        <v>4284</v>
      </c>
    </row>
    <row r="1084" spans="1:8">
      <c r="A1084">
        <v>11007001</v>
      </c>
      <c r="B1084" t="s">
        <v>4824</v>
      </c>
      <c r="C1084" t="s">
        <v>5749</v>
      </c>
      <c r="D1084" t="s">
        <v>6293</v>
      </c>
      <c r="E1084" t="s">
        <v>6294</v>
      </c>
      <c r="H1084" t="s">
        <v>4284</v>
      </c>
    </row>
    <row r="1085" spans="1:8">
      <c r="A1085" t="s">
        <v>4604</v>
      </c>
      <c r="B1085" t="s">
        <v>4825</v>
      </c>
      <c r="C1085" t="s">
        <v>1116</v>
      </c>
      <c r="D1085" t="s">
        <v>6295</v>
      </c>
      <c r="E1085" t="s">
        <v>6296</v>
      </c>
      <c r="H1085" t="s">
        <v>4284</v>
      </c>
    </row>
    <row r="1086" spans="1:8">
      <c r="A1086" t="s">
        <v>4604</v>
      </c>
      <c r="B1086" t="s">
        <v>4826</v>
      </c>
      <c r="C1086" t="s">
        <v>5750</v>
      </c>
      <c r="D1086">
        <v>0</v>
      </c>
      <c r="E1086">
        <v>0</v>
      </c>
      <c r="H1086" t="s">
        <v>4284</v>
      </c>
    </row>
    <row r="1087" spans="1:8">
      <c r="A1087" t="s">
        <v>4604</v>
      </c>
      <c r="B1087" t="s">
        <v>4827</v>
      </c>
      <c r="C1087" t="s">
        <v>5750</v>
      </c>
      <c r="D1087" t="s">
        <v>6265</v>
      </c>
      <c r="E1087" t="s">
        <v>6266</v>
      </c>
      <c r="H1087" t="s">
        <v>4284</v>
      </c>
    </row>
    <row r="1088" spans="1:8">
      <c r="A1088" t="s">
        <v>4604</v>
      </c>
      <c r="B1088" t="s">
        <v>4828</v>
      </c>
      <c r="C1088" t="s">
        <v>5639</v>
      </c>
      <c r="D1088">
        <v>0</v>
      </c>
      <c r="E1088">
        <v>0</v>
      </c>
      <c r="H1088" t="s">
        <v>4284</v>
      </c>
    </row>
    <row r="1089" spans="1:8">
      <c r="A1089" t="s">
        <v>4604</v>
      </c>
      <c r="B1089" t="s">
        <v>4829</v>
      </c>
      <c r="C1089" t="s">
        <v>5751</v>
      </c>
      <c r="D1089" t="s">
        <v>6297</v>
      </c>
      <c r="E1089" t="s">
        <v>6292</v>
      </c>
      <c r="H1089" t="s">
        <v>4284</v>
      </c>
    </row>
    <row r="1090" spans="1:8">
      <c r="A1090" t="s">
        <v>4604</v>
      </c>
      <c r="B1090" t="s">
        <v>4830</v>
      </c>
      <c r="C1090" t="s">
        <v>5751</v>
      </c>
      <c r="D1090" t="s">
        <v>6291</v>
      </c>
      <c r="E1090" t="s">
        <v>6292</v>
      </c>
      <c r="H1090" t="s">
        <v>4284</v>
      </c>
    </row>
    <row r="1091" spans="1:8">
      <c r="A1091" t="s">
        <v>4604</v>
      </c>
      <c r="B1091" t="s">
        <v>4831</v>
      </c>
      <c r="C1091" t="s">
        <v>5619</v>
      </c>
      <c r="D1091" t="s">
        <v>6297</v>
      </c>
      <c r="E1091" t="s">
        <v>6292</v>
      </c>
      <c r="H1091" t="s">
        <v>4284</v>
      </c>
    </row>
    <row r="1092" spans="1:8">
      <c r="A1092" t="s">
        <v>4604</v>
      </c>
      <c r="B1092" t="s">
        <v>4832</v>
      </c>
      <c r="C1092" t="s">
        <v>5619</v>
      </c>
      <c r="D1092">
        <v>0</v>
      </c>
      <c r="E1092">
        <v>0</v>
      </c>
      <c r="H1092" t="s">
        <v>4284</v>
      </c>
    </row>
    <row r="1093" spans="1:8">
      <c r="A1093" t="s">
        <v>4604</v>
      </c>
      <c r="B1093" t="s">
        <v>4833</v>
      </c>
      <c r="C1093" t="s">
        <v>5752</v>
      </c>
      <c r="D1093" t="s">
        <v>6297</v>
      </c>
      <c r="E1093" t="s">
        <v>6292</v>
      </c>
      <c r="H1093" t="s">
        <v>4284</v>
      </c>
    </row>
    <row r="1094" spans="1:8">
      <c r="A1094" t="s">
        <v>4604</v>
      </c>
      <c r="B1094" t="s">
        <v>4834</v>
      </c>
      <c r="C1094" t="s">
        <v>5752</v>
      </c>
      <c r="D1094" t="s">
        <v>6291</v>
      </c>
      <c r="E1094" t="s">
        <v>6292</v>
      </c>
      <c r="H1094" t="s">
        <v>4284</v>
      </c>
    </row>
    <row r="1095" spans="1:8">
      <c r="A1095" t="s">
        <v>4604</v>
      </c>
      <c r="B1095" t="s">
        <v>4835</v>
      </c>
      <c r="C1095" t="s">
        <v>5621</v>
      </c>
      <c r="D1095" t="s">
        <v>6297</v>
      </c>
      <c r="E1095" t="s">
        <v>6292</v>
      </c>
      <c r="H1095" t="s">
        <v>4284</v>
      </c>
    </row>
    <row r="1096" spans="1:8">
      <c r="A1096" t="s">
        <v>4604</v>
      </c>
      <c r="B1096" t="s">
        <v>4836</v>
      </c>
      <c r="C1096" t="s">
        <v>5621</v>
      </c>
      <c r="D1096" t="s">
        <v>6291</v>
      </c>
      <c r="E1096" t="s">
        <v>6292</v>
      </c>
      <c r="H1096" t="s">
        <v>4284</v>
      </c>
    </row>
    <row r="1097" spans="1:8">
      <c r="A1097" t="s">
        <v>4604</v>
      </c>
      <c r="B1097" t="s">
        <v>4837</v>
      </c>
      <c r="C1097" t="s">
        <v>5753</v>
      </c>
      <c r="D1097" t="s">
        <v>6297</v>
      </c>
      <c r="E1097" t="s">
        <v>6292</v>
      </c>
      <c r="H1097" t="s">
        <v>4284</v>
      </c>
    </row>
    <row r="1098" spans="1:8">
      <c r="A1098" t="s">
        <v>4604</v>
      </c>
      <c r="B1098" t="s">
        <v>4838</v>
      </c>
      <c r="C1098" t="s">
        <v>5753</v>
      </c>
      <c r="D1098" t="s">
        <v>6291</v>
      </c>
      <c r="E1098" t="s">
        <v>6292</v>
      </c>
      <c r="H1098" t="s">
        <v>4284</v>
      </c>
    </row>
    <row r="1099" spans="1:8">
      <c r="A1099" t="s">
        <v>4604</v>
      </c>
      <c r="B1099" t="s">
        <v>4839</v>
      </c>
      <c r="C1099" t="s">
        <v>5754</v>
      </c>
      <c r="D1099" t="s">
        <v>6297</v>
      </c>
      <c r="E1099" t="s">
        <v>6292</v>
      </c>
      <c r="H1099" t="s">
        <v>4284</v>
      </c>
    </row>
    <row r="1100" spans="1:8">
      <c r="A1100" t="s">
        <v>4604</v>
      </c>
      <c r="B1100" t="s">
        <v>4840</v>
      </c>
      <c r="C1100" t="s">
        <v>5754</v>
      </c>
      <c r="D1100">
        <v>0</v>
      </c>
      <c r="E1100">
        <v>0</v>
      </c>
      <c r="H1100" t="s">
        <v>4284</v>
      </c>
    </row>
    <row r="1101" spans="1:8">
      <c r="A1101" t="s">
        <v>4604</v>
      </c>
      <c r="B1101" t="s">
        <v>4841</v>
      </c>
      <c r="C1101" t="s">
        <v>5755</v>
      </c>
      <c r="D1101" t="s">
        <v>6277</v>
      </c>
      <c r="E1101" t="s">
        <v>6278</v>
      </c>
      <c r="H1101" t="s">
        <v>4284</v>
      </c>
    </row>
    <row r="1102" spans="1:8">
      <c r="A1102" t="s">
        <v>4604</v>
      </c>
      <c r="B1102" t="s">
        <v>4842</v>
      </c>
      <c r="C1102" t="s">
        <v>5756</v>
      </c>
      <c r="D1102" t="s">
        <v>6277</v>
      </c>
      <c r="E1102" t="s">
        <v>6278</v>
      </c>
      <c r="H1102" t="s">
        <v>4284</v>
      </c>
    </row>
    <row r="1103" spans="1:8">
      <c r="A1103" t="s">
        <v>4604</v>
      </c>
      <c r="B1103" t="s">
        <v>4843</v>
      </c>
      <c r="C1103" t="s">
        <v>5757</v>
      </c>
      <c r="D1103" t="s">
        <v>6277</v>
      </c>
      <c r="E1103" t="s">
        <v>6278</v>
      </c>
      <c r="H1103" t="s">
        <v>4284</v>
      </c>
    </row>
    <row r="1104" spans="1:8">
      <c r="A1104" t="s">
        <v>4604</v>
      </c>
      <c r="B1104" t="s">
        <v>4844</v>
      </c>
      <c r="C1104" t="s">
        <v>5758</v>
      </c>
      <c r="D1104" t="s">
        <v>6277</v>
      </c>
      <c r="E1104" t="s">
        <v>6278</v>
      </c>
      <c r="H1104" t="s">
        <v>4284</v>
      </c>
    </row>
    <row r="1105" spans="1:8">
      <c r="A1105" t="s">
        <v>4604</v>
      </c>
      <c r="B1105" t="s">
        <v>4845</v>
      </c>
      <c r="C1105" t="s">
        <v>5759</v>
      </c>
      <c r="D1105" t="s">
        <v>6277</v>
      </c>
      <c r="E1105" t="s">
        <v>6278</v>
      </c>
      <c r="H1105" t="s">
        <v>4284</v>
      </c>
    </row>
    <row r="1106" spans="1:8">
      <c r="A1106" t="s">
        <v>4604</v>
      </c>
      <c r="B1106" t="s">
        <v>4846</v>
      </c>
      <c r="C1106" t="s">
        <v>5760</v>
      </c>
      <c r="D1106" t="s">
        <v>6277</v>
      </c>
      <c r="E1106" t="s">
        <v>6278</v>
      </c>
      <c r="H1106" t="s">
        <v>4284</v>
      </c>
    </row>
    <row r="1107" spans="1:8">
      <c r="A1107" t="s">
        <v>4604</v>
      </c>
      <c r="B1107" t="s">
        <v>4847</v>
      </c>
      <c r="C1107" t="s">
        <v>5761</v>
      </c>
      <c r="D1107" t="s">
        <v>6277</v>
      </c>
      <c r="E1107" t="s">
        <v>6278</v>
      </c>
      <c r="H1107" t="s">
        <v>4284</v>
      </c>
    </row>
    <row r="1108" spans="1:8">
      <c r="A1108" t="s">
        <v>4604</v>
      </c>
      <c r="B1108" t="s">
        <v>4848</v>
      </c>
      <c r="C1108" t="s">
        <v>5762</v>
      </c>
      <c r="D1108" t="s">
        <v>6277</v>
      </c>
      <c r="E1108" t="s">
        <v>6278</v>
      </c>
      <c r="H1108" t="s">
        <v>4284</v>
      </c>
    </row>
    <row r="1109" spans="1:8">
      <c r="A1109" t="s">
        <v>4604</v>
      </c>
      <c r="B1109" t="s">
        <v>4849</v>
      </c>
      <c r="C1109" t="s">
        <v>5763</v>
      </c>
      <c r="D1109" t="s">
        <v>6298</v>
      </c>
      <c r="E1109" t="s">
        <v>6276</v>
      </c>
      <c r="H1109" t="s">
        <v>4284</v>
      </c>
    </row>
    <row r="1110" spans="1:8">
      <c r="A1110" t="s">
        <v>4604</v>
      </c>
      <c r="B1110" t="s">
        <v>4850</v>
      </c>
      <c r="C1110" t="s">
        <v>5763</v>
      </c>
      <c r="D1110" t="s">
        <v>6275</v>
      </c>
      <c r="E1110" t="s">
        <v>6276</v>
      </c>
      <c r="H1110" t="s">
        <v>4284</v>
      </c>
    </row>
    <row r="1111" spans="1:8">
      <c r="A1111" t="s">
        <v>4604</v>
      </c>
      <c r="B1111" t="s">
        <v>4851</v>
      </c>
      <c r="C1111" t="s">
        <v>5653</v>
      </c>
      <c r="D1111" t="s">
        <v>6298</v>
      </c>
      <c r="E1111" t="s">
        <v>6276</v>
      </c>
      <c r="H1111" t="s">
        <v>4284</v>
      </c>
    </row>
    <row r="1112" spans="1:8">
      <c r="A1112" t="s">
        <v>4604</v>
      </c>
      <c r="B1112" t="s">
        <v>4852</v>
      </c>
      <c r="C1112" t="s">
        <v>5653</v>
      </c>
      <c r="D1112" t="s">
        <v>6275</v>
      </c>
      <c r="E1112" t="s">
        <v>6276</v>
      </c>
      <c r="H1112" t="s">
        <v>4284</v>
      </c>
    </row>
    <row r="1113" spans="1:8">
      <c r="A1113" t="s">
        <v>4604</v>
      </c>
      <c r="B1113" t="s">
        <v>4853</v>
      </c>
      <c r="C1113" t="s">
        <v>5764</v>
      </c>
      <c r="D1113" t="s">
        <v>6298</v>
      </c>
      <c r="E1113" t="s">
        <v>6276</v>
      </c>
      <c r="H1113" t="s">
        <v>4284</v>
      </c>
    </row>
    <row r="1114" spans="1:8">
      <c r="A1114" t="s">
        <v>4604</v>
      </c>
      <c r="B1114" t="s">
        <v>4854</v>
      </c>
      <c r="C1114" t="s">
        <v>5764</v>
      </c>
      <c r="D1114" t="s">
        <v>6275</v>
      </c>
      <c r="E1114" t="s">
        <v>6276</v>
      </c>
      <c r="H1114" t="s">
        <v>4284</v>
      </c>
    </row>
    <row r="1115" spans="1:8">
      <c r="A1115" t="s">
        <v>4604</v>
      </c>
      <c r="B1115" t="s">
        <v>4855</v>
      </c>
      <c r="C1115" t="s">
        <v>5765</v>
      </c>
      <c r="D1115" t="s">
        <v>6298</v>
      </c>
      <c r="E1115" t="s">
        <v>6276</v>
      </c>
      <c r="H1115" t="s">
        <v>4284</v>
      </c>
    </row>
    <row r="1116" spans="1:8">
      <c r="A1116" t="s">
        <v>4604</v>
      </c>
      <c r="B1116" t="s">
        <v>4856</v>
      </c>
      <c r="C1116" t="s">
        <v>5765</v>
      </c>
      <c r="D1116">
        <v>0</v>
      </c>
      <c r="E1116">
        <v>0</v>
      </c>
      <c r="H1116" t="s">
        <v>4284</v>
      </c>
    </row>
    <row r="1117" spans="1:8">
      <c r="A1117" t="s">
        <v>4604</v>
      </c>
      <c r="B1117" t="s">
        <v>4857</v>
      </c>
      <c r="C1117" t="s">
        <v>5766</v>
      </c>
      <c r="D1117" t="s">
        <v>6295</v>
      </c>
      <c r="E1117" t="s">
        <v>6296</v>
      </c>
      <c r="H1117" t="s">
        <v>4284</v>
      </c>
    </row>
    <row r="1118" spans="1:8">
      <c r="A1118">
        <v>11006981</v>
      </c>
      <c r="B1118" t="s">
        <v>4858</v>
      </c>
      <c r="C1118" t="s">
        <v>5767</v>
      </c>
      <c r="D1118" t="s">
        <v>6299</v>
      </c>
      <c r="E1118" t="s">
        <v>6300</v>
      </c>
      <c r="H1118" t="s">
        <v>4284</v>
      </c>
    </row>
    <row r="1119" spans="1:8">
      <c r="A1119">
        <v>11006979</v>
      </c>
      <c r="B1119" t="s">
        <v>4859</v>
      </c>
      <c r="C1119" t="s">
        <v>5768</v>
      </c>
      <c r="D1119" t="s">
        <v>6299</v>
      </c>
      <c r="E1119" t="s">
        <v>6300</v>
      </c>
      <c r="H1119" t="s">
        <v>4284</v>
      </c>
    </row>
    <row r="1120" spans="1:8">
      <c r="A1120" t="s">
        <v>4604</v>
      </c>
      <c r="B1120" t="s">
        <v>4860</v>
      </c>
      <c r="C1120" t="s">
        <v>5769</v>
      </c>
      <c r="D1120" t="s">
        <v>6220</v>
      </c>
      <c r="E1120" t="s">
        <v>5949</v>
      </c>
      <c r="H1120" t="s">
        <v>4284</v>
      </c>
    </row>
    <row r="1121" spans="1:8">
      <c r="A1121" t="s">
        <v>4604</v>
      </c>
      <c r="B1121" t="s">
        <v>4861</v>
      </c>
      <c r="C1121" t="s">
        <v>5768</v>
      </c>
      <c r="D1121" t="s">
        <v>6220</v>
      </c>
      <c r="E1121" t="s">
        <v>5949</v>
      </c>
      <c r="H1121" t="s">
        <v>4284</v>
      </c>
    </row>
    <row r="1122" spans="1:8">
      <c r="A1122">
        <v>11006978</v>
      </c>
      <c r="B1122" t="s">
        <v>4862</v>
      </c>
      <c r="C1122" t="s">
        <v>5770</v>
      </c>
      <c r="D1122" t="s">
        <v>6301</v>
      </c>
      <c r="E1122" t="s">
        <v>6302</v>
      </c>
      <c r="H1122" t="s">
        <v>4284</v>
      </c>
    </row>
    <row r="1123" spans="1:8">
      <c r="A1123">
        <v>11006977</v>
      </c>
      <c r="B1123" t="s">
        <v>4863</v>
      </c>
      <c r="C1123" t="s">
        <v>5771</v>
      </c>
      <c r="D1123" t="s">
        <v>6301</v>
      </c>
      <c r="E1123" t="s">
        <v>6302</v>
      </c>
      <c r="H1123" t="s">
        <v>4284</v>
      </c>
    </row>
    <row r="1124" spans="1:8">
      <c r="A1124">
        <v>11006976</v>
      </c>
      <c r="B1124" t="s">
        <v>4864</v>
      </c>
      <c r="C1124" t="s">
        <v>5772</v>
      </c>
      <c r="D1124" t="s">
        <v>6301</v>
      </c>
      <c r="E1124" t="s">
        <v>6302</v>
      </c>
      <c r="H1124" t="s">
        <v>4284</v>
      </c>
    </row>
    <row r="1125" spans="1:8">
      <c r="A1125">
        <v>11006975</v>
      </c>
      <c r="B1125" t="s">
        <v>4865</v>
      </c>
      <c r="C1125" t="s">
        <v>5773</v>
      </c>
      <c r="D1125" t="s">
        <v>6301</v>
      </c>
      <c r="E1125" t="s">
        <v>6302</v>
      </c>
      <c r="H1125" t="s">
        <v>4284</v>
      </c>
    </row>
    <row r="1126" spans="1:8">
      <c r="A1126">
        <v>11006974</v>
      </c>
      <c r="B1126" t="s">
        <v>4866</v>
      </c>
      <c r="C1126" t="s">
        <v>5774</v>
      </c>
      <c r="D1126" t="s">
        <v>6303</v>
      </c>
      <c r="E1126" t="s">
        <v>5949</v>
      </c>
      <c r="H1126" t="s">
        <v>4284</v>
      </c>
    </row>
    <row r="1127" spans="1:8">
      <c r="A1127">
        <v>11006973</v>
      </c>
      <c r="B1127" t="s">
        <v>4867</v>
      </c>
      <c r="C1127" t="s">
        <v>5775</v>
      </c>
      <c r="D1127" t="s">
        <v>6303</v>
      </c>
      <c r="E1127" t="s">
        <v>5949</v>
      </c>
      <c r="H1127" t="s">
        <v>4284</v>
      </c>
    </row>
    <row r="1128" spans="1:8">
      <c r="A1128" t="s">
        <v>4604</v>
      </c>
      <c r="B1128" t="s">
        <v>4868</v>
      </c>
      <c r="C1128" t="s">
        <v>5776</v>
      </c>
      <c r="D1128" t="s">
        <v>6303</v>
      </c>
      <c r="E1128" t="s">
        <v>5949</v>
      </c>
      <c r="H1128" t="s">
        <v>4284</v>
      </c>
    </row>
    <row r="1129" spans="1:8">
      <c r="A1129" t="s">
        <v>4604</v>
      </c>
      <c r="B1129" t="s">
        <v>4869</v>
      </c>
      <c r="C1129" t="s">
        <v>5777</v>
      </c>
      <c r="D1129" t="s">
        <v>6303</v>
      </c>
      <c r="E1129" t="s">
        <v>5949</v>
      </c>
      <c r="H1129" t="s">
        <v>4284</v>
      </c>
    </row>
    <row r="1130" spans="1:8">
      <c r="A1130">
        <v>11006972</v>
      </c>
      <c r="B1130" t="s">
        <v>4870</v>
      </c>
      <c r="C1130" t="s">
        <v>5778</v>
      </c>
      <c r="D1130" t="s">
        <v>6304</v>
      </c>
      <c r="E1130" t="s">
        <v>5949</v>
      </c>
      <c r="H1130" t="s">
        <v>4284</v>
      </c>
    </row>
    <row r="1131" spans="1:8">
      <c r="A1131" t="s">
        <v>4604</v>
      </c>
      <c r="B1131" t="s">
        <v>4871</v>
      </c>
      <c r="C1131" t="s">
        <v>5779</v>
      </c>
      <c r="D1131" t="s">
        <v>6304</v>
      </c>
      <c r="E1131" t="s">
        <v>5949</v>
      </c>
      <c r="H1131" t="s">
        <v>4284</v>
      </c>
    </row>
    <row r="1132" spans="1:8">
      <c r="A1132" t="s">
        <v>4604</v>
      </c>
      <c r="B1132" t="s">
        <v>4872</v>
      </c>
      <c r="C1132" t="s">
        <v>5780</v>
      </c>
      <c r="D1132">
        <v>0</v>
      </c>
      <c r="E1132">
        <v>0</v>
      </c>
      <c r="H1132" t="s">
        <v>4284</v>
      </c>
    </row>
    <row r="1133" spans="1:8">
      <c r="A1133" t="s">
        <v>4604</v>
      </c>
      <c r="B1133" t="s">
        <v>4873</v>
      </c>
      <c r="C1133" t="s">
        <v>5781</v>
      </c>
      <c r="D1133">
        <v>0</v>
      </c>
      <c r="E1133">
        <v>0</v>
      </c>
      <c r="H1133" t="s">
        <v>4284</v>
      </c>
    </row>
    <row r="1134" spans="1:8">
      <c r="A1134" t="s">
        <v>4604</v>
      </c>
      <c r="B1134" t="s">
        <v>4874</v>
      </c>
      <c r="C1134" t="s">
        <v>5782</v>
      </c>
      <c r="D1134">
        <v>0</v>
      </c>
      <c r="E1134">
        <v>0</v>
      </c>
      <c r="H1134" t="s">
        <v>4284</v>
      </c>
    </row>
    <row r="1135" spans="1:8">
      <c r="A1135" t="s">
        <v>4604</v>
      </c>
      <c r="B1135" t="s">
        <v>4875</v>
      </c>
      <c r="C1135" t="s">
        <v>5783</v>
      </c>
      <c r="D1135">
        <v>0</v>
      </c>
      <c r="E1135">
        <v>0</v>
      </c>
      <c r="H1135" t="s">
        <v>4284</v>
      </c>
    </row>
    <row r="1136" spans="1:8">
      <c r="A1136" t="s">
        <v>4604</v>
      </c>
      <c r="B1136" t="s">
        <v>4876</v>
      </c>
      <c r="C1136" t="s">
        <v>5784</v>
      </c>
      <c r="D1136">
        <v>0</v>
      </c>
      <c r="E1136">
        <v>0</v>
      </c>
      <c r="H1136" t="s">
        <v>4284</v>
      </c>
    </row>
    <row r="1137" spans="1:8">
      <c r="A1137" t="s">
        <v>4604</v>
      </c>
      <c r="B1137" t="s">
        <v>4877</v>
      </c>
      <c r="C1137" t="s">
        <v>5745</v>
      </c>
      <c r="D1137">
        <v>0</v>
      </c>
      <c r="E1137">
        <v>0</v>
      </c>
      <c r="H1137" t="s">
        <v>4284</v>
      </c>
    </row>
    <row r="1138" spans="1:8">
      <c r="A1138" t="s">
        <v>4604</v>
      </c>
      <c r="B1138" t="s">
        <v>4878</v>
      </c>
      <c r="C1138" t="s">
        <v>5785</v>
      </c>
      <c r="D1138">
        <v>0</v>
      </c>
      <c r="E1138">
        <v>0</v>
      </c>
      <c r="H1138" t="s">
        <v>4284</v>
      </c>
    </row>
    <row r="1139" spans="1:8">
      <c r="A1139" t="s">
        <v>4604</v>
      </c>
      <c r="B1139" t="s">
        <v>4879</v>
      </c>
      <c r="C1139" t="s">
        <v>5785</v>
      </c>
      <c r="D1139">
        <v>0</v>
      </c>
      <c r="E1139">
        <v>0</v>
      </c>
      <c r="H1139" t="s">
        <v>4284</v>
      </c>
    </row>
    <row r="1140" spans="1:8">
      <c r="A1140" t="s">
        <v>4604</v>
      </c>
      <c r="B1140" t="s">
        <v>4880</v>
      </c>
      <c r="C1140" t="s">
        <v>1089</v>
      </c>
      <c r="D1140">
        <v>0</v>
      </c>
      <c r="E1140">
        <v>0</v>
      </c>
      <c r="H1140" t="s">
        <v>4284</v>
      </c>
    </row>
    <row r="1141" spans="1:8">
      <c r="A1141" t="s">
        <v>4604</v>
      </c>
      <c r="B1141" t="s">
        <v>4881</v>
      </c>
      <c r="C1141" t="s">
        <v>1089</v>
      </c>
      <c r="D1141">
        <v>0</v>
      </c>
      <c r="E1141">
        <v>0</v>
      </c>
      <c r="H1141" t="s">
        <v>4284</v>
      </c>
    </row>
    <row r="1142" spans="1:8">
      <c r="A1142" t="s">
        <v>4604</v>
      </c>
      <c r="B1142" t="s">
        <v>4882</v>
      </c>
      <c r="C1142" t="s">
        <v>1089</v>
      </c>
      <c r="D1142">
        <v>0</v>
      </c>
      <c r="E1142">
        <v>0</v>
      </c>
      <c r="H1142" t="s">
        <v>4284</v>
      </c>
    </row>
    <row r="1143" spans="1:8">
      <c r="A1143" t="s">
        <v>4604</v>
      </c>
      <c r="B1143" t="s">
        <v>4883</v>
      </c>
      <c r="C1143" t="s">
        <v>5747</v>
      </c>
      <c r="D1143">
        <v>0</v>
      </c>
      <c r="E1143">
        <v>0</v>
      </c>
      <c r="H1143" t="s">
        <v>4284</v>
      </c>
    </row>
    <row r="1144" spans="1:8">
      <c r="A1144" t="s">
        <v>4604</v>
      </c>
      <c r="B1144" t="s">
        <v>4884</v>
      </c>
      <c r="C1144" t="s">
        <v>5747</v>
      </c>
      <c r="D1144">
        <v>0</v>
      </c>
      <c r="E1144">
        <v>0</v>
      </c>
      <c r="H1144" t="s">
        <v>4284</v>
      </c>
    </row>
    <row r="1145" spans="1:8">
      <c r="A1145" t="s">
        <v>4604</v>
      </c>
      <c r="B1145" t="s">
        <v>4885</v>
      </c>
      <c r="C1145" t="s">
        <v>5747</v>
      </c>
      <c r="D1145">
        <v>0</v>
      </c>
      <c r="E1145">
        <v>0</v>
      </c>
      <c r="H1145" t="s">
        <v>4284</v>
      </c>
    </row>
    <row r="1146" spans="1:8">
      <c r="A1146" t="s">
        <v>4604</v>
      </c>
      <c r="B1146" t="s">
        <v>4886</v>
      </c>
      <c r="C1146" t="s">
        <v>5786</v>
      </c>
      <c r="D1146">
        <v>0</v>
      </c>
      <c r="E1146">
        <v>0</v>
      </c>
      <c r="H1146" t="s">
        <v>4284</v>
      </c>
    </row>
    <row r="1147" spans="1:8">
      <c r="A1147" t="s">
        <v>4604</v>
      </c>
      <c r="B1147" t="s">
        <v>4887</v>
      </c>
      <c r="C1147" t="s">
        <v>5787</v>
      </c>
      <c r="D1147">
        <v>0</v>
      </c>
      <c r="E1147">
        <v>0</v>
      </c>
      <c r="H1147" t="s">
        <v>4284</v>
      </c>
    </row>
    <row r="1148" spans="1:8">
      <c r="A1148" t="s">
        <v>4604</v>
      </c>
      <c r="B1148" t="s">
        <v>4888</v>
      </c>
      <c r="C1148" t="s">
        <v>5787</v>
      </c>
      <c r="D1148">
        <v>0</v>
      </c>
      <c r="E1148">
        <v>0</v>
      </c>
      <c r="H1148" t="s">
        <v>4284</v>
      </c>
    </row>
    <row r="1149" spans="1:8">
      <c r="A1149" t="s">
        <v>4604</v>
      </c>
      <c r="B1149" t="s">
        <v>4889</v>
      </c>
      <c r="C1149" t="s">
        <v>5788</v>
      </c>
      <c r="D1149">
        <v>0</v>
      </c>
      <c r="E1149">
        <v>0</v>
      </c>
      <c r="H1149" t="s">
        <v>4284</v>
      </c>
    </row>
    <row r="1150" spans="1:8">
      <c r="A1150" t="s">
        <v>4604</v>
      </c>
      <c r="B1150" t="s">
        <v>4890</v>
      </c>
      <c r="C1150" t="s">
        <v>5788</v>
      </c>
      <c r="D1150">
        <v>0</v>
      </c>
      <c r="E1150">
        <v>0</v>
      </c>
      <c r="H1150" t="s">
        <v>4284</v>
      </c>
    </row>
    <row r="1151" spans="1:8">
      <c r="A1151" t="s">
        <v>4604</v>
      </c>
      <c r="B1151" t="s">
        <v>4891</v>
      </c>
      <c r="C1151" t="s">
        <v>5788</v>
      </c>
      <c r="D1151">
        <v>0</v>
      </c>
      <c r="E1151">
        <v>0</v>
      </c>
      <c r="H1151" t="s">
        <v>4284</v>
      </c>
    </row>
    <row r="1152" spans="1:8">
      <c r="A1152" t="s">
        <v>4604</v>
      </c>
      <c r="B1152" t="s">
        <v>4892</v>
      </c>
      <c r="C1152" t="s">
        <v>5789</v>
      </c>
      <c r="D1152">
        <v>0</v>
      </c>
      <c r="E1152">
        <v>0</v>
      </c>
      <c r="H1152" t="s">
        <v>4284</v>
      </c>
    </row>
    <row r="1153" spans="1:8">
      <c r="A1153" t="s">
        <v>4604</v>
      </c>
      <c r="B1153" t="s">
        <v>4893</v>
      </c>
      <c r="C1153" t="s">
        <v>5790</v>
      </c>
      <c r="D1153">
        <v>0</v>
      </c>
      <c r="E1153">
        <v>0</v>
      </c>
      <c r="H1153" t="s">
        <v>4284</v>
      </c>
    </row>
    <row r="1154" spans="1:8">
      <c r="A1154" t="s">
        <v>4604</v>
      </c>
      <c r="B1154" t="s">
        <v>4894</v>
      </c>
      <c r="C1154" t="s">
        <v>5790</v>
      </c>
      <c r="D1154">
        <v>0</v>
      </c>
      <c r="E1154">
        <v>0</v>
      </c>
      <c r="H1154" t="s">
        <v>4284</v>
      </c>
    </row>
    <row r="1155" spans="1:8">
      <c r="A1155" t="s">
        <v>4604</v>
      </c>
      <c r="B1155" t="s">
        <v>4895</v>
      </c>
      <c r="C1155" t="s">
        <v>5685</v>
      </c>
      <c r="D1155">
        <v>0</v>
      </c>
      <c r="E1155">
        <v>0</v>
      </c>
      <c r="H1155" t="s">
        <v>4284</v>
      </c>
    </row>
    <row r="1156" spans="1:8">
      <c r="A1156" t="s">
        <v>4604</v>
      </c>
      <c r="B1156" t="s">
        <v>4896</v>
      </c>
      <c r="C1156" t="s">
        <v>5624</v>
      </c>
      <c r="D1156">
        <v>0</v>
      </c>
      <c r="E1156">
        <v>0</v>
      </c>
      <c r="H1156" t="s">
        <v>4284</v>
      </c>
    </row>
    <row r="1157" spans="1:8">
      <c r="A1157" t="s">
        <v>4604</v>
      </c>
      <c r="B1157" t="s">
        <v>4897</v>
      </c>
      <c r="C1157" t="s">
        <v>5624</v>
      </c>
      <c r="D1157">
        <v>0</v>
      </c>
      <c r="E1157">
        <v>0</v>
      </c>
      <c r="H1157" t="s">
        <v>4284</v>
      </c>
    </row>
    <row r="1158" spans="1:8">
      <c r="A1158" t="s">
        <v>4604</v>
      </c>
      <c r="B1158" t="s">
        <v>4898</v>
      </c>
      <c r="C1158" t="s">
        <v>5791</v>
      </c>
      <c r="D1158">
        <v>0</v>
      </c>
      <c r="E1158">
        <v>0</v>
      </c>
      <c r="H1158" t="s">
        <v>4284</v>
      </c>
    </row>
    <row r="1159" spans="1:8">
      <c r="A1159" t="s">
        <v>4604</v>
      </c>
      <c r="B1159" t="s">
        <v>4899</v>
      </c>
      <c r="C1159" t="s">
        <v>5792</v>
      </c>
      <c r="D1159">
        <v>0</v>
      </c>
      <c r="E1159">
        <v>0</v>
      </c>
      <c r="H1159" t="s">
        <v>4284</v>
      </c>
    </row>
    <row r="1160" spans="1:8">
      <c r="A1160" t="s">
        <v>4604</v>
      </c>
      <c r="B1160" t="s">
        <v>4900</v>
      </c>
      <c r="C1160" t="s">
        <v>5792</v>
      </c>
      <c r="D1160">
        <v>0</v>
      </c>
      <c r="E1160">
        <v>0</v>
      </c>
      <c r="H1160" t="s">
        <v>4284</v>
      </c>
    </row>
    <row r="1161" spans="1:8">
      <c r="A1161" t="s">
        <v>4604</v>
      </c>
      <c r="B1161" t="s">
        <v>4901</v>
      </c>
      <c r="C1161" t="s">
        <v>5686</v>
      </c>
      <c r="D1161">
        <v>0</v>
      </c>
      <c r="E1161">
        <v>0</v>
      </c>
      <c r="H1161" t="s">
        <v>4284</v>
      </c>
    </row>
    <row r="1162" spans="1:8">
      <c r="A1162" t="s">
        <v>4604</v>
      </c>
      <c r="B1162" t="s">
        <v>4902</v>
      </c>
      <c r="C1162" t="s">
        <v>5686</v>
      </c>
      <c r="D1162">
        <v>0</v>
      </c>
      <c r="E1162">
        <v>0</v>
      </c>
      <c r="H1162" t="s">
        <v>4284</v>
      </c>
    </row>
    <row r="1163" spans="1:8">
      <c r="A1163" t="s">
        <v>4604</v>
      </c>
      <c r="B1163" t="s">
        <v>4903</v>
      </c>
      <c r="C1163" t="s">
        <v>5686</v>
      </c>
      <c r="D1163">
        <v>0</v>
      </c>
      <c r="E1163">
        <v>0</v>
      </c>
      <c r="H1163" t="s">
        <v>4284</v>
      </c>
    </row>
    <row r="1164" spans="1:8">
      <c r="A1164" t="s">
        <v>4604</v>
      </c>
      <c r="B1164" t="s">
        <v>4904</v>
      </c>
      <c r="C1164" t="s">
        <v>5627</v>
      </c>
      <c r="D1164">
        <v>0</v>
      </c>
      <c r="E1164">
        <v>0</v>
      </c>
      <c r="H1164" t="s">
        <v>4284</v>
      </c>
    </row>
    <row r="1165" spans="1:8">
      <c r="A1165" t="s">
        <v>4604</v>
      </c>
      <c r="B1165" t="s">
        <v>4905</v>
      </c>
      <c r="C1165" t="s">
        <v>5627</v>
      </c>
      <c r="D1165">
        <v>0</v>
      </c>
      <c r="E1165">
        <v>0</v>
      </c>
      <c r="H1165" t="s">
        <v>4284</v>
      </c>
    </row>
    <row r="1166" spans="1:8">
      <c r="A1166" t="s">
        <v>4604</v>
      </c>
      <c r="B1166" t="s">
        <v>4906</v>
      </c>
      <c r="C1166" t="s">
        <v>5627</v>
      </c>
      <c r="D1166">
        <v>0</v>
      </c>
      <c r="E1166">
        <v>0</v>
      </c>
      <c r="H1166" t="s">
        <v>4284</v>
      </c>
    </row>
    <row r="1167" spans="1:8">
      <c r="A1167">
        <v>11006856</v>
      </c>
      <c r="B1167" t="s">
        <v>4907</v>
      </c>
      <c r="C1167" t="s">
        <v>5793</v>
      </c>
      <c r="D1167" t="s">
        <v>6305</v>
      </c>
      <c r="E1167" t="s">
        <v>5949</v>
      </c>
      <c r="H1167" t="s">
        <v>4284</v>
      </c>
    </row>
    <row r="1168" spans="1:8">
      <c r="A1168" t="s">
        <v>4604</v>
      </c>
      <c r="B1168" t="s">
        <v>4908</v>
      </c>
      <c r="C1168" t="s">
        <v>5794</v>
      </c>
      <c r="D1168" t="s">
        <v>6305</v>
      </c>
      <c r="E1168" t="s">
        <v>5949</v>
      </c>
      <c r="H1168" t="s">
        <v>4284</v>
      </c>
    </row>
    <row r="1169" spans="1:8">
      <c r="A1169">
        <v>11006854</v>
      </c>
      <c r="B1169" t="s">
        <v>4909</v>
      </c>
      <c r="C1169" t="s">
        <v>5793</v>
      </c>
      <c r="D1169" t="s">
        <v>6306</v>
      </c>
      <c r="E1169" t="s">
        <v>6307</v>
      </c>
      <c r="H1169" t="s">
        <v>4284</v>
      </c>
    </row>
    <row r="1170" spans="1:8">
      <c r="A1170">
        <v>11006852</v>
      </c>
      <c r="B1170" t="s">
        <v>4910</v>
      </c>
      <c r="C1170" t="s">
        <v>5794</v>
      </c>
      <c r="D1170" t="s">
        <v>6306</v>
      </c>
      <c r="E1170" t="s">
        <v>6307</v>
      </c>
      <c r="H1170" t="s">
        <v>4284</v>
      </c>
    </row>
    <row r="1171" spans="1:8">
      <c r="A1171">
        <v>11006851</v>
      </c>
      <c r="B1171" t="s">
        <v>4911</v>
      </c>
      <c r="C1171" t="s">
        <v>5795</v>
      </c>
      <c r="D1171" t="s">
        <v>6308</v>
      </c>
      <c r="E1171" t="s">
        <v>6309</v>
      </c>
      <c r="H1171" t="s">
        <v>4284</v>
      </c>
    </row>
    <row r="1172" spans="1:8">
      <c r="A1172">
        <v>11006849</v>
      </c>
      <c r="B1172" t="s">
        <v>4912</v>
      </c>
      <c r="C1172" t="s">
        <v>5796</v>
      </c>
      <c r="D1172" t="s">
        <v>6308</v>
      </c>
      <c r="E1172" t="s">
        <v>6309</v>
      </c>
      <c r="H1172" t="s">
        <v>4284</v>
      </c>
    </row>
    <row r="1173" spans="1:8">
      <c r="A1173">
        <v>11006847</v>
      </c>
      <c r="B1173" t="s">
        <v>4913</v>
      </c>
      <c r="C1173" t="s">
        <v>5797</v>
      </c>
      <c r="D1173" t="s">
        <v>6308</v>
      </c>
      <c r="E1173" t="s">
        <v>6309</v>
      </c>
      <c r="H1173" t="s">
        <v>4284</v>
      </c>
    </row>
    <row r="1174" spans="1:8">
      <c r="A1174">
        <v>11006845</v>
      </c>
      <c r="B1174" t="s">
        <v>4914</v>
      </c>
      <c r="C1174" t="s">
        <v>5798</v>
      </c>
      <c r="D1174" t="s">
        <v>6308</v>
      </c>
      <c r="E1174" t="s">
        <v>6309</v>
      </c>
      <c r="H1174" t="s">
        <v>4284</v>
      </c>
    </row>
    <row r="1175" spans="1:8">
      <c r="A1175">
        <v>11006844</v>
      </c>
      <c r="B1175" t="s">
        <v>4915</v>
      </c>
      <c r="C1175" t="s">
        <v>5799</v>
      </c>
      <c r="D1175" t="s">
        <v>6308</v>
      </c>
      <c r="E1175" t="s">
        <v>6309</v>
      </c>
      <c r="H1175" t="s">
        <v>4284</v>
      </c>
    </row>
    <row r="1176" spans="1:8">
      <c r="A1176">
        <v>11006843</v>
      </c>
      <c r="B1176" t="s">
        <v>4916</v>
      </c>
      <c r="C1176" t="s">
        <v>5800</v>
      </c>
      <c r="D1176" t="s">
        <v>6308</v>
      </c>
      <c r="E1176" t="s">
        <v>6309</v>
      </c>
      <c r="H1176" t="s">
        <v>4284</v>
      </c>
    </row>
    <row r="1177" spans="1:8">
      <c r="A1177" t="s">
        <v>4604</v>
      </c>
      <c r="B1177" t="s">
        <v>4917</v>
      </c>
      <c r="C1177" t="s">
        <v>5801</v>
      </c>
      <c r="D1177">
        <v>0</v>
      </c>
      <c r="E1177">
        <v>0</v>
      </c>
      <c r="H1177" t="s">
        <v>4284</v>
      </c>
    </row>
    <row r="1178" spans="1:8">
      <c r="A1178" t="s">
        <v>4604</v>
      </c>
      <c r="B1178" t="s">
        <v>4918</v>
      </c>
      <c r="C1178" t="s">
        <v>5801</v>
      </c>
      <c r="D1178">
        <v>0</v>
      </c>
      <c r="E1178">
        <v>0</v>
      </c>
      <c r="H1178" t="s">
        <v>4284</v>
      </c>
    </row>
    <row r="1179" spans="1:8">
      <c r="A1179">
        <v>11006842</v>
      </c>
      <c r="B1179" t="s">
        <v>4919</v>
      </c>
      <c r="C1179" t="s">
        <v>1005</v>
      </c>
      <c r="D1179" t="s">
        <v>6310</v>
      </c>
      <c r="E1179" t="s">
        <v>6311</v>
      </c>
      <c r="H1179" t="s">
        <v>4284</v>
      </c>
    </row>
    <row r="1180" spans="1:8">
      <c r="A1180">
        <v>11006841</v>
      </c>
      <c r="B1180" t="s">
        <v>4920</v>
      </c>
      <c r="C1180" t="s">
        <v>1006</v>
      </c>
      <c r="D1180" t="s">
        <v>6310</v>
      </c>
      <c r="E1180" t="s">
        <v>6311</v>
      </c>
      <c r="H1180" t="s">
        <v>4284</v>
      </c>
    </row>
    <row r="1181" spans="1:8">
      <c r="A1181">
        <v>11006839</v>
      </c>
      <c r="B1181" t="s">
        <v>4921</v>
      </c>
      <c r="C1181" t="s">
        <v>1007</v>
      </c>
      <c r="D1181" t="s">
        <v>6310</v>
      </c>
      <c r="E1181" t="s">
        <v>6311</v>
      </c>
      <c r="H1181" t="s">
        <v>4284</v>
      </c>
    </row>
    <row r="1182" spans="1:8">
      <c r="A1182">
        <v>11006838</v>
      </c>
      <c r="B1182" t="s">
        <v>4922</v>
      </c>
      <c r="C1182" t="s">
        <v>1008</v>
      </c>
      <c r="D1182" t="s">
        <v>6310</v>
      </c>
      <c r="E1182" t="s">
        <v>6311</v>
      </c>
      <c r="H1182" t="s">
        <v>4284</v>
      </c>
    </row>
    <row r="1183" spans="1:8">
      <c r="A1183">
        <v>11006837</v>
      </c>
      <c r="B1183" t="s">
        <v>4923</v>
      </c>
      <c r="C1183" t="s">
        <v>1083</v>
      </c>
      <c r="D1183" t="s">
        <v>6312</v>
      </c>
      <c r="E1183" t="s">
        <v>6313</v>
      </c>
      <c r="H1183" t="s">
        <v>4284</v>
      </c>
    </row>
    <row r="1184" spans="1:8">
      <c r="A1184">
        <v>11006835</v>
      </c>
      <c r="B1184" t="s">
        <v>4924</v>
      </c>
      <c r="C1184" t="s">
        <v>1081</v>
      </c>
      <c r="D1184" t="s">
        <v>6312</v>
      </c>
      <c r="E1184" t="s">
        <v>6313</v>
      </c>
      <c r="H1184" t="s">
        <v>4284</v>
      </c>
    </row>
    <row r="1185" spans="1:8">
      <c r="A1185">
        <v>11006833</v>
      </c>
      <c r="B1185" t="s">
        <v>4925</v>
      </c>
      <c r="C1185" t="s">
        <v>1009</v>
      </c>
      <c r="D1185" t="s">
        <v>6314</v>
      </c>
      <c r="E1185" t="s">
        <v>6315</v>
      </c>
      <c r="H1185" t="s">
        <v>4284</v>
      </c>
    </row>
    <row r="1186" spans="1:8">
      <c r="A1186">
        <v>11006831</v>
      </c>
      <c r="B1186" t="s">
        <v>4926</v>
      </c>
      <c r="C1186" t="s">
        <v>1196</v>
      </c>
      <c r="D1186" t="s">
        <v>6314</v>
      </c>
      <c r="E1186" t="s">
        <v>6315</v>
      </c>
      <c r="H1186" t="s">
        <v>4284</v>
      </c>
    </row>
    <row r="1187" spans="1:8">
      <c r="A1187">
        <v>11006829</v>
      </c>
      <c r="B1187" t="s">
        <v>4927</v>
      </c>
      <c r="C1187" t="s">
        <v>1010</v>
      </c>
      <c r="D1187" t="s">
        <v>6314</v>
      </c>
      <c r="E1187" t="s">
        <v>6315</v>
      </c>
      <c r="H1187" t="s">
        <v>4284</v>
      </c>
    </row>
    <row r="1188" spans="1:8">
      <c r="A1188">
        <v>11006827</v>
      </c>
      <c r="B1188" t="s">
        <v>4928</v>
      </c>
      <c r="C1188" t="s">
        <v>1224</v>
      </c>
      <c r="D1188" t="s">
        <v>6314</v>
      </c>
      <c r="E1188" t="s">
        <v>6315</v>
      </c>
      <c r="H1188" t="s">
        <v>4284</v>
      </c>
    </row>
    <row r="1189" spans="1:8">
      <c r="A1189">
        <v>11006261</v>
      </c>
      <c r="B1189" t="s">
        <v>4929</v>
      </c>
      <c r="C1189" t="s">
        <v>5802</v>
      </c>
      <c r="D1189" t="s">
        <v>6316</v>
      </c>
      <c r="E1189" t="s">
        <v>6317</v>
      </c>
      <c r="H1189" t="s">
        <v>4284</v>
      </c>
    </row>
    <row r="1190" spans="1:8">
      <c r="A1190">
        <v>11006256</v>
      </c>
      <c r="B1190" t="s">
        <v>4930</v>
      </c>
      <c r="C1190" t="s">
        <v>5803</v>
      </c>
      <c r="D1190" t="s">
        <v>6318</v>
      </c>
      <c r="E1190" t="s">
        <v>6319</v>
      </c>
      <c r="H1190" t="s">
        <v>4284</v>
      </c>
    </row>
    <row r="1191" spans="1:8">
      <c r="A1191">
        <v>11006254</v>
      </c>
      <c r="B1191" t="s">
        <v>4931</v>
      </c>
      <c r="C1191" t="s">
        <v>5804</v>
      </c>
      <c r="D1191" t="s">
        <v>6318</v>
      </c>
      <c r="E1191" t="s">
        <v>6319</v>
      </c>
      <c r="H1191" t="s">
        <v>4284</v>
      </c>
    </row>
    <row r="1192" spans="1:8">
      <c r="A1192" t="s">
        <v>4604</v>
      </c>
      <c r="B1192" t="s">
        <v>4932</v>
      </c>
      <c r="C1192" t="s">
        <v>5805</v>
      </c>
      <c r="D1192">
        <v>0</v>
      </c>
      <c r="E1192">
        <v>0</v>
      </c>
      <c r="H1192" t="s">
        <v>4284</v>
      </c>
    </row>
    <row r="1193" spans="1:8">
      <c r="A1193" t="s">
        <v>4604</v>
      </c>
      <c r="B1193" t="s">
        <v>4933</v>
      </c>
      <c r="C1193" t="s">
        <v>5806</v>
      </c>
      <c r="D1193">
        <v>0</v>
      </c>
      <c r="E1193">
        <v>0</v>
      </c>
      <c r="H1193" t="s">
        <v>4284</v>
      </c>
    </row>
    <row r="1194" spans="1:8">
      <c r="A1194">
        <v>11006253</v>
      </c>
      <c r="B1194" t="s">
        <v>4934</v>
      </c>
      <c r="C1194" t="s">
        <v>5803</v>
      </c>
      <c r="D1194" t="s">
        <v>6304</v>
      </c>
      <c r="E1194" t="s">
        <v>5949</v>
      </c>
      <c r="H1194" t="s">
        <v>4284</v>
      </c>
    </row>
    <row r="1195" spans="1:8">
      <c r="A1195" t="s">
        <v>4604</v>
      </c>
      <c r="B1195" t="s">
        <v>4935</v>
      </c>
      <c r="C1195" t="s">
        <v>5804</v>
      </c>
      <c r="D1195" t="s">
        <v>6304</v>
      </c>
      <c r="E1195" t="s">
        <v>5949</v>
      </c>
      <c r="H1195" t="s">
        <v>4284</v>
      </c>
    </row>
    <row r="1196" spans="1:8">
      <c r="A1196" t="s">
        <v>4604</v>
      </c>
      <c r="B1196" t="s">
        <v>4936</v>
      </c>
      <c r="C1196" t="s">
        <v>1013</v>
      </c>
      <c r="D1196">
        <v>0</v>
      </c>
      <c r="E1196">
        <v>0</v>
      </c>
      <c r="H1196" t="s">
        <v>4284</v>
      </c>
    </row>
    <row r="1197" spans="1:8">
      <c r="A1197" t="s">
        <v>4604</v>
      </c>
      <c r="B1197" t="s">
        <v>4937</v>
      </c>
      <c r="C1197" t="s">
        <v>5806</v>
      </c>
      <c r="D1197">
        <v>0</v>
      </c>
      <c r="E1197">
        <v>0</v>
      </c>
      <c r="H1197" t="s">
        <v>4284</v>
      </c>
    </row>
    <row r="1198" spans="1:8">
      <c r="A1198">
        <v>11006251</v>
      </c>
      <c r="B1198" t="s">
        <v>4938</v>
      </c>
      <c r="C1198" t="s">
        <v>5778</v>
      </c>
      <c r="D1198" t="s">
        <v>6320</v>
      </c>
      <c r="E1198" t="s">
        <v>6321</v>
      </c>
      <c r="H1198" t="s">
        <v>4284</v>
      </c>
    </row>
    <row r="1199" spans="1:8">
      <c r="A1199">
        <v>11006249</v>
      </c>
      <c r="B1199" t="s">
        <v>4939</v>
      </c>
      <c r="C1199" t="s">
        <v>5807</v>
      </c>
      <c r="D1199" t="s">
        <v>6320</v>
      </c>
      <c r="E1199" t="s">
        <v>6321</v>
      </c>
      <c r="H1199" t="s">
        <v>4284</v>
      </c>
    </row>
    <row r="1200" spans="1:8">
      <c r="A1200" t="s">
        <v>4604</v>
      </c>
      <c r="B1200" t="s">
        <v>4940</v>
      </c>
      <c r="C1200" t="s">
        <v>5780</v>
      </c>
      <c r="D1200" t="s">
        <v>6320</v>
      </c>
      <c r="E1200" t="s">
        <v>6321</v>
      </c>
      <c r="H1200" t="s">
        <v>4284</v>
      </c>
    </row>
    <row r="1201" spans="1:8">
      <c r="A1201" t="s">
        <v>4604</v>
      </c>
      <c r="B1201" t="s">
        <v>4941</v>
      </c>
      <c r="C1201" t="s">
        <v>5808</v>
      </c>
      <c r="D1201" t="s">
        <v>6320</v>
      </c>
      <c r="E1201" t="s">
        <v>6321</v>
      </c>
      <c r="H1201" t="s">
        <v>4284</v>
      </c>
    </row>
    <row r="1202" spans="1:8">
      <c r="A1202">
        <v>11006248</v>
      </c>
      <c r="B1202" t="s">
        <v>4942</v>
      </c>
      <c r="C1202" t="s">
        <v>5809</v>
      </c>
      <c r="D1202" t="s">
        <v>6322</v>
      </c>
      <c r="E1202" t="s">
        <v>6323</v>
      </c>
      <c r="H1202" t="s">
        <v>4284</v>
      </c>
    </row>
    <row r="1203" spans="1:8">
      <c r="A1203">
        <v>11006245</v>
      </c>
      <c r="B1203" t="s">
        <v>4943</v>
      </c>
      <c r="C1203" t="s">
        <v>5810</v>
      </c>
      <c r="D1203" t="s">
        <v>6322</v>
      </c>
      <c r="E1203" t="s">
        <v>6323</v>
      </c>
      <c r="H1203" t="s">
        <v>4284</v>
      </c>
    </row>
    <row r="1204" spans="1:8">
      <c r="A1204" t="s">
        <v>4604</v>
      </c>
      <c r="B1204" t="s">
        <v>4944</v>
      </c>
      <c r="C1204" t="s">
        <v>1018</v>
      </c>
      <c r="D1204" t="s">
        <v>6322</v>
      </c>
      <c r="E1204" t="s">
        <v>6323</v>
      </c>
      <c r="H1204" t="s">
        <v>4284</v>
      </c>
    </row>
    <row r="1205" spans="1:8">
      <c r="A1205" t="s">
        <v>4604</v>
      </c>
      <c r="B1205" t="s">
        <v>4945</v>
      </c>
      <c r="C1205" t="s">
        <v>1019</v>
      </c>
      <c r="D1205" t="s">
        <v>6322</v>
      </c>
      <c r="E1205" t="s">
        <v>6323</v>
      </c>
      <c r="H1205" t="s">
        <v>4284</v>
      </c>
    </row>
    <row r="1206" spans="1:8">
      <c r="A1206">
        <v>11006244</v>
      </c>
      <c r="B1206" t="s">
        <v>4946</v>
      </c>
      <c r="C1206" t="s">
        <v>5811</v>
      </c>
      <c r="D1206" t="s">
        <v>6304</v>
      </c>
      <c r="E1206" t="s">
        <v>5949</v>
      </c>
      <c r="H1206" t="s">
        <v>4284</v>
      </c>
    </row>
    <row r="1207" spans="1:8">
      <c r="A1207" t="s">
        <v>4604</v>
      </c>
      <c r="B1207" t="s">
        <v>4947</v>
      </c>
      <c r="C1207" t="s">
        <v>5810</v>
      </c>
      <c r="D1207" t="s">
        <v>6304</v>
      </c>
      <c r="E1207" t="s">
        <v>5949</v>
      </c>
      <c r="H1207" t="s">
        <v>4284</v>
      </c>
    </row>
    <row r="1208" spans="1:8">
      <c r="A1208" t="s">
        <v>4604</v>
      </c>
      <c r="B1208" t="s">
        <v>4948</v>
      </c>
      <c r="C1208" t="s">
        <v>5812</v>
      </c>
      <c r="D1208">
        <v>0</v>
      </c>
      <c r="E1208">
        <v>0</v>
      </c>
      <c r="H1208" t="s">
        <v>4284</v>
      </c>
    </row>
    <row r="1209" spans="1:8">
      <c r="A1209" t="s">
        <v>4604</v>
      </c>
      <c r="B1209" t="s">
        <v>4949</v>
      </c>
      <c r="C1209" t="s">
        <v>1019</v>
      </c>
      <c r="D1209">
        <v>0</v>
      </c>
      <c r="E1209">
        <v>0</v>
      </c>
      <c r="H1209" t="s">
        <v>4284</v>
      </c>
    </row>
    <row r="1210" spans="1:8">
      <c r="A1210" t="s">
        <v>4604</v>
      </c>
      <c r="B1210" t="s">
        <v>4950</v>
      </c>
      <c r="C1210" t="s">
        <v>5802</v>
      </c>
      <c r="D1210">
        <v>0</v>
      </c>
      <c r="E1210">
        <v>0</v>
      </c>
      <c r="H1210" t="s">
        <v>4284</v>
      </c>
    </row>
    <row r="1211" spans="1:8">
      <c r="A1211" t="s">
        <v>4604</v>
      </c>
      <c r="B1211" t="s">
        <v>4951</v>
      </c>
      <c r="C1211" t="s">
        <v>5813</v>
      </c>
      <c r="D1211">
        <v>0</v>
      </c>
      <c r="E1211">
        <v>0</v>
      </c>
      <c r="H1211" t="s">
        <v>4284</v>
      </c>
    </row>
    <row r="1212" spans="1:8">
      <c r="A1212" t="s">
        <v>4604</v>
      </c>
      <c r="B1212" t="s">
        <v>4952</v>
      </c>
      <c r="C1212" t="s">
        <v>5814</v>
      </c>
      <c r="D1212">
        <v>0</v>
      </c>
      <c r="E1212">
        <v>0</v>
      </c>
      <c r="H1212" t="s">
        <v>4284</v>
      </c>
    </row>
    <row r="1213" spans="1:8">
      <c r="A1213" t="s">
        <v>4604</v>
      </c>
      <c r="B1213" t="s">
        <v>4953</v>
      </c>
      <c r="C1213" t="s">
        <v>5815</v>
      </c>
      <c r="D1213">
        <v>0</v>
      </c>
      <c r="E1213">
        <v>0</v>
      </c>
      <c r="H1213" t="s">
        <v>4284</v>
      </c>
    </row>
    <row r="1214" spans="1:8">
      <c r="A1214" t="s">
        <v>4604</v>
      </c>
      <c r="B1214" t="s">
        <v>4954</v>
      </c>
      <c r="C1214" t="s">
        <v>5802</v>
      </c>
      <c r="D1214">
        <v>0</v>
      </c>
      <c r="E1214">
        <v>0</v>
      </c>
      <c r="H1214" t="s">
        <v>4284</v>
      </c>
    </row>
    <row r="1215" spans="1:8">
      <c r="A1215" t="s">
        <v>4604</v>
      </c>
      <c r="B1215" t="s">
        <v>4955</v>
      </c>
      <c r="C1215" t="s">
        <v>5813</v>
      </c>
      <c r="D1215">
        <v>0</v>
      </c>
      <c r="E1215">
        <v>0</v>
      </c>
      <c r="H1215" t="s">
        <v>4284</v>
      </c>
    </row>
    <row r="1216" spans="1:8">
      <c r="A1216" t="s">
        <v>4604</v>
      </c>
      <c r="B1216" t="s">
        <v>4956</v>
      </c>
      <c r="C1216" t="s">
        <v>5816</v>
      </c>
      <c r="D1216">
        <v>0</v>
      </c>
      <c r="E1216">
        <v>0</v>
      </c>
      <c r="H1216" t="s">
        <v>4284</v>
      </c>
    </row>
    <row r="1217" spans="1:8">
      <c r="A1217" t="s">
        <v>4604</v>
      </c>
      <c r="B1217" t="s">
        <v>4957</v>
      </c>
      <c r="C1217" t="s">
        <v>5815</v>
      </c>
      <c r="D1217">
        <v>0</v>
      </c>
      <c r="E1217">
        <v>0</v>
      </c>
      <c r="H1217" t="s">
        <v>4284</v>
      </c>
    </row>
    <row r="1218" spans="1:8">
      <c r="A1218">
        <v>11006229</v>
      </c>
      <c r="B1218" t="s">
        <v>4958</v>
      </c>
      <c r="C1218" t="s">
        <v>5817</v>
      </c>
      <c r="D1218" t="s">
        <v>6324</v>
      </c>
      <c r="E1218" t="s">
        <v>6325</v>
      </c>
      <c r="H1218" t="s">
        <v>4284</v>
      </c>
    </row>
    <row r="1219" spans="1:8">
      <c r="A1219">
        <v>11006225</v>
      </c>
      <c r="B1219" t="s">
        <v>4959</v>
      </c>
      <c r="C1219" t="s">
        <v>1308</v>
      </c>
      <c r="D1219" t="s">
        <v>6324</v>
      </c>
      <c r="E1219" t="s">
        <v>6325</v>
      </c>
      <c r="H1219" t="s">
        <v>4284</v>
      </c>
    </row>
    <row r="1220" spans="1:8">
      <c r="A1220" t="s">
        <v>4604</v>
      </c>
      <c r="B1220" t="s">
        <v>4960</v>
      </c>
      <c r="C1220" t="s">
        <v>1223</v>
      </c>
      <c r="D1220" t="s">
        <v>6326</v>
      </c>
      <c r="E1220" t="s">
        <v>6327</v>
      </c>
      <c r="H1220" t="s">
        <v>4284</v>
      </c>
    </row>
    <row r="1221" spans="1:8">
      <c r="A1221" t="s">
        <v>4604</v>
      </c>
      <c r="B1221" t="s">
        <v>4961</v>
      </c>
      <c r="C1221" t="s">
        <v>1224</v>
      </c>
      <c r="D1221" t="s">
        <v>6326</v>
      </c>
      <c r="E1221" t="s">
        <v>6327</v>
      </c>
      <c r="H1221" t="s">
        <v>4284</v>
      </c>
    </row>
    <row r="1222" spans="1:8">
      <c r="A1222" t="s">
        <v>4604</v>
      </c>
      <c r="B1222" t="s">
        <v>4962</v>
      </c>
      <c r="C1222" t="s">
        <v>1269</v>
      </c>
      <c r="D1222">
        <v>0</v>
      </c>
      <c r="E1222">
        <v>0</v>
      </c>
      <c r="H1222" t="s">
        <v>4284</v>
      </c>
    </row>
    <row r="1223" spans="1:8">
      <c r="A1223" t="s">
        <v>4604</v>
      </c>
      <c r="B1223" t="s">
        <v>4963</v>
      </c>
      <c r="C1223" t="s">
        <v>1269</v>
      </c>
      <c r="D1223" t="s">
        <v>6328</v>
      </c>
      <c r="E1223" t="s">
        <v>6329</v>
      </c>
      <c r="H1223" t="s">
        <v>4284</v>
      </c>
    </row>
    <row r="1224" spans="1:8">
      <c r="A1224" t="s">
        <v>4604</v>
      </c>
      <c r="B1224" t="s">
        <v>4964</v>
      </c>
      <c r="C1224" t="s">
        <v>1008</v>
      </c>
      <c r="D1224">
        <v>0</v>
      </c>
      <c r="E1224">
        <v>0</v>
      </c>
      <c r="H1224" t="s">
        <v>4284</v>
      </c>
    </row>
    <row r="1225" spans="1:8">
      <c r="A1225" t="s">
        <v>4604</v>
      </c>
      <c r="B1225" t="s">
        <v>4965</v>
      </c>
      <c r="C1225" t="s">
        <v>1008</v>
      </c>
      <c r="D1225" t="s">
        <v>6328</v>
      </c>
      <c r="E1225" t="s">
        <v>6329</v>
      </c>
      <c r="H1225" t="s">
        <v>4284</v>
      </c>
    </row>
    <row r="1226" spans="1:8">
      <c r="A1226" t="s">
        <v>4604</v>
      </c>
      <c r="B1226" t="s">
        <v>4966</v>
      </c>
      <c r="C1226" t="s">
        <v>5667</v>
      </c>
      <c r="D1226" t="s">
        <v>6330</v>
      </c>
      <c r="E1226" t="s">
        <v>6331</v>
      </c>
      <c r="H1226" t="s">
        <v>4284</v>
      </c>
    </row>
    <row r="1227" spans="1:8">
      <c r="A1227" t="s">
        <v>4604</v>
      </c>
      <c r="B1227" t="s">
        <v>4967</v>
      </c>
      <c r="C1227" t="s">
        <v>5668</v>
      </c>
      <c r="D1227" t="s">
        <v>6330</v>
      </c>
      <c r="E1227" t="s">
        <v>6331</v>
      </c>
      <c r="H1227" t="s">
        <v>4284</v>
      </c>
    </row>
    <row r="1228" spans="1:8">
      <c r="A1228" t="s">
        <v>4604</v>
      </c>
      <c r="B1228" t="s">
        <v>4968</v>
      </c>
      <c r="C1228" t="s">
        <v>5681</v>
      </c>
      <c r="D1228" t="s">
        <v>6332</v>
      </c>
      <c r="E1228" t="s">
        <v>6333</v>
      </c>
      <c r="H1228" t="s">
        <v>4284</v>
      </c>
    </row>
    <row r="1229" spans="1:8">
      <c r="A1229" t="s">
        <v>4604</v>
      </c>
      <c r="B1229" t="s">
        <v>4969</v>
      </c>
      <c r="C1229" t="s">
        <v>5682</v>
      </c>
      <c r="D1229" t="s">
        <v>6332</v>
      </c>
      <c r="E1229" t="s">
        <v>6333</v>
      </c>
      <c r="H1229" t="s">
        <v>4284</v>
      </c>
    </row>
    <row r="1230" spans="1:8">
      <c r="A1230" t="s">
        <v>4604</v>
      </c>
      <c r="B1230" t="s">
        <v>4970</v>
      </c>
      <c r="C1230" t="s">
        <v>5818</v>
      </c>
      <c r="D1230" t="s">
        <v>6332</v>
      </c>
      <c r="E1230" t="s">
        <v>6333</v>
      </c>
      <c r="H1230" t="s">
        <v>4284</v>
      </c>
    </row>
    <row r="1231" spans="1:8">
      <c r="A1231" t="s">
        <v>4604</v>
      </c>
      <c r="B1231" t="s">
        <v>4971</v>
      </c>
      <c r="C1231" t="s">
        <v>5684</v>
      </c>
      <c r="D1231" t="s">
        <v>6332</v>
      </c>
      <c r="E1231" t="s">
        <v>6333</v>
      </c>
      <c r="H1231" t="s">
        <v>4284</v>
      </c>
    </row>
    <row r="1232" spans="1:8">
      <c r="A1232" t="s">
        <v>4604</v>
      </c>
      <c r="B1232" t="s">
        <v>4972</v>
      </c>
      <c r="C1232" t="s">
        <v>5685</v>
      </c>
      <c r="D1232" t="s">
        <v>6334</v>
      </c>
      <c r="E1232" t="s">
        <v>6335</v>
      </c>
      <c r="H1232" t="s">
        <v>4284</v>
      </c>
    </row>
    <row r="1233" spans="1:8">
      <c r="A1233" t="s">
        <v>4604</v>
      </c>
      <c r="B1233" t="s">
        <v>4973</v>
      </c>
      <c r="C1233" t="s">
        <v>5686</v>
      </c>
      <c r="D1233" t="s">
        <v>6334</v>
      </c>
      <c r="E1233" t="s">
        <v>6335</v>
      </c>
      <c r="H1233" t="s">
        <v>4284</v>
      </c>
    </row>
    <row r="1234" spans="1:8">
      <c r="A1234" t="s">
        <v>4604</v>
      </c>
      <c r="B1234" t="s">
        <v>4974</v>
      </c>
      <c r="C1234" t="s">
        <v>5791</v>
      </c>
      <c r="D1234" t="s">
        <v>6334</v>
      </c>
      <c r="E1234" t="s">
        <v>6335</v>
      </c>
      <c r="H1234" t="s">
        <v>4284</v>
      </c>
    </row>
    <row r="1235" spans="1:8">
      <c r="A1235" t="s">
        <v>4604</v>
      </c>
      <c r="B1235" t="s">
        <v>4975</v>
      </c>
      <c r="C1235" t="s">
        <v>5688</v>
      </c>
      <c r="D1235" t="s">
        <v>6336</v>
      </c>
      <c r="E1235" t="s">
        <v>6337</v>
      </c>
      <c r="H1235" t="s">
        <v>4284</v>
      </c>
    </row>
    <row r="1236" spans="1:8">
      <c r="A1236" t="s">
        <v>4604</v>
      </c>
      <c r="B1236" t="s">
        <v>4976</v>
      </c>
      <c r="C1236" t="s">
        <v>5689</v>
      </c>
      <c r="D1236" t="s">
        <v>6336</v>
      </c>
      <c r="E1236" t="s">
        <v>6337</v>
      </c>
      <c r="H1236" t="s">
        <v>4284</v>
      </c>
    </row>
    <row r="1237" spans="1:8">
      <c r="A1237" t="s">
        <v>4604</v>
      </c>
      <c r="B1237" t="s">
        <v>4977</v>
      </c>
      <c r="C1237" t="s">
        <v>5690</v>
      </c>
      <c r="D1237" t="s">
        <v>6336</v>
      </c>
      <c r="E1237" t="s">
        <v>6337</v>
      </c>
      <c r="H1237" t="s">
        <v>4284</v>
      </c>
    </row>
    <row r="1238" spans="1:8">
      <c r="A1238" t="s">
        <v>4604</v>
      </c>
      <c r="B1238" t="s">
        <v>4978</v>
      </c>
      <c r="C1238" t="s">
        <v>5691</v>
      </c>
      <c r="D1238" t="s">
        <v>6336</v>
      </c>
      <c r="E1238" t="s">
        <v>6337</v>
      </c>
      <c r="H1238" t="s">
        <v>4284</v>
      </c>
    </row>
    <row r="1239" spans="1:8">
      <c r="A1239" t="s">
        <v>4604</v>
      </c>
      <c r="B1239" t="s">
        <v>4979</v>
      </c>
      <c r="C1239" t="s">
        <v>5674</v>
      </c>
      <c r="D1239" t="s">
        <v>6338</v>
      </c>
      <c r="E1239" t="s">
        <v>6339</v>
      </c>
      <c r="H1239" t="s">
        <v>4284</v>
      </c>
    </row>
    <row r="1240" spans="1:8">
      <c r="A1240" t="s">
        <v>4604</v>
      </c>
      <c r="B1240" t="s">
        <v>4980</v>
      </c>
      <c r="C1240" t="s">
        <v>5676</v>
      </c>
      <c r="D1240" t="s">
        <v>6338</v>
      </c>
      <c r="E1240" t="s">
        <v>6339</v>
      </c>
      <c r="H1240" t="s">
        <v>4284</v>
      </c>
    </row>
    <row r="1241" spans="1:8">
      <c r="A1241" t="s">
        <v>4604</v>
      </c>
      <c r="B1241" t="s">
        <v>4981</v>
      </c>
      <c r="C1241" t="s">
        <v>5692</v>
      </c>
      <c r="D1241" t="s">
        <v>6340</v>
      </c>
      <c r="E1241" t="s">
        <v>6341</v>
      </c>
      <c r="H1241" t="s">
        <v>4284</v>
      </c>
    </row>
    <row r="1242" spans="1:8">
      <c r="A1242" t="s">
        <v>4604</v>
      </c>
      <c r="B1242" t="s">
        <v>4982</v>
      </c>
      <c r="C1242" t="s">
        <v>5693</v>
      </c>
      <c r="D1242" t="s">
        <v>6340</v>
      </c>
      <c r="E1242" t="s">
        <v>6341</v>
      </c>
      <c r="H1242" t="s">
        <v>4284</v>
      </c>
    </row>
    <row r="1243" spans="1:8">
      <c r="A1243" t="s">
        <v>4604</v>
      </c>
      <c r="B1243" t="s">
        <v>4983</v>
      </c>
      <c r="C1243" t="s">
        <v>5694</v>
      </c>
      <c r="D1243" t="s">
        <v>6340</v>
      </c>
      <c r="E1243" t="s">
        <v>6341</v>
      </c>
      <c r="H1243" t="s">
        <v>4284</v>
      </c>
    </row>
    <row r="1244" spans="1:8">
      <c r="A1244" t="s">
        <v>4604</v>
      </c>
      <c r="B1244" t="s">
        <v>4984</v>
      </c>
      <c r="C1244" t="s">
        <v>5695</v>
      </c>
      <c r="D1244" t="s">
        <v>6340</v>
      </c>
      <c r="E1244" t="s">
        <v>6341</v>
      </c>
      <c r="H1244" t="s">
        <v>4284</v>
      </c>
    </row>
    <row r="1245" spans="1:8">
      <c r="A1245" t="s">
        <v>4604</v>
      </c>
      <c r="B1245" t="s">
        <v>4985</v>
      </c>
      <c r="C1245" t="s">
        <v>5696</v>
      </c>
      <c r="D1245" t="s">
        <v>6340</v>
      </c>
      <c r="E1245" t="s">
        <v>6341</v>
      </c>
      <c r="H1245" t="s">
        <v>4284</v>
      </c>
    </row>
    <row r="1246" spans="1:8">
      <c r="A1246" t="s">
        <v>4604</v>
      </c>
      <c r="B1246" t="s">
        <v>4986</v>
      </c>
      <c r="C1246" t="s">
        <v>5657</v>
      </c>
      <c r="D1246" t="s">
        <v>6340</v>
      </c>
      <c r="E1246" t="s">
        <v>6341</v>
      </c>
      <c r="H1246" t="s">
        <v>4284</v>
      </c>
    </row>
    <row r="1247" spans="1:8">
      <c r="A1247" t="s">
        <v>4604</v>
      </c>
      <c r="B1247" t="s">
        <v>4987</v>
      </c>
      <c r="C1247" t="s">
        <v>5819</v>
      </c>
      <c r="D1247" t="s">
        <v>6342</v>
      </c>
      <c r="E1247" t="s">
        <v>6343</v>
      </c>
      <c r="H1247" t="s">
        <v>4284</v>
      </c>
    </row>
    <row r="1248" spans="1:8">
      <c r="A1248" t="s">
        <v>4604</v>
      </c>
      <c r="B1248" t="s">
        <v>4988</v>
      </c>
      <c r="C1248" t="s">
        <v>5820</v>
      </c>
      <c r="D1248" t="s">
        <v>6342</v>
      </c>
      <c r="E1248" t="s">
        <v>6343</v>
      </c>
      <c r="H1248" t="s">
        <v>4284</v>
      </c>
    </row>
    <row r="1249" spans="1:8">
      <c r="A1249" t="s">
        <v>4604</v>
      </c>
      <c r="B1249" t="s">
        <v>4989</v>
      </c>
      <c r="C1249" t="s">
        <v>1024</v>
      </c>
      <c r="D1249" t="s">
        <v>6342</v>
      </c>
      <c r="E1249" t="s">
        <v>6343</v>
      </c>
      <c r="H1249" t="s">
        <v>4284</v>
      </c>
    </row>
    <row r="1250" spans="1:8">
      <c r="A1250" t="s">
        <v>4604</v>
      </c>
      <c r="B1250" t="s">
        <v>4990</v>
      </c>
      <c r="C1250" t="s">
        <v>1025</v>
      </c>
      <c r="D1250" t="s">
        <v>6342</v>
      </c>
      <c r="E1250" t="s">
        <v>6343</v>
      </c>
      <c r="H1250" t="s">
        <v>4284</v>
      </c>
    </row>
    <row r="1251" spans="1:8">
      <c r="A1251" t="s">
        <v>4604</v>
      </c>
      <c r="B1251" t="s">
        <v>4991</v>
      </c>
      <c r="C1251" t="s">
        <v>5701</v>
      </c>
      <c r="D1251" t="s">
        <v>6344</v>
      </c>
      <c r="E1251" t="s">
        <v>6345</v>
      </c>
      <c r="H1251" t="s">
        <v>4284</v>
      </c>
    </row>
    <row r="1252" spans="1:8">
      <c r="A1252" t="s">
        <v>4604</v>
      </c>
      <c r="B1252" t="s">
        <v>4992</v>
      </c>
      <c r="C1252" t="s">
        <v>5821</v>
      </c>
      <c r="D1252" t="s">
        <v>6344</v>
      </c>
      <c r="E1252" t="s">
        <v>6345</v>
      </c>
      <c r="H1252" t="s">
        <v>4284</v>
      </c>
    </row>
    <row r="1253" spans="1:8">
      <c r="A1253" t="s">
        <v>4604</v>
      </c>
      <c r="B1253" t="s">
        <v>4993</v>
      </c>
      <c r="C1253" t="s">
        <v>1179</v>
      </c>
      <c r="D1253" t="s">
        <v>6344</v>
      </c>
      <c r="E1253" t="s">
        <v>6345</v>
      </c>
      <c r="H1253" t="s">
        <v>4284</v>
      </c>
    </row>
    <row r="1254" spans="1:8">
      <c r="A1254" t="s">
        <v>4604</v>
      </c>
      <c r="B1254" t="s">
        <v>4994</v>
      </c>
      <c r="C1254" t="s">
        <v>1027</v>
      </c>
      <c r="D1254" t="s">
        <v>6344</v>
      </c>
      <c r="E1254" t="s">
        <v>6345</v>
      </c>
      <c r="H1254" t="s">
        <v>4284</v>
      </c>
    </row>
    <row r="1255" spans="1:8">
      <c r="A1255" t="s">
        <v>4604</v>
      </c>
      <c r="B1255" t="s">
        <v>4995</v>
      </c>
      <c r="C1255" t="s">
        <v>5822</v>
      </c>
      <c r="D1255" t="s">
        <v>6344</v>
      </c>
      <c r="E1255" t="s">
        <v>6345</v>
      </c>
      <c r="H1255" t="s">
        <v>4284</v>
      </c>
    </row>
    <row r="1256" spans="1:8">
      <c r="A1256" t="s">
        <v>4604</v>
      </c>
      <c r="B1256" t="s">
        <v>4996</v>
      </c>
      <c r="C1256" t="s">
        <v>5823</v>
      </c>
      <c r="D1256" t="s">
        <v>6344</v>
      </c>
      <c r="E1256" t="s">
        <v>6345</v>
      </c>
      <c r="H1256" t="s">
        <v>4284</v>
      </c>
    </row>
    <row r="1257" spans="1:8">
      <c r="A1257" t="s">
        <v>4604</v>
      </c>
      <c r="B1257" t="s">
        <v>4997</v>
      </c>
      <c r="C1257" t="s">
        <v>5824</v>
      </c>
      <c r="D1257" t="s">
        <v>6344</v>
      </c>
      <c r="E1257" t="s">
        <v>6345</v>
      </c>
      <c r="H1257" t="s">
        <v>4284</v>
      </c>
    </row>
    <row r="1258" spans="1:8">
      <c r="A1258" t="s">
        <v>4604</v>
      </c>
      <c r="B1258" t="s">
        <v>4998</v>
      </c>
      <c r="C1258" t="s">
        <v>5708</v>
      </c>
      <c r="D1258" t="s">
        <v>6344</v>
      </c>
      <c r="E1258" t="s">
        <v>6345</v>
      </c>
      <c r="H1258" t="s">
        <v>4284</v>
      </c>
    </row>
    <row r="1259" spans="1:8">
      <c r="A1259" t="s">
        <v>4604</v>
      </c>
      <c r="B1259" t="s">
        <v>4999</v>
      </c>
      <c r="C1259" t="s">
        <v>5709</v>
      </c>
      <c r="D1259" t="s">
        <v>6344</v>
      </c>
      <c r="E1259" t="s">
        <v>6345</v>
      </c>
      <c r="H1259" t="s">
        <v>4284</v>
      </c>
    </row>
    <row r="1260" spans="1:8">
      <c r="A1260" t="s">
        <v>4604</v>
      </c>
      <c r="B1260" t="s">
        <v>5000</v>
      </c>
      <c r="C1260" t="s">
        <v>5825</v>
      </c>
      <c r="D1260" t="s">
        <v>6344</v>
      </c>
      <c r="E1260" t="s">
        <v>6345</v>
      </c>
      <c r="H1260" t="s">
        <v>4284</v>
      </c>
    </row>
    <row r="1261" spans="1:8">
      <c r="A1261" t="s">
        <v>4604</v>
      </c>
      <c r="B1261" t="s">
        <v>5001</v>
      </c>
      <c r="C1261" t="s">
        <v>5826</v>
      </c>
      <c r="D1261" t="s">
        <v>6344</v>
      </c>
      <c r="E1261" t="s">
        <v>6345</v>
      </c>
      <c r="H1261" t="s">
        <v>4284</v>
      </c>
    </row>
    <row r="1262" spans="1:8">
      <c r="A1262" t="s">
        <v>4604</v>
      </c>
      <c r="B1262" t="s">
        <v>5002</v>
      </c>
      <c r="C1262" t="s">
        <v>5827</v>
      </c>
      <c r="D1262" t="s">
        <v>6344</v>
      </c>
      <c r="E1262" t="s">
        <v>6345</v>
      </c>
      <c r="H1262" t="s">
        <v>4284</v>
      </c>
    </row>
    <row r="1263" spans="1:8">
      <c r="A1263" t="s">
        <v>4604</v>
      </c>
      <c r="B1263" t="s">
        <v>5003</v>
      </c>
      <c r="C1263" t="s">
        <v>5712</v>
      </c>
      <c r="D1263" t="s">
        <v>6344</v>
      </c>
      <c r="E1263" t="s">
        <v>6345</v>
      </c>
      <c r="H1263" t="s">
        <v>4284</v>
      </c>
    </row>
    <row r="1264" spans="1:8">
      <c r="A1264" t="s">
        <v>4604</v>
      </c>
      <c r="B1264" t="s">
        <v>5004</v>
      </c>
      <c r="C1264" t="s">
        <v>5713</v>
      </c>
      <c r="D1264" t="s">
        <v>6344</v>
      </c>
      <c r="E1264" t="s">
        <v>6345</v>
      </c>
      <c r="H1264" t="s">
        <v>4284</v>
      </c>
    </row>
    <row r="1265" spans="1:8">
      <c r="A1265" t="s">
        <v>4604</v>
      </c>
      <c r="B1265" t="s">
        <v>5005</v>
      </c>
      <c r="C1265" t="s">
        <v>5714</v>
      </c>
      <c r="D1265" t="s">
        <v>6344</v>
      </c>
      <c r="E1265" t="s">
        <v>6345</v>
      </c>
      <c r="H1265" t="s">
        <v>4284</v>
      </c>
    </row>
    <row r="1266" spans="1:8">
      <c r="A1266" t="s">
        <v>4604</v>
      </c>
      <c r="B1266" t="s">
        <v>5006</v>
      </c>
      <c r="C1266" t="s">
        <v>5715</v>
      </c>
      <c r="D1266" t="s">
        <v>6344</v>
      </c>
      <c r="E1266" t="s">
        <v>6345</v>
      </c>
      <c r="H1266" t="s">
        <v>4284</v>
      </c>
    </row>
    <row r="1267" spans="1:8">
      <c r="A1267" t="s">
        <v>4604</v>
      </c>
      <c r="B1267" t="s">
        <v>5007</v>
      </c>
      <c r="C1267" t="s">
        <v>5716</v>
      </c>
      <c r="D1267" t="s">
        <v>6344</v>
      </c>
      <c r="E1267" t="s">
        <v>6345</v>
      </c>
      <c r="H1267" t="s">
        <v>4284</v>
      </c>
    </row>
    <row r="1268" spans="1:8">
      <c r="A1268" t="s">
        <v>4604</v>
      </c>
      <c r="B1268" t="s">
        <v>5008</v>
      </c>
      <c r="C1268" t="s">
        <v>5828</v>
      </c>
      <c r="D1268" t="s">
        <v>6344</v>
      </c>
      <c r="E1268" t="s">
        <v>6345</v>
      </c>
      <c r="H1268" t="s">
        <v>4284</v>
      </c>
    </row>
    <row r="1269" spans="1:8">
      <c r="A1269">
        <v>11005795</v>
      </c>
      <c r="B1269" t="s">
        <v>5009</v>
      </c>
      <c r="C1269" t="s">
        <v>5718</v>
      </c>
      <c r="D1269" t="s">
        <v>6346</v>
      </c>
      <c r="E1269" t="s">
        <v>6347</v>
      </c>
      <c r="H1269" t="s">
        <v>4284</v>
      </c>
    </row>
    <row r="1270" spans="1:8">
      <c r="A1270" t="s">
        <v>4604</v>
      </c>
      <c r="B1270" t="s">
        <v>5010</v>
      </c>
      <c r="C1270" t="s">
        <v>5719</v>
      </c>
      <c r="D1270" t="s">
        <v>6346</v>
      </c>
      <c r="E1270" t="s">
        <v>6347</v>
      </c>
      <c r="H1270" t="s">
        <v>4284</v>
      </c>
    </row>
    <row r="1271" spans="1:8">
      <c r="A1271" t="s">
        <v>4604</v>
      </c>
      <c r="B1271" t="s">
        <v>5011</v>
      </c>
      <c r="C1271" t="s">
        <v>5720</v>
      </c>
      <c r="D1271" t="s">
        <v>6346</v>
      </c>
      <c r="E1271" t="s">
        <v>6347</v>
      </c>
      <c r="H1271" t="s">
        <v>4284</v>
      </c>
    </row>
    <row r="1272" spans="1:8">
      <c r="A1272" t="s">
        <v>4604</v>
      </c>
      <c r="B1272" t="s">
        <v>5012</v>
      </c>
      <c r="C1272" t="s">
        <v>5721</v>
      </c>
      <c r="D1272" t="s">
        <v>6348</v>
      </c>
      <c r="E1272" t="s">
        <v>6349</v>
      </c>
      <c r="H1272" t="s">
        <v>4284</v>
      </c>
    </row>
    <row r="1273" spans="1:8">
      <c r="A1273" t="s">
        <v>4604</v>
      </c>
      <c r="B1273" t="s">
        <v>5013</v>
      </c>
      <c r="C1273" t="s">
        <v>5722</v>
      </c>
      <c r="D1273" t="s">
        <v>6348</v>
      </c>
      <c r="E1273" t="s">
        <v>6349</v>
      </c>
      <c r="H1273" t="s">
        <v>4284</v>
      </c>
    </row>
    <row r="1274" spans="1:8">
      <c r="A1274" t="s">
        <v>4604</v>
      </c>
      <c r="B1274" t="s">
        <v>5014</v>
      </c>
      <c r="C1274" t="s">
        <v>5723</v>
      </c>
      <c r="D1274" t="s">
        <v>6348</v>
      </c>
      <c r="E1274" t="s">
        <v>6349</v>
      </c>
      <c r="H1274" t="s">
        <v>4284</v>
      </c>
    </row>
    <row r="1275" spans="1:8">
      <c r="A1275" t="s">
        <v>4604</v>
      </c>
      <c r="B1275" t="s">
        <v>5015</v>
      </c>
      <c r="C1275" t="s">
        <v>5724</v>
      </c>
      <c r="D1275" t="s">
        <v>6348</v>
      </c>
      <c r="E1275" t="s">
        <v>6349</v>
      </c>
      <c r="H1275" t="s">
        <v>4284</v>
      </c>
    </row>
    <row r="1276" spans="1:8">
      <c r="A1276" t="s">
        <v>4604</v>
      </c>
      <c r="B1276" t="s">
        <v>5016</v>
      </c>
      <c r="C1276" t="s">
        <v>5725</v>
      </c>
      <c r="D1276" t="s">
        <v>6350</v>
      </c>
      <c r="E1276" t="s">
        <v>6351</v>
      </c>
      <c r="H1276" t="s">
        <v>4284</v>
      </c>
    </row>
    <row r="1277" spans="1:8">
      <c r="A1277" t="s">
        <v>4604</v>
      </c>
      <c r="B1277" t="s">
        <v>5017</v>
      </c>
      <c r="C1277" t="s">
        <v>5726</v>
      </c>
      <c r="D1277" t="s">
        <v>6350</v>
      </c>
      <c r="E1277" t="s">
        <v>6351</v>
      </c>
      <c r="H1277" t="s">
        <v>4284</v>
      </c>
    </row>
    <row r="1278" spans="1:8">
      <c r="A1278" t="s">
        <v>4604</v>
      </c>
      <c r="B1278" t="s">
        <v>5018</v>
      </c>
      <c r="C1278" t="s">
        <v>5727</v>
      </c>
      <c r="D1278" t="s">
        <v>6350</v>
      </c>
      <c r="E1278" t="s">
        <v>6351</v>
      </c>
      <c r="H1278" t="s">
        <v>4284</v>
      </c>
    </row>
    <row r="1279" spans="1:8">
      <c r="A1279" t="s">
        <v>4604</v>
      </c>
      <c r="B1279" t="s">
        <v>5019</v>
      </c>
      <c r="C1279" t="s">
        <v>5728</v>
      </c>
      <c r="D1279" t="s">
        <v>6350</v>
      </c>
      <c r="E1279" t="s">
        <v>6351</v>
      </c>
      <c r="H1279" t="s">
        <v>4284</v>
      </c>
    </row>
    <row r="1280" spans="1:8">
      <c r="A1280" t="s">
        <v>4604</v>
      </c>
      <c r="B1280" t="s">
        <v>5020</v>
      </c>
      <c r="C1280" t="s">
        <v>5801</v>
      </c>
      <c r="D1280" t="s">
        <v>6352</v>
      </c>
      <c r="E1280" t="s">
        <v>6353</v>
      </c>
      <c r="H1280" t="s">
        <v>4284</v>
      </c>
    </row>
    <row r="1281" spans="1:8">
      <c r="A1281" t="s">
        <v>4604</v>
      </c>
      <c r="B1281" t="s">
        <v>5021</v>
      </c>
      <c r="C1281" t="s">
        <v>5730</v>
      </c>
      <c r="D1281" t="s">
        <v>6354</v>
      </c>
      <c r="E1281" t="s">
        <v>6355</v>
      </c>
      <c r="H1281" t="s">
        <v>4284</v>
      </c>
    </row>
    <row r="1282" spans="1:8">
      <c r="A1282" t="s">
        <v>4604</v>
      </c>
      <c r="B1282" t="s">
        <v>5022</v>
      </c>
      <c r="C1282" t="s">
        <v>5731</v>
      </c>
      <c r="D1282" t="s">
        <v>6354</v>
      </c>
      <c r="E1282" t="s">
        <v>6355</v>
      </c>
      <c r="H1282" t="s">
        <v>4284</v>
      </c>
    </row>
    <row r="1283" spans="1:8">
      <c r="A1283" t="s">
        <v>4604</v>
      </c>
      <c r="B1283" t="s">
        <v>5023</v>
      </c>
      <c r="C1283" t="s">
        <v>5732</v>
      </c>
      <c r="D1283" t="s">
        <v>6354</v>
      </c>
      <c r="E1283" t="s">
        <v>6355</v>
      </c>
      <c r="H1283" t="s">
        <v>4284</v>
      </c>
    </row>
    <row r="1284" spans="1:8">
      <c r="A1284" t="s">
        <v>4604</v>
      </c>
      <c r="B1284" t="s">
        <v>5024</v>
      </c>
      <c r="C1284" t="s">
        <v>5733</v>
      </c>
      <c r="D1284" t="s">
        <v>6354</v>
      </c>
      <c r="E1284" t="s">
        <v>6355</v>
      </c>
      <c r="H1284" t="s">
        <v>4284</v>
      </c>
    </row>
    <row r="1285" spans="1:8">
      <c r="A1285" t="s">
        <v>4604</v>
      </c>
      <c r="B1285" t="s">
        <v>5025</v>
      </c>
      <c r="C1285" t="s">
        <v>5734</v>
      </c>
      <c r="D1285" t="s">
        <v>6356</v>
      </c>
      <c r="E1285" t="s">
        <v>6357</v>
      </c>
      <c r="H1285" t="s">
        <v>4284</v>
      </c>
    </row>
    <row r="1286" spans="1:8">
      <c r="A1286" t="s">
        <v>4604</v>
      </c>
      <c r="B1286" t="s">
        <v>5026</v>
      </c>
      <c r="C1286" t="s">
        <v>5829</v>
      </c>
      <c r="D1286" t="s">
        <v>6358</v>
      </c>
      <c r="E1286" t="s">
        <v>6359</v>
      </c>
      <c r="H1286" t="s">
        <v>4284</v>
      </c>
    </row>
    <row r="1287" spans="1:8">
      <c r="A1287" t="s">
        <v>4604</v>
      </c>
      <c r="B1287" t="s">
        <v>5027</v>
      </c>
      <c r="C1287" t="s">
        <v>5830</v>
      </c>
      <c r="D1287" t="s">
        <v>6360</v>
      </c>
      <c r="E1287" t="s">
        <v>6361</v>
      </c>
      <c r="H1287" t="s">
        <v>4284</v>
      </c>
    </row>
    <row r="1288" spans="1:8">
      <c r="A1288" t="s">
        <v>4604</v>
      </c>
      <c r="B1288" t="s">
        <v>5028</v>
      </c>
      <c r="C1288" t="s">
        <v>5793</v>
      </c>
      <c r="D1288" t="s">
        <v>6362</v>
      </c>
      <c r="E1288" t="s">
        <v>6363</v>
      </c>
      <c r="H1288" t="s">
        <v>4284</v>
      </c>
    </row>
    <row r="1289" spans="1:8">
      <c r="A1289" t="s">
        <v>4604</v>
      </c>
      <c r="B1289" t="s">
        <v>5029</v>
      </c>
      <c r="C1289" t="s">
        <v>1116</v>
      </c>
      <c r="D1289" t="s">
        <v>6364</v>
      </c>
      <c r="E1289" t="s">
        <v>6365</v>
      </c>
      <c r="H1289" t="s">
        <v>4284</v>
      </c>
    </row>
    <row r="1290" spans="1:8">
      <c r="A1290" t="s">
        <v>4604</v>
      </c>
      <c r="B1290" t="s">
        <v>5030</v>
      </c>
      <c r="C1290" t="s">
        <v>5831</v>
      </c>
      <c r="D1290" t="s">
        <v>6366</v>
      </c>
      <c r="E1290" t="s">
        <v>6367</v>
      </c>
      <c r="H1290" t="s">
        <v>4284</v>
      </c>
    </row>
    <row r="1291" spans="1:8">
      <c r="A1291" t="s">
        <v>4604</v>
      </c>
      <c r="B1291" t="s">
        <v>5031</v>
      </c>
      <c r="C1291" t="s">
        <v>996</v>
      </c>
      <c r="D1291">
        <v>0</v>
      </c>
      <c r="E1291">
        <v>0</v>
      </c>
      <c r="H1291" t="s">
        <v>4284</v>
      </c>
    </row>
    <row r="1292" spans="1:8">
      <c r="A1292" t="s">
        <v>4604</v>
      </c>
      <c r="B1292" t="s">
        <v>5032</v>
      </c>
      <c r="C1292" t="s">
        <v>1091</v>
      </c>
      <c r="D1292" t="s">
        <v>6366</v>
      </c>
      <c r="E1292" t="s">
        <v>6367</v>
      </c>
      <c r="H1292" t="s">
        <v>4284</v>
      </c>
    </row>
    <row r="1293" spans="1:8">
      <c r="A1293">
        <v>11009487</v>
      </c>
      <c r="B1293" t="s">
        <v>5033</v>
      </c>
      <c r="C1293" t="s">
        <v>1091</v>
      </c>
      <c r="D1293">
        <v>0</v>
      </c>
      <c r="E1293">
        <v>0</v>
      </c>
      <c r="H1293" t="s">
        <v>4284</v>
      </c>
    </row>
    <row r="1294" spans="1:8">
      <c r="A1294" t="s">
        <v>4604</v>
      </c>
      <c r="B1294" t="s">
        <v>5034</v>
      </c>
      <c r="C1294" t="s">
        <v>5832</v>
      </c>
      <c r="D1294" t="s">
        <v>6366</v>
      </c>
      <c r="E1294" t="s">
        <v>6367</v>
      </c>
      <c r="H1294" t="s">
        <v>4284</v>
      </c>
    </row>
    <row r="1295" spans="1:8">
      <c r="A1295" t="s">
        <v>4604</v>
      </c>
      <c r="B1295" t="s">
        <v>5035</v>
      </c>
      <c r="C1295" t="s">
        <v>997</v>
      </c>
      <c r="D1295">
        <v>0</v>
      </c>
      <c r="E1295">
        <v>0</v>
      </c>
      <c r="H1295" t="s">
        <v>4284</v>
      </c>
    </row>
    <row r="1296" spans="1:8">
      <c r="A1296" t="s">
        <v>4604</v>
      </c>
      <c r="B1296" t="s">
        <v>5036</v>
      </c>
      <c r="C1296" t="s">
        <v>980</v>
      </c>
      <c r="D1296" t="s">
        <v>6366</v>
      </c>
      <c r="E1296" t="s">
        <v>6367</v>
      </c>
      <c r="H1296" t="s">
        <v>4284</v>
      </c>
    </row>
    <row r="1297" spans="1:8">
      <c r="A1297">
        <v>11009485</v>
      </c>
      <c r="B1297" t="s">
        <v>5037</v>
      </c>
      <c r="C1297" t="s">
        <v>980</v>
      </c>
      <c r="D1297">
        <v>0</v>
      </c>
      <c r="E1297">
        <v>0</v>
      </c>
      <c r="H1297" t="s">
        <v>4284</v>
      </c>
    </row>
    <row r="1298" spans="1:8">
      <c r="A1298" t="s">
        <v>4604</v>
      </c>
      <c r="B1298" t="s">
        <v>5038</v>
      </c>
      <c r="C1298" t="s">
        <v>5833</v>
      </c>
      <c r="D1298" t="s">
        <v>6368</v>
      </c>
      <c r="E1298" t="s">
        <v>5949</v>
      </c>
      <c r="H1298" t="s">
        <v>4284</v>
      </c>
    </row>
    <row r="1299" spans="1:8">
      <c r="A1299">
        <v>11005732</v>
      </c>
      <c r="B1299" t="s">
        <v>5039</v>
      </c>
      <c r="C1299" t="s">
        <v>5833</v>
      </c>
      <c r="D1299" t="s">
        <v>6369</v>
      </c>
      <c r="E1299" t="s">
        <v>5949</v>
      </c>
      <c r="H1299" t="s">
        <v>4284</v>
      </c>
    </row>
    <row r="1300" spans="1:8">
      <c r="A1300" t="s">
        <v>4604</v>
      </c>
      <c r="B1300" t="s">
        <v>5040</v>
      </c>
      <c r="C1300" t="s">
        <v>5791</v>
      </c>
      <c r="D1300" t="s">
        <v>6370</v>
      </c>
      <c r="E1300" t="s">
        <v>6371</v>
      </c>
      <c r="H1300" t="s">
        <v>4284</v>
      </c>
    </row>
    <row r="1301" spans="1:8">
      <c r="A1301">
        <v>11005605</v>
      </c>
      <c r="B1301" t="s">
        <v>5041</v>
      </c>
      <c r="C1301" t="s">
        <v>5834</v>
      </c>
      <c r="D1301" t="s">
        <v>6372</v>
      </c>
      <c r="E1301" t="s">
        <v>6373</v>
      </c>
      <c r="H1301" t="s">
        <v>4284</v>
      </c>
    </row>
    <row r="1302" spans="1:8">
      <c r="A1302">
        <v>11005600</v>
      </c>
      <c r="B1302" t="s">
        <v>5042</v>
      </c>
      <c r="C1302" t="s">
        <v>5835</v>
      </c>
      <c r="D1302" t="s">
        <v>6374</v>
      </c>
      <c r="E1302" t="s">
        <v>6375</v>
      </c>
      <c r="H1302" t="s">
        <v>4284</v>
      </c>
    </row>
    <row r="1303" spans="1:8">
      <c r="A1303">
        <v>11005595</v>
      </c>
      <c r="B1303" t="s">
        <v>5043</v>
      </c>
      <c r="C1303" t="s">
        <v>5836</v>
      </c>
      <c r="D1303" t="s">
        <v>6376</v>
      </c>
      <c r="E1303" t="s">
        <v>6377</v>
      </c>
      <c r="H1303" t="s">
        <v>4284</v>
      </c>
    </row>
    <row r="1304" spans="1:8">
      <c r="A1304">
        <v>11005591</v>
      </c>
      <c r="B1304" t="s">
        <v>5044</v>
      </c>
      <c r="C1304" t="s">
        <v>5837</v>
      </c>
      <c r="D1304" t="s">
        <v>6378</v>
      </c>
      <c r="E1304" t="s">
        <v>6379</v>
      </c>
      <c r="H1304" t="s">
        <v>4284</v>
      </c>
    </row>
    <row r="1305" spans="1:8">
      <c r="A1305">
        <v>11005588</v>
      </c>
      <c r="B1305" t="s">
        <v>5045</v>
      </c>
      <c r="C1305" t="s">
        <v>5838</v>
      </c>
      <c r="D1305" t="s">
        <v>6372</v>
      </c>
      <c r="E1305" t="s">
        <v>6373</v>
      </c>
      <c r="H1305" t="s">
        <v>4284</v>
      </c>
    </row>
    <row r="1306" spans="1:8">
      <c r="A1306" t="s">
        <v>4604</v>
      </c>
      <c r="B1306" t="s">
        <v>5046</v>
      </c>
      <c r="C1306" t="s">
        <v>1005</v>
      </c>
      <c r="D1306">
        <v>0</v>
      </c>
      <c r="E1306">
        <v>0</v>
      </c>
      <c r="H1306" t="s">
        <v>4284</v>
      </c>
    </row>
    <row r="1307" spans="1:8">
      <c r="A1307" t="s">
        <v>4604</v>
      </c>
      <c r="B1307" t="s">
        <v>5047</v>
      </c>
      <c r="C1307" t="s">
        <v>1006</v>
      </c>
      <c r="D1307">
        <v>0</v>
      </c>
      <c r="E1307">
        <v>0</v>
      </c>
      <c r="H1307" t="s">
        <v>4284</v>
      </c>
    </row>
    <row r="1308" spans="1:8">
      <c r="A1308" t="s">
        <v>4604</v>
      </c>
      <c r="B1308" t="s">
        <v>5048</v>
      </c>
      <c r="C1308" t="s">
        <v>1007</v>
      </c>
      <c r="D1308">
        <v>0</v>
      </c>
      <c r="E1308">
        <v>0</v>
      </c>
      <c r="H1308" t="s">
        <v>4284</v>
      </c>
    </row>
    <row r="1309" spans="1:8">
      <c r="A1309" t="s">
        <v>4604</v>
      </c>
      <c r="B1309" t="s">
        <v>5049</v>
      </c>
      <c r="C1309" t="s">
        <v>1008</v>
      </c>
      <c r="D1309">
        <v>0</v>
      </c>
      <c r="E1309">
        <v>0</v>
      </c>
      <c r="H1309" t="s">
        <v>4284</v>
      </c>
    </row>
    <row r="1310" spans="1:8">
      <c r="A1310" t="s">
        <v>4604</v>
      </c>
      <c r="B1310" t="s">
        <v>5050</v>
      </c>
      <c r="C1310" t="s">
        <v>1083</v>
      </c>
      <c r="D1310">
        <v>0</v>
      </c>
      <c r="E1310">
        <v>0</v>
      </c>
      <c r="H1310" t="s">
        <v>4284</v>
      </c>
    </row>
    <row r="1311" spans="1:8">
      <c r="A1311" t="s">
        <v>4604</v>
      </c>
      <c r="B1311" t="s">
        <v>5051</v>
      </c>
      <c r="C1311" t="s">
        <v>1081</v>
      </c>
      <c r="D1311">
        <v>0</v>
      </c>
      <c r="E1311">
        <v>0</v>
      </c>
      <c r="H1311" t="s">
        <v>4284</v>
      </c>
    </row>
    <row r="1312" spans="1:8">
      <c r="A1312" t="s">
        <v>4604</v>
      </c>
      <c r="B1312" t="s">
        <v>5052</v>
      </c>
      <c r="C1312" t="s">
        <v>1009</v>
      </c>
      <c r="D1312">
        <v>0</v>
      </c>
      <c r="E1312">
        <v>0</v>
      </c>
      <c r="H1312" t="s">
        <v>4284</v>
      </c>
    </row>
    <row r="1313" spans="1:8">
      <c r="A1313" t="s">
        <v>4604</v>
      </c>
      <c r="B1313" t="s">
        <v>5053</v>
      </c>
      <c r="C1313" t="s">
        <v>1196</v>
      </c>
      <c r="D1313">
        <v>0</v>
      </c>
      <c r="E1313">
        <v>0</v>
      </c>
      <c r="H1313" t="s">
        <v>4284</v>
      </c>
    </row>
    <row r="1314" spans="1:8">
      <c r="A1314" t="s">
        <v>4604</v>
      </c>
      <c r="B1314" t="s">
        <v>5054</v>
      </c>
      <c r="C1314" t="s">
        <v>1010</v>
      </c>
      <c r="D1314">
        <v>0</v>
      </c>
      <c r="E1314">
        <v>0</v>
      </c>
      <c r="H1314" t="s">
        <v>4284</v>
      </c>
    </row>
    <row r="1315" spans="1:8">
      <c r="A1315" t="s">
        <v>4604</v>
      </c>
      <c r="B1315" t="s">
        <v>5055</v>
      </c>
      <c r="C1315" t="s">
        <v>1224</v>
      </c>
      <c r="D1315">
        <v>0</v>
      </c>
      <c r="E1315">
        <v>0</v>
      </c>
      <c r="H1315" t="s">
        <v>4284</v>
      </c>
    </row>
    <row r="1316" spans="1:8">
      <c r="A1316" t="s">
        <v>4604</v>
      </c>
      <c r="B1316" t="s">
        <v>5056</v>
      </c>
      <c r="C1316" t="s">
        <v>1135</v>
      </c>
      <c r="D1316" t="s">
        <v>6380</v>
      </c>
      <c r="E1316" t="s">
        <v>6381</v>
      </c>
      <c r="H1316" t="s">
        <v>4284</v>
      </c>
    </row>
    <row r="1317" spans="1:8">
      <c r="A1317" t="s">
        <v>4604</v>
      </c>
      <c r="B1317" t="s">
        <v>5057</v>
      </c>
      <c r="C1317" t="s">
        <v>1136</v>
      </c>
      <c r="D1317" t="s">
        <v>6380</v>
      </c>
      <c r="E1317" t="s">
        <v>6381</v>
      </c>
      <c r="H1317" t="s">
        <v>4284</v>
      </c>
    </row>
    <row r="1318" spans="1:8">
      <c r="A1318" t="s">
        <v>4604</v>
      </c>
      <c r="B1318" t="s">
        <v>5058</v>
      </c>
      <c r="C1318" t="s">
        <v>5839</v>
      </c>
      <c r="D1318" t="s">
        <v>6382</v>
      </c>
      <c r="E1318" t="s">
        <v>6383</v>
      </c>
      <c r="H1318" t="s">
        <v>4284</v>
      </c>
    </row>
    <row r="1319" spans="1:8">
      <c r="A1319" t="s">
        <v>4604</v>
      </c>
      <c r="B1319" t="s">
        <v>5059</v>
      </c>
      <c r="C1319" t="s">
        <v>5839</v>
      </c>
      <c r="D1319">
        <v>0</v>
      </c>
      <c r="E1319">
        <v>0</v>
      </c>
      <c r="H1319" t="s">
        <v>4284</v>
      </c>
    </row>
    <row r="1320" spans="1:8">
      <c r="A1320" t="s">
        <v>4604</v>
      </c>
      <c r="B1320" t="s">
        <v>5060</v>
      </c>
      <c r="C1320" t="s">
        <v>5840</v>
      </c>
      <c r="D1320" t="s">
        <v>6382</v>
      </c>
      <c r="E1320" t="s">
        <v>6383</v>
      </c>
      <c r="H1320" t="s">
        <v>4284</v>
      </c>
    </row>
    <row r="1321" spans="1:8">
      <c r="A1321" t="s">
        <v>4604</v>
      </c>
      <c r="B1321" t="s">
        <v>5061</v>
      </c>
      <c r="C1321" t="s">
        <v>5840</v>
      </c>
      <c r="D1321">
        <v>0</v>
      </c>
      <c r="E1321">
        <v>0</v>
      </c>
      <c r="H1321" t="s">
        <v>4284</v>
      </c>
    </row>
    <row r="1322" spans="1:8">
      <c r="A1322" t="s">
        <v>4604</v>
      </c>
      <c r="B1322" t="s">
        <v>5062</v>
      </c>
      <c r="C1322" t="s">
        <v>963</v>
      </c>
      <c r="D1322" t="s">
        <v>6382</v>
      </c>
      <c r="E1322" t="s">
        <v>6383</v>
      </c>
      <c r="H1322" t="s">
        <v>4284</v>
      </c>
    </row>
    <row r="1323" spans="1:8">
      <c r="A1323" t="s">
        <v>4604</v>
      </c>
      <c r="B1323" t="s">
        <v>5063</v>
      </c>
      <c r="C1323" t="s">
        <v>963</v>
      </c>
      <c r="D1323">
        <v>0</v>
      </c>
      <c r="E1323">
        <v>0</v>
      </c>
      <c r="H1323" t="s">
        <v>4284</v>
      </c>
    </row>
    <row r="1324" spans="1:8">
      <c r="A1324">
        <v>11000228</v>
      </c>
      <c r="B1324" t="s">
        <v>5064</v>
      </c>
      <c r="C1324" t="s">
        <v>964</v>
      </c>
      <c r="D1324" t="s">
        <v>6384</v>
      </c>
      <c r="E1324" t="s">
        <v>6385</v>
      </c>
      <c r="H1324" t="s">
        <v>4284</v>
      </c>
    </row>
    <row r="1325" spans="1:8">
      <c r="A1325" t="s">
        <v>4604</v>
      </c>
      <c r="B1325" t="s">
        <v>5065</v>
      </c>
      <c r="C1325" t="s">
        <v>964</v>
      </c>
      <c r="D1325" t="s">
        <v>6382</v>
      </c>
      <c r="E1325" t="s">
        <v>6383</v>
      </c>
      <c r="H1325" t="s">
        <v>4284</v>
      </c>
    </row>
    <row r="1326" spans="1:8">
      <c r="A1326" t="s">
        <v>4604</v>
      </c>
      <c r="B1326" t="s">
        <v>5066</v>
      </c>
      <c r="C1326" t="s">
        <v>964</v>
      </c>
      <c r="D1326">
        <v>0</v>
      </c>
      <c r="E1326">
        <v>0</v>
      </c>
      <c r="H1326" t="s">
        <v>4284</v>
      </c>
    </row>
    <row r="1327" spans="1:8">
      <c r="A1327">
        <v>11005200</v>
      </c>
      <c r="B1327" t="s">
        <v>5067</v>
      </c>
      <c r="C1327" t="s">
        <v>965</v>
      </c>
      <c r="D1327" t="s">
        <v>6386</v>
      </c>
      <c r="E1327" t="s">
        <v>6387</v>
      </c>
      <c r="H1327" t="s">
        <v>4284</v>
      </c>
    </row>
    <row r="1328" spans="1:8">
      <c r="A1328">
        <v>11005182</v>
      </c>
      <c r="B1328" t="s">
        <v>5068</v>
      </c>
      <c r="C1328" t="s">
        <v>5667</v>
      </c>
      <c r="D1328" t="s">
        <v>6330</v>
      </c>
      <c r="E1328" t="s">
        <v>6331</v>
      </c>
      <c r="H1328" t="s">
        <v>4284</v>
      </c>
    </row>
    <row r="1329" spans="1:8">
      <c r="A1329">
        <v>11005180</v>
      </c>
      <c r="B1329" t="s">
        <v>5069</v>
      </c>
      <c r="C1329" t="s">
        <v>5668</v>
      </c>
      <c r="D1329" t="s">
        <v>6330</v>
      </c>
      <c r="E1329" t="s">
        <v>6331</v>
      </c>
      <c r="H1329" t="s">
        <v>4284</v>
      </c>
    </row>
    <row r="1330" spans="1:8">
      <c r="A1330">
        <v>11005179</v>
      </c>
      <c r="B1330" t="s">
        <v>5070</v>
      </c>
      <c r="C1330" t="s">
        <v>5793</v>
      </c>
      <c r="D1330" t="s">
        <v>6362</v>
      </c>
      <c r="E1330" t="s">
        <v>6363</v>
      </c>
      <c r="H1330" t="s">
        <v>4284</v>
      </c>
    </row>
    <row r="1331" spans="1:8">
      <c r="A1331">
        <v>11005178</v>
      </c>
      <c r="B1331" t="s">
        <v>5071</v>
      </c>
      <c r="C1331" t="s">
        <v>5794</v>
      </c>
      <c r="D1331" t="s">
        <v>6362</v>
      </c>
      <c r="E1331" t="s">
        <v>6363</v>
      </c>
      <c r="H1331" t="s">
        <v>4284</v>
      </c>
    </row>
    <row r="1332" spans="1:8">
      <c r="A1332">
        <v>11005137</v>
      </c>
      <c r="B1332" t="s">
        <v>5072</v>
      </c>
      <c r="C1332" t="s">
        <v>1197</v>
      </c>
      <c r="D1332" t="s">
        <v>6388</v>
      </c>
      <c r="E1332" t="s">
        <v>6389</v>
      </c>
      <c r="H1332" t="s">
        <v>4284</v>
      </c>
    </row>
    <row r="1333" spans="1:8">
      <c r="A1333" t="s">
        <v>4604</v>
      </c>
      <c r="B1333" t="s">
        <v>5073</v>
      </c>
      <c r="C1333" t="s">
        <v>5841</v>
      </c>
      <c r="D1333" t="s">
        <v>6388</v>
      </c>
      <c r="E1333" t="s">
        <v>6389</v>
      </c>
      <c r="H1333" t="s">
        <v>4284</v>
      </c>
    </row>
    <row r="1334" spans="1:8">
      <c r="A1334" t="s">
        <v>4604</v>
      </c>
      <c r="B1334" t="s">
        <v>5074</v>
      </c>
      <c r="C1334" t="s">
        <v>5842</v>
      </c>
      <c r="D1334" t="s">
        <v>6388</v>
      </c>
      <c r="E1334" t="s">
        <v>6389</v>
      </c>
      <c r="H1334" t="s">
        <v>4284</v>
      </c>
    </row>
    <row r="1335" spans="1:8">
      <c r="A1335" t="s">
        <v>4604</v>
      </c>
      <c r="B1335" t="s">
        <v>5075</v>
      </c>
      <c r="C1335" t="s">
        <v>5843</v>
      </c>
      <c r="D1335" t="s">
        <v>6390</v>
      </c>
      <c r="E1335" t="s">
        <v>6391</v>
      </c>
      <c r="H1335" t="s">
        <v>4284</v>
      </c>
    </row>
    <row r="1336" spans="1:8">
      <c r="A1336" t="s">
        <v>4604</v>
      </c>
      <c r="B1336" t="s">
        <v>5076</v>
      </c>
      <c r="C1336" t="s">
        <v>5844</v>
      </c>
      <c r="D1336" t="s">
        <v>6390</v>
      </c>
      <c r="E1336" t="s">
        <v>6391</v>
      </c>
      <c r="H1336" t="s">
        <v>4284</v>
      </c>
    </row>
    <row r="1337" spans="1:8">
      <c r="A1337">
        <v>11003659</v>
      </c>
      <c r="B1337" t="s">
        <v>5077</v>
      </c>
      <c r="C1337" t="s">
        <v>965</v>
      </c>
      <c r="D1337" t="s">
        <v>6392</v>
      </c>
      <c r="E1337" t="s">
        <v>6393</v>
      </c>
      <c r="H1337" t="s">
        <v>4284</v>
      </c>
    </row>
    <row r="1338" spans="1:8">
      <c r="A1338">
        <v>11003658</v>
      </c>
      <c r="B1338" t="s">
        <v>5078</v>
      </c>
      <c r="C1338" t="s">
        <v>1206</v>
      </c>
      <c r="D1338" t="s">
        <v>6392</v>
      </c>
      <c r="E1338" t="s">
        <v>6393</v>
      </c>
      <c r="H1338" t="s">
        <v>4284</v>
      </c>
    </row>
    <row r="1339" spans="1:8">
      <c r="A1339">
        <v>11003657</v>
      </c>
      <c r="B1339" t="s">
        <v>5079</v>
      </c>
      <c r="C1339" t="s">
        <v>977</v>
      </c>
      <c r="D1339" t="s">
        <v>6392</v>
      </c>
      <c r="E1339" t="s">
        <v>6393</v>
      </c>
      <c r="H1339" t="s">
        <v>4284</v>
      </c>
    </row>
    <row r="1340" spans="1:8">
      <c r="A1340">
        <v>11003656</v>
      </c>
      <c r="B1340" t="s">
        <v>5080</v>
      </c>
      <c r="C1340" t="s">
        <v>976</v>
      </c>
      <c r="D1340" t="s">
        <v>6392</v>
      </c>
      <c r="E1340" t="s">
        <v>6393</v>
      </c>
      <c r="H1340" t="s">
        <v>4284</v>
      </c>
    </row>
    <row r="1341" spans="1:8">
      <c r="A1341">
        <v>11003652</v>
      </c>
      <c r="B1341" t="s">
        <v>5081</v>
      </c>
      <c r="C1341" t="s">
        <v>1038</v>
      </c>
      <c r="D1341" t="s">
        <v>6394</v>
      </c>
      <c r="E1341" t="s">
        <v>6395</v>
      </c>
      <c r="H1341" t="s">
        <v>4284</v>
      </c>
    </row>
    <row r="1342" spans="1:8">
      <c r="A1342">
        <v>11003651</v>
      </c>
      <c r="B1342" t="s">
        <v>5082</v>
      </c>
      <c r="C1342" t="s">
        <v>1039</v>
      </c>
      <c r="D1342" t="s">
        <v>6394</v>
      </c>
      <c r="E1342" t="s">
        <v>6395</v>
      </c>
      <c r="H1342" t="s">
        <v>4284</v>
      </c>
    </row>
    <row r="1343" spans="1:8">
      <c r="A1343">
        <v>11003650</v>
      </c>
      <c r="B1343" t="s">
        <v>5083</v>
      </c>
      <c r="C1343" t="s">
        <v>1040</v>
      </c>
      <c r="D1343" t="s">
        <v>6394</v>
      </c>
      <c r="E1343" t="s">
        <v>6395</v>
      </c>
      <c r="H1343" t="s">
        <v>4284</v>
      </c>
    </row>
    <row r="1344" spans="1:8">
      <c r="A1344">
        <v>11003649</v>
      </c>
      <c r="B1344" t="s">
        <v>5084</v>
      </c>
      <c r="C1344" t="s">
        <v>1041</v>
      </c>
      <c r="D1344" t="s">
        <v>6394</v>
      </c>
      <c r="E1344" t="s">
        <v>6395</v>
      </c>
      <c r="H1344" t="s">
        <v>4284</v>
      </c>
    </row>
    <row r="1345" spans="1:8">
      <c r="A1345">
        <v>11003648</v>
      </c>
      <c r="B1345" t="s">
        <v>5085</v>
      </c>
      <c r="C1345" t="s">
        <v>1141</v>
      </c>
      <c r="D1345" t="s">
        <v>6394</v>
      </c>
      <c r="E1345" t="s">
        <v>6395</v>
      </c>
      <c r="H1345" t="s">
        <v>4284</v>
      </c>
    </row>
    <row r="1346" spans="1:8">
      <c r="A1346">
        <v>11003647</v>
      </c>
      <c r="B1346" t="s">
        <v>5086</v>
      </c>
      <c r="C1346" t="s">
        <v>1042</v>
      </c>
      <c r="D1346" t="s">
        <v>6394</v>
      </c>
      <c r="E1346" t="s">
        <v>6395</v>
      </c>
      <c r="H1346" t="s">
        <v>4284</v>
      </c>
    </row>
    <row r="1347" spans="1:8">
      <c r="A1347">
        <v>11003646</v>
      </c>
      <c r="B1347" t="s">
        <v>5087</v>
      </c>
      <c r="C1347" t="s">
        <v>1043</v>
      </c>
      <c r="D1347" t="s">
        <v>6396</v>
      </c>
      <c r="E1347" t="s">
        <v>6397</v>
      </c>
      <c r="H1347" t="s">
        <v>4284</v>
      </c>
    </row>
    <row r="1348" spans="1:8">
      <c r="A1348">
        <v>11003644</v>
      </c>
      <c r="B1348" t="s">
        <v>5088</v>
      </c>
      <c r="C1348" t="s">
        <v>1044</v>
      </c>
      <c r="D1348" t="s">
        <v>6396</v>
      </c>
      <c r="E1348" t="s">
        <v>6397</v>
      </c>
      <c r="H1348" t="s">
        <v>4284</v>
      </c>
    </row>
    <row r="1349" spans="1:8">
      <c r="A1349">
        <v>11003642</v>
      </c>
      <c r="B1349" t="s">
        <v>5089</v>
      </c>
      <c r="C1349" t="s">
        <v>1045</v>
      </c>
      <c r="D1349" t="s">
        <v>6396</v>
      </c>
      <c r="E1349" t="s">
        <v>6397</v>
      </c>
      <c r="H1349" t="s">
        <v>4284</v>
      </c>
    </row>
    <row r="1350" spans="1:8">
      <c r="A1350" t="s">
        <v>4604</v>
      </c>
      <c r="B1350" t="s">
        <v>5090</v>
      </c>
      <c r="C1350" t="s">
        <v>1046</v>
      </c>
      <c r="D1350">
        <v>0</v>
      </c>
      <c r="E1350">
        <v>0</v>
      </c>
      <c r="H1350" t="s">
        <v>4284</v>
      </c>
    </row>
    <row r="1351" spans="1:8">
      <c r="A1351">
        <v>11003640</v>
      </c>
      <c r="B1351" t="s">
        <v>5091</v>
      </c>
      <c r="C1351" t="s">
        <v>1142</v>
      </c>
      <c r="D1351" t="s">
        <v>6396</v>
      </c>
      <c r="E1351" t="s">
        <v>6397</v>
      </c>
      <c r="H1351" t="s">
        <v>4284</v>
      </c>
    </row>
    <row r="1352" spans="1:8">
      <c r="A1352">
        <v>11003638</v>
      </c>
      <c r="B1352" t="s">
        <v>5092</v>
      </c>
      <c r="C1352" t="s">
        <v>1047</v>
      </c>
      <c r="D1352" t="s">
        <v>6396</v>
      </c>
      <c r="E1352" t="s">
        <v>6397</v>
      </c>
      <c r="H1352" t="s">
        <v>4284</v>
      </c>
    </row>
    <row r="1353" spans="1:8">
      <c r="A1353">
        <v>11003636</v>
      </c>
      <c r="B1353" t="s">
        <v>5093</v>
      </c>
      <c r="C1353" t="s">
        <v>1051</v>
      </c>
      <c r="D1353" t="s">
        <v>6398</v>
      </c>
      <c r="E1353" t="s">
        <v>6399</v>
      </c>
      <c r="H1353" t="s">
        <v>4284</v>
      </c>
    </row>
    <row r="1354" spans="1:8">
      <c r="A1354">
        <v>11003635</v>
      </c>
      <c r="B1354" t="s">
        <v>5094</v>
      </c>
      <c r="C1354" t="s">
        <v>1052</v>
      </c>
      <c r="D1354" t="s">
        <v>6398</v>
      </c>
      <c r="E1354" t="s">
        <v>6399</v>
      </c>
      <c r="H1354" t="s">
        <v>4284</v>
      </c>
    </row>
    <row r="1355" spans="1:8">
      <c r="A1355">
        <v>11003633</v>
      </c>
      <c r="B1355" t="s">
        <v>5095</v>
      </c>
      <c r="C1355" t="s">
        <v>1053</v>
      </c>
      <c r="D1355" t="s">
        <v>6398</v>
      </c>
      <c r="E1355" t="s">
        <v>6399</v>
      </c>
      <c r="H1355" t="s">
        <v>4284</v>
      </c>
    </row>
    <row r="1356" spans="1:8">
      <c r="A1356">
        <v>11003632</v>
      </c>
      <c r="B1356" t="s">
        <v>5096</v>
      </c>
      <c r="C1356" t="s">
        <v>971</v>
      </c>
      <c r="D1356" t="s">
        <v>6398</v>
      </c>
      <c r="E1356" t="s">
        <v>6399</v>
      </c>
      <c r="H1356" t="s">
        <v>4284</v>
      </c>
    </row>
    <row r="1357" spans="1:8">
      <c r="A1357">
        <v>11003631</v>
      </c>
      <c r="B1357" t="s">
        <v>5097</v>
      </c>
      <c r="C1357" t="s">
        <v>969</v>
      </c>
      <c r="D1357" t="s">
        <v>6398</v>
      </c>
      <c r="E1357" t="s">
        <v>6399</v>
      </c>
      <c r="H1357" t="s">
        <v>4284</v>
      </c>
    </row>
    <row r="1358" spans="1:8">
      <c r="A1358">
        <v>11003630</v>
      </c>
      <c r="B1358" t="s">
        <v>5098</v>
      </c>
      <c r="C1358" t="s">
        <v>967</v>
      </c>
      <c r="D1358" t="s">
        <v>6398</v>
      </c>
      <c r="E1358" t="s">
        <v>6399</v>
      </c>
      <c r="H1358" t="s">
        <v>4284</v>
      </c>
    </row>
    <row r="1359" spans="1:8">
      <c r="A1359">
        <v>11003629</v>
      </c>
      <c r="B1359" t="s">
        <v>5099</v>
      </c>
      <c r="C1359" t="s">
        <v>970</v>
      </c>
      <c r="D1359" t="s">
        <v>6400</v>
      </c>
      <c r="E1359" t="s">
        <v>6401</v>
      </c>
      <c r="H1359" t="s">
        <v>4284</v>
      </c>
    </row>
    <row r="1360" spans="1:8">
      <c r="A1360">
        <v>11003628</v>
      </c>
      <c r="B1360" t="s">
        <v>5100</v>
      </c>
      <c r="C1360" t="s">
        <v>972</v>
      </c>
      <c r="D1360" t="s">
        <v>6400</v>
      </c>
      <c r="E1360" t="s">
        <v>6401</v>
      </c>
      <c r="H1360" t="s">
        <v>4284</v>
      </c>
    </row>
    <row r="1361" spans="1:8">
      <c r="A1361">
        <v>11003626</v>
      </c>
      <c r="B1361" t="s">
        <v>5101</v>
      </c>
      <c r="C1361" t="s">
        <v>973</v>
      </c>
      <c r="D1361" t="s">
        <v>6400</v>
      </c>
      <c r="E1361" t="s">
        <v>6401</v>
      </c>
      <c r="H1361" t="s">
        <v>4284</v>
      </c>
    </row>
    <row r="1362" spans="1:8">
      <c r="A1362">
        <v>11003625</v>
      </c>
      <c r="B1362" t="s">
        <v>5102</v>
      </c>
      <c r="C1362" t="s">
        <v>974</v>
      </c>
      <c r="D1362" t="s">
        <v>6400</v>
      </c>
      <c r="E1362" t="s">
        <v>6401</v>
      </c>
      <c r="H1362" t="s">
        <v>4284</v>
      </c>
    </row>
    <row r="1363" spans="1:8">
      <c r="A1363">
        <v>11003624</v>
      </c>
      <c r="B1363" t="s">
        <v>5103</v>
      </c>
      <c r="C1363" t="s">
        <v>1064</v>
      </c>
      <c r="D1363" t="s">
        <v>6400</v>
      </c>
      <c r="E1363" t="s">
        <v>6401</v>
      </c>
      <c r="H1363" t="s">
        <v>4284</v>
      </c>
    </row>
    <row r="1364" spans="1:8">
      <c r="A1364">
        <v>11003622</v>
      </c>
      <c r="B1364" t="s">
        <v>5104</v>
      </c>
      <c r="C1364" t="s">
        <v>968</v>
      </c>
      <c r="D1364" t="s">
        <v>6400</v>
      </c>
      <c r="E1364" t="s">
        <v>6401</v>
      </c>
      <c r="H1364" t="s">
        <v>4284</v>
      </c>
    </row>
    <row r="1365" spans="1:8">
      <c r="A1365">
        <v>11003620</v>
      </c>
      <c r="B1365" t="s">
        <v>5105</v>
      </c>
      <c r="C1365" t="s">
        <v>1048</v>
      </c>
      <c r="D1365" t="s">
        <v>6402</v>
      </c>
      <c r="E1365" t="s">
        <v>6403</v>
      </c>
      <c r="H1365" t="s">
        <v>4284</v>
      </c>
    </row>
    <row r="1366" spans="1:8">
      <c r="A1366">
        <v>11003619</v>
      </c>
      <c r="B1366" t="s">
        <v>5106</v>
      </c>
      <c r="C1366" t="s">
        <v>1049</v>
      </c>
      <c r="D1366" t="s">
        <v>6402</v>
      </c>
      <c r="E1366" t="s">
        <v>6403</v>
      </c>
      <c r="H1366" t="s">
        <v>4284</v>
      </c>
    </row>
    <row r="1367" spans="1:8">
      <c r="A1367">
        <v>11003618</v>
      </c>
      <c r="B1367" t="s">
        <v>5107</v>
      </c>
      <c r="C1367" t="s">
        <v>1222</v>
      </c>
      <c r="D1367" t="s">
        <v>6402</v>
      </c>
      <c r="E1367" t="s">
        <v>6403</v>
      </c>
      <c r="H1367" t="s">
        <v>4284</v>
      </c>
    </row>
    <row r="1368" spans="1:8">
      <c r="A1368">
        <v>11003617</v>
      </c>
      <c r="B1368" t="s">
        <v>5108</v>
      </c>
      <c r="C1368" t="s">
        <v>1219</v>
      </c>
      <c r="D1368" t="s">
        <v>6402</v>
      </c>
      <c r="E1368" t="s">
        <v>6403</v>
      </c>
      <c r="H1368" t="s">
        <v>4284</v>
      </c>
    </row>
    <row r="1369" spans="1:8">
      <c r="A1369">
        <v>11003616</v>
      </c>
      <c r="B1369" t="s">
        <v>5109</v>
      </c>
      <c r="C1369" t="s">
        <v>1221</v>
      </c>
      <c r="D1369" t="s">
        <v>6402</v>
      </c>
      <c r="E1369" t="s">
        <v>6403</v>
      </c>
      <c r="H1369" t="s">
        <v>4284</v>
      </c>
    </row>
    <row r="1370" spans="1:8">
      <c r="A1370">
        <v>11003615</v>
      </c>
      <c r="B1370" t="s">
        <v>5110</v>
      </c>
      <c r="C1370" t="s">
        <v>1220</v>
      </c>
      <c r="D1370" t="s">
        <v>6402</v>
      </c>
      <c r="E1370" t="s">
        <v>6403</v>
      </c>
      <c r="H1370" t="s">
        <v>4284</v>
      </c>
    </row>
    <row r="1371" spans="1:8">
      <c r="A1371">
        <v>11003614</v>
      </c>
      <c r="B1371" t="s">
        <v>5111</v>
      </c>
      <c r="C1371" t="s">
        <v>1225</v>
      </c>
      <c r="D1371" t="s">
        <v>6404</v>
      </c>
      <c r="E1371" t="s">
        <v>6405</v>
      </c>
      <c r="H1371" t="s">
        <v>4284</v>
      </c>
    </row>
    <row r="1372" spans="1:8">
      <c r="A1372">
        <v>11003613</v>
      </c>
      <c r="B1372" t="s">
        <v>5112</v>
      </c>
      <c r="C1372" t="s">
        <v>1226</v>
      </c>
      <c r="D1372" t="s">
        <v>6404</v>
      </c>
      <c r="E1372" t="s">
        <v>6405</v>
      </c>
      <c r="H1372" t="s">
        <v>4284</v>
      </c>
    </row>
    <row r="1373" spans="1:8">
      <c r="A1373" t="s">
        <v>4604</v>
      </c>
      <c r="B1373" t="s">
        <v>5113</v>
      </c>
      <c r="C1373" t="s">
        <v>1139</v>
      </c>
      <c r="D1373" t="s">
        <v>6406</v>
      </c>
      <c r="E1373" t="s">
        <v>6407</v>
      </c>
      <c r="H1373" t="s">
        <v>4284</v>
      </c>
    </row>
    <row r="1374" spans="1:8">
      <c r="A1374" t="s">
        <v>4604</v>
      </c>
      <c r="B1374" t="s">
        <v>5114</v>
      </c>
      <c r="C1374" t="s">
        <v>1080</v>
      </c>
      <c r="D1374" t="s">
        <v>6406</v>
      </c>
      <c r="E1374" t="s">
        <v>6407</v>
      </c>
      <c r="H1374" t="s">
        <v>4284</v>
      </c>
    </row>
    <row r="1375" spans="1:8">
      <c r="A1375" t="s">
        <v>4604</v>
      </c>
      <c r="B1375" t="s">
        <v>5115</v>
      </c>
      <c r="C1375" t="s">
        <v>1140</v>
      </c>
      <c r="D1375" t="s">
        <v>6408</v>
      </c>
      <c r="E1375" t="s">
        <v>6409</v>
      </c>
      <c r="H1375" t="s">
        <v>4284</v>
      </c>
    </row>
    <row r="1376" spans="1:8">
      <c r="A1376" t="s">
        <v>4604</v>
      </c>
      <c r="B1376" t="s">
        <v>5116</v>
      </c>
      <c r="C1376" t="s">
        <v>1011</v>
      </c>
      <c r="D1376" t="s">
        <v>6408</v>
      </c>
      <c r="E1376" t="s">
        <v>6409</v>
      </c>
      <c r="H1376" t="s">
        <v>4284</v>
      </c>
    </row>
    <row r="1377" spans="1:8">
      <c r="A1377" t="s">
        <v>4604</v>
      </c>
      <c r="B1377" t="s">
        <v>5117</v>
      </c>
      <c r="C1377" t="s">
        <v>5845</v>
      </c>
      <c r="D1377" t="s">
        <v>6410</v>
      </c>
      <c r="E1377" t="s">
        <v>6411</v>
      </c>
      <c r="H1377" t="s">
        <v>4284</v>
      </c>
    </row>
    <row r="1378" spans="1:8">
      <c r="A1378">
        <v>11003209</v>
      </c>
      <c r="B1378" t="s">
        <v>5118</v>
      </c>
      <c r="C1378" t="s">
        <v>5846</v>
      </c>
      <c r="D1378" t="s">
        <v>6412</v>
      </c>
      <c r="E1378" t="s">
        <v>6413</v>
      </c>
      <c r="H1378" t="s">
        <v>4284</v>
      </c>
    </row>
    <row r="1379" spans="1:8">
      <c r="A1379" t="s">
        <v>4604</v>
      </c>
      <c r="B1379" t="s">
        <v>5119</v>
      </c>
      <c r="C1379" t="s">
        <v>1105</v>
      </c>
      <c r="D1379" t="s">
        <v>6414</v>
      </c>
      <c r="E1379" t="s">
        <v>6415</v>
      </c>
      <c r="H1379" t="s">
        <v>4284</v>
      </c>
    </row>
    <row r="1380" spans="1:8">
      <c r="A1380">
        <v>11000421</v>
      </c>
      <c r="B1380" t="s">
        <v>5120</v>
      </c>
      <c r="C1380" t="s">
        <v>1106</v>
      </c>
      <c r="D1380" t="s">
        <v>6414</v>
      </c>
      <c r="E1380" t="s">
        <v>6415</v>
      </c>
      <c r="H1380" t="s">
        <v>4284</v>
      </c>
    </row>
    <row r="1381" spans="1:8">
      <c r="A1381">
        <v>11000418</v>
      </c>
      <c r="B1381" t="s">
        <v>5121</v>
      </c>
      <c r="C1381" t="s">
        <v>1107</v>
      </c>
      <c r="D1381" t="s">
        <v>6414</v>
      </c>
      <c r="E1381" t="s">
        <v>6415</v>
      </c>
      <c r="H1381" t="s">
        <v>4284</v>
      </c>
    </row>
    <row r="1382" spans="1:8">
      <c r="A1382" t="s">
        <v>4604</v>
      </c>
      <c r="B1382" t="s">
        <v>5122</v>
      </c>
      <c r="C1382" t="s">
        <v>1135</v>
      </c>
      <c r="D1382" t="s">
        <v>6416</v>
      </c>
      <c r="E1382" t="s">
        <v>6417</v>
      </c>
      <c r="H1382" t="s">
        <v>4284</v>
      </c>
    </row>
    <row r="1383" spans="1:8">
      <c r="A1383" t="s">
        <v>4604</v>
      </c>
      <c r="B1383" t="s">
        <v>5123</v>
      </c>
      <c r="C1383" t="s">
        <v>1135</v>
      </c>
      <c r="D1383" t="s">
        <v>6416</v>
      </c>
      <c r="E1383" t="s">
        <v>6417</v>
      </c>
      <c r="H1383" t="s">
        <v>4284</v>
      </c>
    </row>
    <row r="1384" spans="1:8">
      <c r="A1384">
        <v>11000240</v>
      </c>
      <c r="B1384" t="s">
        <v>5124</v>
      </c>
      <c r="C1384" t="s">
        <v>1136</v>
      </c>
      <c r="D1384" t="s">
        <v>6416</v>
      </c>
      <c r="E1384" t="s">
        <v>6417</v>
      </c>
      <c r="H1384" t="s">
        <v>4284</v>
      </c>
    </row>
    <row r="1385" spans="1:8">
      <c r="A1385">
        <v>11000239</v>
      </c>
      <c r="B1385" t="s">
        <v>5125</v>
      </c>
      <c r="C1385" t="s">
        <v>1136</v>
      </c>
      <c r="D1385" t="s">
        <v>6416</v>
      </c>
      <c r="E1385" t="s">
        <v>6417</v>
      </c>
      <c r="H1385" t="s">
        <v>4284</v>
      </c>
    </row>
    <row r="1386" spans="1:8">
      <c r="A1386">
        <v>11000237</v>
      </c>
      <c r="B1386" t="s">
        <v>5126</v>
      </c>
      <c r="C1386" t="s">
        <v>961</v>
      </c>
      <c r="D1386" t="s">
        <v>6416</v>
      </c>
      <c r="E1386" t="s">
        <v>6417</v>
      </c>
      <c r="H1386" t="s">
        <v>4284</v>
      </c>
    </row>
    <row r="1387" spans="1:8">
      <c r="A1387">
        <v>11000236</v>
      </c>
      <c r="B1387" t="s">
        <v>5127</v>
      </c>
      <c r="C1387" t="s">
        <v>961</v>
      </c>
      <c r="D1387" t="s">
        <v>6416</v>
      </c>
      <c r="E1387" t="s">
        <v>6417</v>
      </c>
      <c r="H1387" t="s">
        <v>4284</v>
      </c>
    </row>
    <row r="1388" spans="1:8">
      <c r="A1388" t="s">
        <v>4604</v>
      </c>
      <c r="B1388" t="s">
        <v>5128</v>
      </c>
      <c r="C1388" t="s">
        <v>962</v>
      </c>
      <c r="D1388" t="s">
        <v>6416</v>
      </c>
      <c r="E1388" t="s">
        <v>6417</v>
      </c>
      <c r="H1388" t="s">
        <v>4284</v>
      </c>
    </row>
    <row r="1389" spans="1:8">
      <c r="A1389">
        <v>11000234</v>
      </c>
      <c r="B1389" t="s">
        <v>5129</v>
      </c>
      <c r="C1389" t="s">
        <v>962</v>
      </c>
      <c r="D1389" t="s">
        <v>6416</v>
      </c>
      <c r="E1389" t="s">
        <v>6417</v>
      </c>
      <c r="H1389" t="s">
        <v>4284</v>
      </c>
    </row>
    <row r="1390" spans="1:8">
      <c r="A1390" t="s">
        <v>4604</v>
      </c>
      <c r="B1390" t="s">
        <v>5130</v>
      </c>
      <c r="C1390" t="s">
        <v>5839</v>
      </c>
      <c r="D1390" t="s">
        <v>6384</v>
      </c>
      <c r="E1390" t="s">
        <v>6385</v>
      </c>
      <c r="H1390" t="s">
        <v>4284</v>
      </c>
    </row>
    <row r="1391" spans="1:8">
      <c r="A1391" t="s">
        <v>4604</v>
      </c>
      <c r="B1391" t="s">
        <v>5131</v>
      </c>
      <c r="C1391" t="s">
        <v>5839</v>
      </c>
      <c r="D1391" t="s">
        <v>6384</v>
      </c>
      <c r="E1391" t="s">
        <v>6385</v>
      </c>
      <c r="H1391" t="s">
        <v>4284</v>
      </c>
    </row>
    <row r="1392" spans="1:8">
      <c r="A1392" t="s">
        <v>4604</v>
      </c>
      <c r="B1392" t="s">
        <v>5132</v>
      </c>
      <c r="C1392" t="s">
        <v>5840</v>
      </c>
      <c r="D1392" t="s">
        <v>6384</v>
      </c>
      <c r="E1392" t="s">
        <v>6385</v>
      </c>
      <c r="H1392" t="s">
        <v>4284</v>
      </c>
    </row>
    <row r="1393" spans="1:8">
      <c r="A1393" t="s">
        <v>4604</v>
      </c>
      <c r="B1393" t="s">
        <v>5133</v>
      </c>
      <c r="C1393" t="s">
        <v>5840</v>
      </c>
      <c r="D1393" t="s">
        <v>6384</v>
      </c>
      <c r="E1393" t="s">
        <v>6385</v>
      </c>
      <c r="H1393" t="s">
        <v>4284</v>
      </c>
    </row>
    <row r="1394" spans="1:8">
      <c r="A1394" t="s">
        <v>4604</v>
      </c>
      <c r="B1394" t="s">
        <v>5134</v>
      </c>
      <c r="C1394" t="s">
        <v>963</v>
      </c>
      <c r="D1394" t="s">
        <v>6384</v>
      </c>
      <c r="E1394" t="s">
        <v>6385</v>
      </c>
      <c r="H1394" t="s">
        <v>4284</v>
      </c>
    </row>
    <row r="1395" spans="1:8">
      <c r="A1395">
        <v>11000231</v>
      </c>
      <c r="B1395" t="s">
        <v>5135</v>
      </c>
      <c r="C1395" t="s">
        <v>963</v>
      </c>
      <c r="D1395" t="s">
        <v>6384</v>
      </c>
      <c r="E1395" t="s">
        <v>6385</v>
      </c>
      <c r="H1395" t="s">
        <v>4284</v>
      </c>
    </row>
    <row r="1396" spans="1:8">
      <c r="A1396">
        <v>11000229</v>
      </c>
      <c r="B1396" t="s">
        <v>5136</v>
      </c>
      <c r="C1396" t="s">
        <v>964</v>
      </c>
      <c r="D1396" t="s">
        <v>6384</v>
      </c>
      <c r="E1396" t="s">
        <v>6385</v>
      </c>
      <c r="H1396" t="s">
        <v>4284</v>
      </c>
    </row>
    <row r="1397" spans="1:8">
      <c r="A1397" t="s">
        <v>4604</v>
      </c>
      <c r="B1397" t="s">
        <v>5137</v>
      </c>
      <c r="C1397" t="s">
        <v>964</v>
      </c>
      <c r="D1397" t="s">
        <v>6384</v>
      </c>
      <c r="E1397" t="s">
        <v>6385</v>
      </c>
      <c r="H1397" t="s">
        <v>4284</v>
      </c>
    </row>
    <row r="1398" spans="1:8">
      <c r="A1398">
        <v>11005130</v>
      </c>
      <c r="B1398" t="s">
        <v>5138</v>
      </c>
      <c r="C1398" t="s">
        <v>1081</v>
      </c>
      <c r="D1398" t="s">
        <v>6418</v>
      </c>
      <c r="E1398" t="s">
        <v>6419</v>
      </c>
      <c r="H1398" t="s">
        <v>4284</v>
      </c>
    </row>
    <row r="1399" spans="1:8">
      <c r="A1399">
        <v>11007014</v>
      </c>
      <c r="B1399" t="s">
        <v>5139</v>
      </c>
      <c r="C1399" t="s">
        <v>5734</v>
      </c>
      <c r="D1399" t="s">
        <v>6289</v>
      </c>
      <c r="E1399" t="s">
        <v>6290</v>
      </c>
      <c r="H1399" t="s">
        <v>4284</v>
      </c>
    </row>
    <row r="1400" spans="1:8">
      <c r="A1400">
        <v>11007086</v>
      </c>
      <c r="B1400" t="s">
        <v>5140</v>
      </c>
      <c r="C1400" t="s">
        <v>5685</v>
      </c>
      <c r="D1400" t="s">
        <v>6267</v>
      </c>
      <c r="E1400" t="s">
        <v>6268</v>
      </c>
      <c r="H1400" t="s">
        <v>4284</v>
      </c>
    </row>
    <row r="1401" spans="1:8">
      <c r="A1401" t="s">
        <v>4604</v>
      </c>
      <c r="B1401" t="s">
        <v>5141</v>
      </c>
      <c r="C1401" t="s">
        <v>5735</v>
      </c>
      <c r="D1401" t="s">
        <v>6289</v>
      </c>
      <c r="E1401" t="s">
        <v>6290</v>
      </c>
      <c r="H1401" t="s">
        <v>4284</v>
      </c>
    </row>
    <row r="1402" spans="1:8">
      <c r="A1402" t="s">
        <v>4604</v>
      </c>
      <c r="B1402" t="s">
        <v>5142</v>
      </c>
      <c r="C1402" t="s">
        <v>5686</v>
      </c>
      <c r="D1402" t="s">
        <v>6267</v>
      </c>
      <c r="E1402" t="s">
        <v>6268</v>
      </c>
      <c r="H1402" t="s">
        <v>4284</v>
      </c>
    </row>
    <row r="1403" spans="1:8">
      <c r="A1403">
        <v>11006980</v>
      </c>
      <c r="B1403" t="s">
        <v>5143</v>
      </c>
      <c r="C1403" t="s">
        <v>5767</v>
      </c>
      <c r="D1403" t="s">
        <v>6299</v>
      </c>
      <c r="E1403" t="s">
        <v>6300</v>
      </c>
      <c r="H1403" t="s">
        <v>4284</v>
      </c>
    </row>
    <row r="1404" spans="1:8">
      <c r="A1404" t="s">
        <v>4604</v>
      </c>
      <c r="B1404" t="s">
        <v>5144</v>
      </c>
      <c r="C1404" t="s">
        <v>5687</v>
      </c>
      <c r="D1404" t="s">
        <v>6267</v>
      </c>
      <c r="E1404" t="s">
        <v>6268</v>
      </c>
      <c r="H1404" t="s">
        <v>4284</v>
      </c>
    </row>
    <row r="1405" spans="1:8">
      <c r="A1405" t="s">
        <v>4604</v>
      </c>
      <c r="B1405" t="s">
        <v>5145</v>
      </c>
      <c r="C1405" t="s">
        <v>5768</v>
      </c>
      <c r="D1405" t="s">
        <v>6299</v>
      </c>
      <c r="E1405" t="s">
        <v>6300</v>
      </c>
      <c r="H1405" t="s">
        <v>4284</v>
      </c>
    </row>
    <row r="1406" spans="1:8">
      <c r="A1406">
        <v>11006836</v>
      </c>
      <c r="B1406" t="s">
        <v>5146</v>
      </c>
      <c r="C1406" t="s">
        <v>1083</v>
      </c>
      <c r="D1406" t="s">
        <v>6312</v>
      </c>
      <c r="E1406" t="s">
        <v>6313</v>
      </c>
      <c r="H1406" t="s">
        <v>4284</v>
      </c>
    </row>
    <row r="1407" spans="1:8">
      <c r="A1407">
        <v>11006834</v>
      </c>
      <c r="B1407" t="s">
        <v>5147</v>
      </c>
      <c r="C1407" t="s">
        <v>1081</v>
      </c>
      <c r="D1407" t="s">
        <v>6312</v>
      </c>
      <c r="E1407" t="s">
        <v>6313</v>
      </c>
      <c r="H1407" t="s">
        <v>4284</v>
      </c>
    </row>
    <row r="1408" spans="1:8">
      <c r="A1408" t="s">
        <v>4604</v>
      </c>
      <c r="B1408" t="s">
        <v>5148</v>
      </c>
      <c r="C1408" t="s">
        <v>1177</v>
      </c>
      <c r="D1408" t="s">
        <v>6224</v>
      </c>
      <c r="E1408" t="s">
        <v>6225</v>
      </c>
      <c r="H1408" t="s">
        <v>4284</v>
      </c>
    </row>
    <row r="1409" spans="1:8">
      <c r="A1409" t="s">
        <v>4604</v>
      </c>
      <c r="B1409" t="s">
        <v>5149</v>
      </c>
      <c r="C1409" t="s">
        <v>1081</v>
      </c>
      <c r="D1409" t="s">
        <v>6420</v>
      </c>
      <c r="E1409" t="s">
        <v>6225</v>
      </c>
      <c r="H1409" t="s">
        <v>4284</v>
      </c>
    </row>
    <row r="1410" spans="1:8">
      <c r="A1410" t="s">
        <v>4604</v>
      </c>
      <c r="B1410" t="s">
        <v>5150</v>
      </c>
      <c r="C1410" t="s">
        <v>5817</v>
      </c>
      <c r="D1410" t="s">
        <v>6421</v>
      </c>
      <c r="E1410" t="s">
        <v>6325</v>
      </c>
      <c r="H1410" t="s">
        <v>4284</v>
      </c>
    </row>
    <row r="1411" spans="1:8">
      <c r="A1411" t="s">
        <v>4604</v>
      </c>
      <c r="B1411" t="s">
        <v>5151</v>
      </c>
      <c r="C1411" t="s">
        <v>1308</v>
      </c>
      <c r="D1411" t="s">
        <v>6421</v>
      </c>
      <c r="E1411" t="s">
        <v>6325</v>
      </c>
      <c r="H1411" t="s">
        <v>4284</v>
      </c>
    </row>
    <row r="1412" spans="1:8">
      <c r="A1412" t="s">
        <v>4604</v>
      </c>
      <c r="B1412" t="s">
        <v>5152</v>
      </c>
      <c r="C1412" t="s">
        <v>5725</v>
      </c>
      <c r="D1412" t="s">
        <v>6422</v>
      </c>
      <c r="E1412" t="s">
        <v>6423</v>
      </c>
      <c r="H1412" t="s">
        <v>4284</v>
      </c>
    </row>
    <row r="1413" spans="1:8">
      <c r="A1413" t="s">
        <v>4604</v>
      </c>
      <c r="B1413" t="s">
        <v>5153</v>
      </c>
      <c r="C1413" t="s">
        <v>5721</v>
      </c>
      <c r="D1413" t="s">
        <v>6281</v>
      </c>
      <c r="E1413" t="s">
        <v>6282</v>
      </c>
      <c r="H1413" t="s">
        <v>4284</v>
      </c>
    </row>
    <row r="1414" spans="1:8">
      <c r="A1414" t="s">
        <v>4604</v>
      </c>
      <c r="B1414" t="s">
        <v>5154</v>
      </c>
      <c r="C1414" t="s">
        <v>5697</v>
      </c>
      <c r="D1414" t="s">
        <v>6275</v>
      </c>
      <c r="E1414" t="s">
        <v>6276</v>
      </c>
      <c r="H1414" t="s">
        <v>4284</v>
      </c>
    </row>
    <row r="1415" spans="1:8">
      <c r="A1415" t="s">
        <v>4604</v>
      </c>
      <c r="B1415" t="s">
        <v>5155</v>
      </c>
      <c r="C1415" t="s">
        <v>5688</v>
      </c>
      <c r="D1415" t="s">
        <v>6269</v>
      </c>
      <c r="E1415" t="s">
        <v>6270</v>
      </c>
      <c r="H1415" t="s">
        <v>4284</v>
      </c>
    </row>
    <row r="1416" spans="1:8">
      <c r="A1416">
        <v>11007072</v>
      </c>
      <c r="B1416" t="s">
        <v>5156</v>
      </c>
      <c r="C1416" t="s">
        <v>5674</v>
      </c>
      <c r="D1416" t="s">
        <v>6424</v>
      </c>
      <c r="E1416" t="s">
        <v>6272</v>
      </c>
      <c r="H1416" t="s">
        <v>4284</v>
      </c>
    </row>
    <row r="1417" spans="1:8">
      <c r="A1417">
        <v>11006853</v>
      </c>
      <c r="B1417" t="s">
        <v>5157</v>
      </c>
      <c r="C1417" t="s">
        <v>5793</v>
      </c>
      <c r="D1417" t="s">
        <v>6306</v>
      </c>
      <c r="E1417" t="s">
        <v>6307</v>
      </c>
      <c r="H1417" t="s">
        <v>4284</v>
      </c>
    </row>
    <row r="1418" spans="1:8">
      <c r="A1418" t="s">
        <v>4604</v>
      </c>
      <c r="B1418" t="s">
        <v>5158</v>
      </c>
      <c r="C1418" t="s">
        <v>5793</v>
      </c>
      <c r="D1418" t="s">
        <v>6362</v>
      </c>
      <c r="E1418" t="s">
        <v>6363</v>
      </c>
      <c r="H1418" t="s">
        <v>4284</v>
      </c>
    </row>
    <row r="1419" spans="1:8">
      <c r="A1419" t="s">
        <v>4604</v>
      </c>
      <c r="B1419" t="s">
        <v>5159</v>
      </c>
      <c r="C1419" t="s">
        <v>5718</v>
      </c>
      <c r="D1419" t="s">
        <v>6279</v>
      </c>
      <c r="E1419" t="s">
        <v>6280</v>
      </c>
      <c r="H1419" t="s">
        <v>4284</v>
      </c>
    </row>
    <row r="1420" spans="1:8">
      <c r="A1420" t="s">
        <v>4604</v>
      </c>
      <c r="B1420" t="s">
        <v>5160</v>
      </c>
      <c r="C1420" t="s">
        <v>5726</v>
      </c>
      <c r="D1420" t="s">
        <v>6283</v>
      </c>
      <c r="E1420" t="s">
        <v>6284</v>
      </c>
      <c r="H1420" t="s">
        <v>4284</v>
      </c>
    </row>
    <row r="1421" spans="1:8">
      <c r="A1421" t="s">
        <v>4604</v>
      </c>
      <c r="B1421" t="s">
        <v>5161</v>
      </c>
      <c r="C1421" t="s">
        <v>5722</v>
      </c>
      <c r="D1421" t="s">
        <v>6425</v>
      </c>
      <c r="E1421" t="s">
        <v>6282</v>
      </c>
      <c r="H1421" t="s">
        <v>4284</v>
      </c>
    </row>
    <row r="1422" spans="1:8">
      <c r="A1422" t="s">
        <v>4604</v>
      </c>
      <c r="B1422" t="s">
        <v>5162</v>
      </c>
      <c r="C1422" t="s">
        <v>5698</v>
      </c>
      <c r="D1422" t="s">
        <v>6275</v>
      </c>
      <c r="E1422" t="s">
        <v>6276</v>
      </c>
      <c r="H1422" t="s">
        <v>4284</v>
      </c>
    </row>
    <row r="1423" spans="1:8">
      <c r="A1423" t="s">
        <v>4604</v>
      </c>
      <c r="B1423" t="s">
        <v>5163</v>
      </c>
      <c r="C1423" t="s">
        <v>5689</v>
      </c>
      <c r="D1423" t="s">
        <v>6426</v>
      </c>
      <c r="E1423" t="s">
        <v>6270</v>
      </c>
      <c r="H1423" t="s">
        <v>4284</v>
      </c>
    </row>
    <row r="1424" spans="1:8">
      <c r="A1424">
        <v>11007034</v>
      </c>
      <c r="B1424" t="s">
        <v>5164</v>
      </c>
      <c r="C1424" t="s">
        <v>5719</v>
      </c>
      <c r="D1424" t="e">
        <v>#N/A</v>
      </c>
      <c r="E1424" t="e">
        <v>#N/A</v>
      </c>
      <c r="H1424" t="s">
        <v>4284</v>
      </c>
    </row>
    <row r="1425" spans="1:8">
      <c r="A1425">
        <v>11006987</v>
      </c>
      <c r="B1425" t="s">
        <v>5165</v>
      </c>
      <c r="C1425" t="s">
        <v>5763</v>
      </c>
      <c r="D1425" t="s">
        <v>6427</v>
      </c>
      <c r="E1425" t="s">
        <v>6428</v>
      </c>
      <c r="H1425" t="s">
        <v>4284</v>
      </c>
    </row>
    <row r="1426" spans="1:8">
      <c r="A1426" t="s">
        <v>4604</v>
      </c>
      <c r="B1426" t="s">
        <v>5166</v>
      </c>
      <c r="C1426" t="s">
        <v>5764</v>
      </c>
      <c r="D1426" t="s">
        <v>6427</v>
      </c>
      <c r="E1426" t="s">
        <v>6276</v>
      </c>
      <c r="H1426" t="s">
        <v>4284</v>
      </c>
    </row>
    <row r="1427" spans="1:8">
      <c r="A1427">
        <v>11005136</v>
      </c>
      <c r="B1427" t="s">
        <v>5167</v>
      </c>
      <c r="C1427" t="s">
        <v>1197</v>
      </c>
      <c r="D1427" t="s">
        <v>6429</v>
      </c>
      <c r="E1427" t="s">
        <v>6389</v>
      </c>
      <c r="H1427" t="s">
        <v>4284</v>
      </c>
    </row>
    <row r="1428" spans="1:8">
      <c r="A1428">
        <v>11005117</v>
      </c>
      <c r="B1428" t="s">
        <v>5168</v>
      </c>
      <c r="C1428" t="s">
        <v>5841</v>
      </c>
      <c r="D1428" t="s">
        <v>6388</v>
      </c>
      <c r="E1428" t="s">
        <v>6389</v>
      </c>
      <c r="H1428" t="s">
        <v>4284</v>
      </c>
    </row>
    <row r="1429" spans="1:8">
      <c r="A1429">
        <v>11005115</v>
      </c>
      <c r="B1429" t="s">
        <v>5169</v>
      </c>
      <c r="C1429" t="s">
        <v>5843</v>
      </c>
      <c r="D1429" t="s">
        <v>6430</v>
      </c>
      <c r="E1429" t="s">
        <v>6391</v>
      </c>
      <c r="H1429" t="s">
        <v>4284</v>
      </c>
    </row>
    <row r="1430" spans="1:8">
      <c r="A1430">
        <v>11005122</v>
      </c>
      <c r="B1430" t="s">
        <v>5170</v>
      </c>
      <c r="C1430" t="s">
        <v>1008</v>
      </c>
      <c r="D1430" t="s">
        <v>6429</v>
      </c>
      <c r="E1430" t="s">
        <v>6389</v>
      </c>
      <c r="H1430" t="s">
        <v>4284</v>
      </c>
    </row>
    <row r="1431" spans="1:8">
      <c r="A1431">
        <v>11005116</v>
      </c>
      <c r="B1431" t="s">
        <v>5171</v>
      </c>
      <c r="C1431" t="s">
        <v>5842</v>
      </c>
      <c r="D1431" t="s">
        <v>6388</v>
      </c>
      <c r="E1431" t="s">
        <v>6389</v>
      </c>
      <c r="H1431" t="s">
        <v>4284</v>
      </c>
    </row>
    <row r="1432" spans="1:8">
      <c r="A1432">
        <v>11005126</v>
      </c>
      <c r="B1432" t="s">
        <v>5172</v>
      </c>
      <c r="C1432" t="s">
        <v>1196</v>
      </c>
      <c r="D1432" t="s">
        <v>6390</v>
      </c>
      <c r="E1432" t="s">
        <v>6391</v>
      </c>
      <c r="H1432" t="s">
        <v>4284</v>
      </c>
    </row>
    <row r="1433" spans="1:8">
      <c r="A1433">
        <v>11005114</v>
      </c>
      <c r="B1433" t="s">
        <v>5173</v>
      </c>
      <c r="C1433" t="s">
        <v>5844</v>
      </c>
      <c r="D1433" t="s">
        <v>6390</v>
      </c>
      <c r="E1433" t="s">
        <v>6391</v>
      </c>
      <c r="H1433" t="s">
        <v>4284</v>
      </c>
    </row>
    <row r="1434" spans="1:8">
      <c r="A1434">
        <v>11006850</v>
      </c>
      <c r="B1434" t="s">
        <v>5174</v>
      </c>
      <c r="C1434" t="s">
        <v>5795</v>
      </c>
      <c r="D1434" t="s">
        <v>6431</v>
      </c>
      <c r="E1434" t="s">
        <v>6309</v>
      </c>
      <c r="H1434" t="s">
        <v>4284</v>
      </c>
    </row>
    <row r="1435" spans="1:8">
      <c r="A1435" t="s">
        <v>4604</v>
      </c>
      <c r="B1435" t="s">
        <v>5175</v>
      </c>
      <c r="C1435" t="s">
        <v>5692</v>
      </c>
      <c r="D1435" t="s">
        <v>6432</v>
      </c>
      <c r="E1435" t="s">
        <v>6274</v>
      </c>
      <c r="H1435" t="s">
        <v>4284</v>
      </c>
    </row>
    <row r="1436" spans="1:8">
      <c r="A1436" t="s">
        <v>4604</v>
      </c>
      <c r="B1436" t="s">
        <v>5176</v>
      </c>
      <c r="C1436" t="s">
        <v>5695</v>
      </c>
      <c r="D1436" t="s">
        <v>6273</v>
      </c>
      <c r="E1436" t="s">
        <v>6274</v>
      </c>
      <c r="H1436" t="s">
        <v>4284</v>
      </c>
    </row>
    <row r="1437" spans="1:8">
      <c r="A1437">
        <v>11007145</v>
      </c>
      <c r="B1437" t="s">
        <v>5177</v>
      </c>
      <c r="C1437" t="s">
        <v>5667</v>
      </c>
      <c r="D1437" t="s">
        <v>6433</v>
      </c>
      <c r="E1437" t="s">
        <v>6254</v>
      </c>
      <c r="H1437" t="s">
        <v>4284</v>
      </c>
    </row>
    <row r="1438" spans="1:8">
      <c r="A1438">
        <v>11005181</v>
      </c>
      <c r="B1438" t="s">
        <v>5178</v>
      </c>
      <c r="C1438" t="s">
        <v>5667</v>
      </c>
      <c r="D1438" t="s">
        <v>6330</v>
      </c>
      <c r="E1438" t="s">
        <v>6331</v>
      </c>
      <c r="H1438" t="s">
        <v>4284</v>
      </c>
    </row>
    <row r="1439" spans="1:8">
      <c r="A1439" t="s">
        <v>4604</v>
      </c>
      <c r="B1439" t="s">
        <v>5179</v>
      </c>
      <c r="C1439" t="s">
        <v>5681</v>
      </c>
      <c r="D1439" t="s">
        <v>6434</v>
      </c>
      <c r="E1439" t="s">
        <v>6266</v>
      </c>
      <c r="H1439" t="s">
        <v>4284</v>
      </c>
    </row>
    <row r="1440" spans="1:8">
      <c r="A1440" t="s">
        <v>4604</v>
      </c>
      <c r="B1440" t="s">
        <v>5180</v>
      </c>
      <c r="C1440" t="s">
        <v>5736</v>
      </c>
      <c r="D1440" t="s">
        <v>6291</v>
      </c>
      <c r="E1440" t="s">
        <v>6292</v>
      </c>
      <c r="H1440" t="s">
        <v>4284</v>
      </c>
    </row>
    <row r="1441" spans="1:8">
      <c r="A1441" t="s">
        <v>4604</v>
      </c>
      <c r="B1441" t="s">
        <v>5181</v>
      </c>
      <c r="C1441" t="s">
        <v>5701</v>
      </c>
      <c r="D1441" t="s">
        <v>6435</v>
      </c>
      <c r="E1441" t="s">
        <v>6278</v>
      </c>
      <c r="H1441" t="s">
        <v>4284</v>
      </c>
    </row>
    <row r="1442" spans="1:8">
      <c r="A1442" t="s">
        <v>4604</v>
      </c>
      <c r="B1442" t="s">
        <v>5182</v>
      </c>
      <c r="C1442" t="s">
        <v>5705</v>
      </c>
      <c r="D1442" t="s">
        <v>6435</v>
      </c>
      <c r="E1442" t="s">
        <v>6278</v>
      </c>
      <c r="H1442" t="s">
        <v>4284</v>
      </c>
    </row>
    <row r="1443" spans="1:8">
      <c r="A1443" t="s">
        <v>4604</v>
      </c>
      <c r="B1443" t="s">
        <v>5183</v>
      </c>
      <c r="C1443" t="s">
        <v>5709</v>
      </c>
      <c r="D1443" t="s">
        <v>6435</v>
      </c>
      <c r="E1443" t="s">
        <v>6278</v>
      </c>
      <c r="H1443" t="s">
        <v>4284</v>
      </c>
    </row>
    <row r="1444" spans="1:8">
      <c r="A1444" t="s">
        <v>4604</v>
      </c>
      <c r="B1444" t="s">
        <v>5184</v>
      </c>
      <c r="C1444" t="s">
        <v>5712</v>
      </c>
      <c r="D1444" t="s">
        <v>6435</v>
      </c>
      <c r="E1444" t="s">
        <v>6278</v>
      </c>
      <c r="H1444" t="s">
        <v>4284</v>
      </c>
    </row>
    <row r="1445" spans="1:8">
      <c r="A1445" t="s">
        <v>4604</v>
      </c>
      <c r="B1445" t="s">
        <v>5185</v>
      </c>
      <c r="C1445" t="s">
        <v>5740</v>
      </c>
      <c r="D1445" t="s">
        <v>6291</v>
      </c>
      <c r="E1445" t="s">
        <v>6292</v>
      </c>
      <c r="H1445" t="s">
        <v>4284</v>
      </c>
    </row>
    <row r="1446" spans="1:8">
      <c r="A1446" t="s">
        <v>4604</v>
      </c>
      <c r="B1446" t="s">
        <v>5186</v>
      </c>
      <c r="C1446" t="s">
        <v>5744</v>
      </c>
      <c r="D1446" t="s">
        <v>6291</v>
      </c>
      <c r="E1446" t="s">
        <v>6292</v>
      </c>
      <c r="H1446" t="s">
        <v>4284</v>
      </c>
    </row>
    <row r="1447" spans="1:8">
      <c r="A1447" t="s">
        <v>4604</v>
      </c>
      <c r="B1447" t="s">
        <v>5187</v>
      </c>
      <c r="C1447" t="s">
        <v>5748</v>
      </c>
      <c r="D1447" t="s">
        <v>6291</v>
      </c>
      <c r="E1447" t="s">
        <v>6292</v>
      </c>
      <c r="H1447" t="s">
        <v>4284</v>
      </c>
    </row>
    <row r="1448" spans="1:8">
      <c r="A1448">
        <v>11007000</v>
      </c>
      <c r="B1448" t="s">
        <v>5188</v>
      </c>
      <c r="C1448" t="s">
        <v>5749</v>
      </c>
      <c r="D1448" t="s">
        <v>6293</v>
      </c>
      <c r="E1448" t="s">
        <v>6294</v>
      </c>
      <c r="H1448" t="s">
        <v>4284</v>
      </c>
    </row>
    <row r="1449" spans="1:8">
      <c r="A1449" t="s">
        <v>4604</v>
      </c>
      <c r="B1449" t="s">
        <v>5189</v>
      </c>
      <c r="C1449" t="s">
        <v>5714</v>
      </c>
      <c r="D1449" t="s">
        <v>6277</v>
      </c>
      <c r="E1449" t="s">
        <v>6278</v>
      </c>
      <c r="H1449" t="s">
        <v>4284</v>
      </c>
    </row>
    <row r="1450" spans="1:8">
      <c r="A1450" t="s">
        <v>4604</v>
      </c>
      <c r="B1450" t="s">
        <v>5190</v>
      </c>
      <c r="C1450" t="s">
        <v>5730</v>
      </c>
      <c r="D1450" t="s">
        <v>6287</v>
      </c>
      <c r="E1450" t="s">
        <v>6288</v>
      </c>
      <c r="H1450" t="s">
        <v>4284</v>
      </c>
    </row>
    <row r="1451" spans="1:8">
      <c r="A1451">
        <v>11006250</v>
      </c>
      <c r="B1451" t="s">
        <v>5191</v>
      </c>
      <c r="C1451" t="s">
        <v>5778</v>
      </c>
      <c r="D1451" t="s">
        <v>6320</v>
      </c>
      <c r="E1451" t="s">
        <v>6321</v>
      </c>
      <c r="H1451" t="s">
        <v>4284</v>
      </c>
    </row>
    <row r="1452" spans="1:8">
      <c r="A1452">
        <v>11006255</v>
      </c>
      <c r="B1452" t="s">
        <v>5192</v>
      </c>
      <c r="C1452" t="s">
        <v>5803</v>
      </c>
      <c r="D1452" t="s">
        <v>6318</v>
      </c>
      <c r="E1452" t="s">
        <v>6319</v>
      </c>
      <c r="H1452" t="s">
        <v>4284</v>
      </c>
    </row>
    <row r="1453" spans="1:8">
      <c r="A1453">
        <v>11006247</v>
      </c>
      <c r="B1453" t="s">
        <v>5193</v>
      </c>
      <c r="C1453" t="s">
        <v>5809</v>
      </c>
      <c r="D1453" t="s">
        <v>6322</v>
      </c>
      <c r="E1453" t="s">
        <v>6323</v>
      </c>
      <c r="H1453" t="s">
        <v>4284</v>
      </c>
    </row>
    <row r="1454" spans="1:8">
      <c r="A1454">
        <v>11006848</v>
      </c>
      <c r="B1454" t="s">
        <v>5194</v>
      </c>
      <c r="C1454" t="s">
        <v>5796</v>
      </c>
      <c r="D1454" t="s">
        <v>6308</v>
      </c>
      <c r="E1454" t="s">
        <v>6309</v>
      </c>
      <c r="H1454" t="s">
        <v>4284</v>
      </c>
    </row>
    <row r="1455" spans="1:8">
      <c r="A1455" t="s">
        <v>4604</v>
      </c>
      <c r="B1455" t="s">
        <v>5195</v>
      </c>
      <c r="C1455" t="s">
        <v>5727</v>
      </c>
      <c r="D1455" t="s">
        <v>6283</v>
      </c>
      <c r="E1455" t="s">
        <v>6284</v>
      </c>
      <c r="H1455" t="s">
        <v>4284</v>
      </c>
    </row>
    <row r="1456" spans="1:8">
      <c r="A1456" t="s">
        <v>4604</v>
      </c>
      <c r="B1456" t="s">
        <v>5196</v>
      </c>
      <c r="C1456" t="s">
        <v>5723</v>
      </c>
      <c r="D1456" t="s">
        <v>6281</v>
      </c>
      <c r="E1456" t="s">
        <v>6282</v>
      </c>
      <c r="H1456" t="s">
        <v>4284</v>
      </c>
    </row>
    <row r="1457" spans="1:8">
      <c r="A1457">
        <v>11007065</v>
      </c>
      <c r="B1457" t="s">
        <v>5197</v>
      </c>
      <c r="C1457" t="s">
        <v>5694</v>
      </c>
      <c r="D1457" t="s">
        <v>6273</v>
      </c>
      <c r="E1457" t="s">
        <v>6274</v>
      </c>
      <c r="H1457" t="s">
        <v>4284</v>
      </c>
    </row>
    <row r="1458" spans="1:8">
      <c r="A1458" t="s">
        <v>4604</v>
      </c>
      <c r="B1458" t="s">
        <v>5198</v>
      </c>
      <c r="C1458" t="s">
        <v>5657</v>
      </c>
      <c r="D1458" t="s">
        <v>6273</v>
      </c>
      <c r="E1458" t="s">
        <v>6274</v>
      </c>
      <c r="H1458" t="s">
        <v>4284</v>
      </c>
    </row>
    <row r="1459" spans="1:8">
      <c r="A1459" t="s">
        <v>4604</v>
      </c>
      <c r="B1459" t="s">
        <v>5199</v>
      </c>
      <c r="C1459" t="s">
        <v>5699</v>
      </c>
      <c r="D1459" t="s">
        <v>6275</v>
      </c>
      <c r="E1459" t="s">
        <v>6276</v>
      </c>
      <c r="H1459" t="s">
        <v>4284</v>
      </c>
    </row>
    <row r="1460" spans="1:8">
      <c r="A1460" t="s">
        <v>4604</v>
      </c>
      <c r="B1460" t="s">
        <v>5200</v>
      </c>
      <c r="C1460" t="s">
        <v>5690</v>
      </c>
      <c r="D1460" t="s">
        <v>6426</v>
      </c>
      <c r="E1460" t="s">
        <v>6270</v>
      </c>
      <c r="H1460" t="s">
        <v>4284</v>
      </c>
    </row>
    <row r="1461" spans="1:8">
      <c r="A1461" t="s">
        <v>4604</v>
      </c>
      <c r="B1461" t="s">
        <v>5201</v>
      </c>
      <c r="C1461" t="s">
        <v>5676</v>
      </c>
      <c r="D1461" t="s">
        <v>6271</v>
      </c>
      <c r="E1461" t="s">
        <v>6272</v>
      </c>
      <c r="H1461" t="s">
        <v>4284</v>
      </c>
    </row>
    <row r="1462" spans="1:8">
      <c r="A1462" t="s">
        <v>4604</v>
      </c>
      <c r="B1462" t="s">
        <v>5202</v>
      </c>
      <c r="C1462" t="s">
        <v>5668</v>
      </c>
      <c r="D1462" t="s">
        <v>6433</v>
      </c>
      <c r="E1462" t="s">
        <v>6254</v>
      </c>
      <c r="H1462" t="s">
        <v>4284</v>
      </c>
    </row>
    <row r="1463" spans="1:8">
      <c r="A1463" t="s">
        <v>4604</v>
      </c>
      <c r="B1463" t="s">
        <v>5203</v>
      </c>
      <c r="C1463" t="s">
        <v>5668</v>
      </c>
      <c r="D1463" t="s">
        <v>6330</v>
      </c>
      <c r="E1463" t="s">
        <v>6331</v>
      </c>
      <c r="H1463" t="s">
        <v>4284</v>
      </c>
    </row>
    <row r="1464" spans="1:8">
      <c r="A1464" t="s">
        <v>4604</v>
      </c>
      <c r="B1464" t="s">
        <v>5204</v>
      </c>
      <c r="C1464" t="s">
        <v>5794</v>
      </c>
      <c r="D1464" t="s">
        <v>6306</v>
      </c>
      <c r="E1464" t="s">
        <v>6307</v>
      </c>
      <c r="H1464" t="s">
        <v>4284</v>
      </c>
    </row>
    <row r="1465" spans="1:8">
      <c r="A1465" t="s">
        <v>4604</v>
      </c>
      <c r="B1465" t="s">
        <v>5205</v>
      </c>
      <c r="C1465" t="s">
        <v>5794</v>
      </c>
      <c r="D1465" t="s">
        <v>6436</v>
      </c>
      <c r="E1465" t="s">
        <v>6363</v>
      </c>
      <c r="H1465" t="s">
        <v>4284</v>
      </c>
    </row>
    <row r="1466" spans="1:8">
      <c r="A1466" t="s">
        <v>4604</v>
      </c>
      <c r="B1466" t="s">
        <v>5206</v>
      </c>
      <c r="C1466" t="s">
        <v>5683</v>
      </c>
      <c r="D1466" t="s">
        <v>6434</v>
      </c>
      <c r="E1466" t="s">
        <v>6266</v>
      </c>
      <c r="H1466" t="s">
        <v>4284</v>
      </c>
    </row>
    <row r="1467" spans="1:8">
      <c r="A1467" t="s">
        <v>4604</v>
      </c>
      <c r="B1467" t="s">
        <v>5207</v>
      </c>
      <c r="C1467" t="s">
        <v>5738</v>
      </c>
      <c r="D1467" t="s">
        <v>6291</v>
      </c>
      <c r="E1467" t="s">
        <v>6292</v>
      </c>
      <c r="H1467" t="s">
        <v>4284</v>
      </c>
    </row>
    <row r="1468" spans="1:8">
      <c r="A1468" t="s">
        <v>4604</v>
      </c>
      <c r="B1468" t="s">
        <v>5208</v>
      </c>
      <c r="C1468" t="s">
        <v>5703</v>
      </c>
      <c r="D1468" t="s">
        <v>6435</v>
      </c>
      <c r="E1468" t="s">
        <v>6278</v>
      </c>
      <c r="H1468" t="s">
        <v>4284</v>
      </c>
    </row>
    <row r="1469" spans="1:8">
      <c r="A1469" t="s">
        <v>4604</v>
      </c>
      <c r="B1469" t="s">
        <v>5209</v>
      </c>
      <c r="C1469" t="s">
        <v>5707</v>
      </c>
      <c r="D1469" t="s">
        <v>6277</v>
      </c>
      <c r="E1469" t="s">
        <v>6278</v>
      </c>
      <c r="H1469" t="s">
        <v>4284</v>
      </c>
    </row>
    <row r="1470" spans="1:8">
      <c r="A1470" t="s">
        <v>4604</v>
      </c>
      <c r="B1470" t="s">
        <v>5210</v>
      </c>
      <c r="C1470" t="s">
        <v>5711</v>
      </c>
      <c r="D1470" t="s">
        <v>6435</v>
      </c>
      <c r="E1470" t="s">
        <v>6278</v>
      </c>
      <c r="H1470" t="s">
        <v>4284</v>
      </c>
    </row>
    <row r="1471" spans="1:8">
      <c r="A1471">
        <v>11007008</v>
      </c>
      <c r="B1471" t="s">
        <v>5211</v>
      </c>
      <c r="C1471" t="s">
        <v>5742</v>
      </c>
      <c r="D1471" t="s">
        <v>6291</v>
      </c>
      <c r="E1471" t="s">
        <v>6292</v>
      </c>
      <c r="H1471" t="s">
        <v>4284</v>
      </c>
    </row>
    <row r="1472" spans="1:8">
      <c r="A1472">
        <v>11007004</v>
      </c>
      <c r="B1472" t="s">
        <v>5212</v>
      </c>
      <c r="C1472" t="s">
        <v>5746</v>
      </c>
      <c r="D1472" t="s">
        <v>6291</v>
      </c>
      <c r="E1472" t="s">
        <v>6292</v>
      </c>
      <c r="H1472" t="s">
        <v>4284</v>
      </c>
    </row>
    <row r="1473" spans="1:8">
      <c r="A1473" t="s">
        <v>4604</v>
      </c>
      <c r="B1473" t="s">
        <v>5213</v>
      </c>
      <c r="C1473" t="s">
        <v>5715</v>
      </c>
      <c r="D1473" t="s">
        <v>6435</v>
      </c>
      <c r="E1473" t="s">
        <v>6278</v>
      </c>
      <c r="H1473" t="s">
        <v>4284</v>
      </c>
    </row>
    <row r="1474" spans="1:8">
      <c r="A1474" t="s">
        <v>4604</v>
      </c>
      <c r="B1474" t="s">
        <v>5214</v>
      </c>
      <c r="C1474" t="s">
        <v>5732</v>
      </c>
      <c r="D1474" t="s">
        <v>6437</v>
      </c>
      <c r="E1474" t="s">
        <v>6288</v>
      </c>
      <c r="H1474" t="s">
        <v>4284</v>
      </c>
    </row>
    <row r="1475" spans="1:8">
      <c r="A1475">
        <v>11007033</v>
      </c>
      <c r="B1475" t="s">
        <v>5215</v>
      </c>
      <c r="C1475" t="s">
        <v>5720</v>
      </c>
      <c r="D1475" t="s">
        <v>6279</v>
      </c>
      <c r="E1475" t="s">
        <v>6280</v>
      </c>
      <c r="H1475" t="s">
        <v>4284</v>
      </c>
    </row>
    <row r="1476" spans="1:8">
      <c r="A1476" t="s">
        <v>4604</v>
      </c>
      <c r="B1476" t="s">
        <v>5216</v>
      </c>
      <c r="C1476" t="s">
        <v>5807</v>
      </c>
      <c r="D1476" t="s">
        <v>6320</v>
      </c>
      <c r="E1476" t="s">
        <v>6321</v>
      </c>
      <c r="H1476" t="s">
        <v>4284</v>
      </c>
    </row>
    <row r="1477" spans="1:8">
      <c r="A1477" t="s">
        <v>4604</v>
      </c>
      <c r="B1477" t="s">
        <v>5217</v>
      </c>
      <c r="C1477" t="s">
        <v>5804</v>
      </c>
      <c r="D1477" t="s">
        <v>6318</v>
      </c>
      <c r="E1477" t="s">
        <v>6319</v>
      </c>
      <c r="H1477" t="s">
        <v>4284</v>
      </c>
    </row>
    <row r="1478" spans="1:8">
      <c r="A1478" t="s">
        <v>4604</v>
      </c>
      <c r="B1478" t="s">
        <v>5218</v>
      </c>
      <c r="C1478" t="s">
        <v>5810</v>
      </c>
      <c r="D1478" t="s">
        <v>6322</v>
      </c>
      <c r="E1478" t="s">
        <v>6323</v>
      </c>
      <c r="H1478" t="s">
        <v>4284</v>
      </c>
    </row>
    <row r="1479" spans="1:8">
      <c r="A1479" t="s">
        <v>4604</v>
      </c>
      <c r="B1479" t="s">
        <v>5219</v>
      </c>
      <c r="C1479" t="s">
        <v>5799</v>
      </c>
      <c r="D1479" t="s">
        <v>6308</v>
      </c>
      <c r="E1479" t="s">
        <v>6309</v>
      </c>
      <c r="H1479" t="s">
        <v>4284</v>
      </c>
    </row>
    <row r="1480" spans="1:8">
      <c r="A1480" t="s">
        <v>4604</v>
      </c>
      <c r="B1480" t="s">
        <v>5220</v>
      </c>
      <c r="C1480" t="s">
        <v>5693</v>
      </c>
      <c r="D1480" t="s">
        <v>6432</v>
      </c>
      <c r="E1480" t="s">
        <v>6274</v>
      </c>
      <c r="H1480" t="s">
        <v>4284</v>
      </c>
    </row>
    <row r="1481" spans="1:8">
      <c r="A1481" t="s">
        <v>4604</v>
      </c>
      <c r="B1481" t="s">
        <v>5221</v>
      </c>
      <c r="C1481" t="s">
        <v>5696</v>
      </c>
      <c r="D1481" t="s">
        <v>6273</v>
      </c>
      <c r="E1481" t="s">
        <v>6274</v>
      </c>
      <c r="H1481" t="s">
        <v>4284</v>
      </c>
    </row>
    <row r="1482" spans="1:8">
      <c r="A1482" t="s">
        <v>4604</v>
      </c>
      <c r="B1482" t="s">
        <v>5222</v>
      </c>
      <c r="C1482" t="s">
        <v>5682</v>
      </c>
      <c r="D1482" t="s">
        <v>6265</v>
      </c>
      <c r="E1482" t="s">
        <v>6266</v>
      </c>
      <c r="H1482" t="s">
        <v>4284</v>
      </c>
    </row>
    <row r="1483" spans="1:8">
      <c r="A1483" t="s">
        <v>4604</v>
      </c>
      <c r="B1483" t="s">
        <v>5223</v>
      </c>
      <c r="C1483" t="s">
        <v>5737</v>
      </c>
      <c r="D1483" t="s">
        <v>6438</v>
      </c>
      <c r="E1483" t="s">
        <v>6292</v>
      </c>
      <c r="H1483" t="s">
        <v>4284</v>
      </c>
    </row>
    <row r="1484" spans="1:8">
      <c r="A1484" t="s">
        <v>4604</v>
      </c>
      <c r="B1484" t="s">
        <v>5224</v>
      </c>
      <c r="C1484" t="s">
        <v>5702</v>
      </c>
      <c r="D1484" t="s">
        <v>6435</v>
      </c>
      <c r="E1484" t="s">
        <v>6278</v>
      </c>
      <c r="H1484" t="s">
        <v>4284</v>
      </c>
    </row>
    <row r="1485" spans="1:8">
      <c r="A1485" t="s">
        <v>4604</v>
      </c>
      <c r="B1485" t="s">
        <v>5225</v>
      </c>
      <c r="C1485" t="s">
        <v>5716</v>
      </c>
      <c r="D1485" t="s">
        <v>6277</v>
      </c>
      <c r="E1485" t="s">
        <v>6278</v>
      </c>
      <c r="H1485" t="s">
        <v>4284</v>
      </c>
    </row>
    <row r="1486" spans="1:8">
      <c r="A1486" t="s">
        <v>4604</v>
      </c>
      <c r="B1486" t="s">
        <v>5226</v>
      </c>
      <c r="C1486" t="s">
        <v>5731</v>
      </c>
      <c r="D1486" t="s">
        <v>6287</v>
      </c>
      <c r="E1486" t="s">
        <v>6288</v>
      </c>
      <c r="H1486" t="s">
        <v>4284</v>
      </c>
    </row>
    <row r="1487" spans="1:8">
      <c r="A1487" t="s">
        <v>4604</v>
      </c>
      <c r="B1487" t="s">
        <v>5227</v>
      </c>
      <c r="C1487" t="s">
        <v>5800</v>
      </c>
      <c r="D1487" t="s">
        <v>6308</v>
      </c>
      <c r="E1487" t="s">
        <v>6309</v>
      </c>
      <c r="H1487" t="s">
        <v>4284</v>
      </c>
    </row>
    <row r="1488" spans="1:8">
      <c r="A1488" t="s">
        <v>4604</v>
      </c>
      <c r="B1488" t="s">
        <v>5228</v>
      </c>
      <c r="C1488" t="s">
        <v>5728</v>
      </c>
      <c r="D1488" t="s">
        <v>6422</v>
      </c>
      <c r="E1488" t="s">
        <v>6284</v>
      </c>
      <c r="H1488" t="s">
        <v>4284</v>
      </c>
    </row>
    <row r="1489" spans="1:8">
      <c r="A1489" t="s">
        <v>4604</v>
      </c>
      <c r="B1489" t="s">
        <v>5229</v>
      </c>
      <c r="C1489" t="s">
        <v>5700</v>
      </c>
      <c r="D1489" t="s">
        <v>6275</v>
      </c>
      <c r="E1489" t="s">
        <v>6276</v>
      </c>
      <c r="H1489" t="s">
        <v>4284</v>
      </c>
    </row>
    <row r="1490" spans="1:8">
      <c r="A1490" t="s">
        <v>4604</v>
      </c>
      <c r="B1490" t="s">
        <v>5230</v>
      </c>
      <c r="C1490" t="s">
        <v>5691</v>
      </c>
      <c r="D1490" t="s">
        <v>6426</v>
      </c>
      <c r="E1490" t="s">
        <v>6270</v>
      </c>
      <c r="H1490" t="s">
        <v>4284</v>
      </c>
    </row>
    <row r="1491" spans="1:8">
      <c r="A1491" t="s">
        <v>4604</v>
      </c>
      <c r="B1491" t="s">
        <v>5231</v>
      </c>
      <c r="C1491" t="s">
        <v>5684</v>
      </c>
      <c r="D1491" t="s">
        <v>6265</v>
      </c>
      <c r="E1491" t="s">
        <v>6266</v>
      </c>
      <c r="H1491" t="s">
        <v>4284</v>
      </c>
    </row>
    <row r="1492" spans="1:8">
      <c r="A1492" t="s">
        <v>4604</v>
      </c>
      <c r="B1492" t="s">
        <v>5232</v>
      </c>
      <c r="C1492" t="s">
        <v>5739</v>
      </c>
      <c r="D1492" t="s">
        <v>6291</v>
      </c>
      <c r="E1492" t="s">
        <v>6292</v>
      </c>
      <c r="H1492" t="s">
        <v>4284</v>
      </c>
    </row>
    <row r="1493" spans="1:8">
      <c r="A1493">
        <v>11007036</v>
      </c>
      <c r="B1493" t="s">
        <v>5233</v>
      </c>
      <c r="C1493" t="s">
        <v>5717</v>
      </c>
      <c r="D1493" t="s">
        <v>6277</v>
      </c>
      <c r="E1493" t="s">
        <v>6278</v>
      </c>
      <c r="H1493" t="s">
        <v>4284</v>
      </c>
    </row>
    <row r="1494" spans="1:8">
      <c r="A1494">
        <v>11007016</v>
      </c>
      <c r="B1494" t="s">
        <v>5234</v>
      </c>
      <c r="C1494" t="s">
        <v>5733</v>
      </c>
      <c r="D1494" t="s">
        <v>6287</v>
      </c>
      <c r="E1494" t="s">
        <v>6288</v>
      </c>
      <c r="H1494" t="s">
        <v>4284</v>
      </c>
    </row>
    <row r="1495" spans="1:8">
      <c r="A1495" t="s">
        <v>4604</v>
      </c>
      <c r="B1495" t="s">
        <v>5235</v>
      </c>
      <c r="C1495" t="s">
        <v>5766</v>
      </c>
      <c r="D1495" t="s">
        <v>6295</v>
      </c>
      <c r="E1495" t="s">
        <v>6296</v>
      </c>
      <c r="H1495" t="s">
        <v>4284</v>
      </c>
    </row>
    <row r="1496" spans="1:8">
      <c r="A1496" t="s">
        <v>4604</v>
      </c>
      <c r="B1496" t="s">
        <v>5236</v>
      </c>
      <c r="C1496" t="s">
        <v>1116</v>
      </c>
      <c r="D1496" t="s">
        <v>6295</v>
      </c>
      <c r="E1496" t="s">
        <v>6296</v>
      </c>
      <c r="H1496" t="s">
        <v>4284</v>
      </c>
    </row>
    <row r="1497" spans="1:8">
      <c r="A1497" t="s">
        <v>4604</v>
      </c>
      <c r="B1497" t="s">
        <v>5237</v>
      </c>
      <c r="C1497" t="s">
        <v>5750</v>
      </c>
      <c r="D1497" t="s">
        <v>6265</v>
      </c>
      <c r="E1497" t="s">
        <v>6266</v>
      </c>
      <c r="H1497" t="s">
        <v>4284</v>
      </c>
    </row>
    <row r="1498" spans="1:8">
      <c r="A1498">
        <v>11006992</v>
      </c>
      <c r="B1498" t="s">
        <v>5238</v>
      </c>
      <c r="C1498" t="s">
        <v>5755</v>
      </c>
      <c r="D1498" t="s">
        <v>6277</v>
      </c>
      <c r="E1498" t="s">
        <v>6278</v>
      </c>
      <c r="H1498" t="s">
        <v>4284</v>
      </c>
    </row>
    <row r="1499" spans="1:8">
      <c r="A1499" t="s">
        <v>4604</v>
      </c>
      <c r="B1499" t="s">
        <v>5239</v>
      </c>
      <c r="C1499" t="s">
        <v>5757</v>
      </c>
      <c r="D1499" t="s">
        <v>6277</v>
      </c>
      <c r="E1499" t="s">
        <v>6278</v>
      </c>
      <c r="H1499" t="s">
        <v>4284</v>
      </c>
    </row>
    <row r="1500" spans="1:8">
      <c r="A1500" t="s">
        <v>4604</v>
      </c>
      <c r="B1500" t="s">
        <v>5240</v>
      </c>
      <c r="C1500" t="s">
        <v>5759</v>
      </c>
      <c r="D1500" t="s">
        <v>6277</v>
      </c>
      <c r="E1500" t="s">
        <v>6278</v>
      </c>
      <c r="H1500" t="s">
        <v>4284</v>
      </c>
    </row>
    <row r="1501" spans="1:8">
      <c r="A1501">
        <v>11006988</v>
      </c>
      <c r="B1501" t="s">
        <v>5241</v>
      </c>
      <c r="C1501" t="s">
        <v>5761</v>
      </c>
      <c r="D1501" t="s">
        <v>6277</v>
      </c>
      <c r="E1501" t="s">
        <v>6278</v>
      </c>
      <c r="H1501" t="s">
        <v>4284</v>
      </c>
    </row>
    <row r="1502" spans="1:8">
      <c r="A1502">
        <v>11006997</v>
      </c>
      <c r="B1502" t="s">
        <v>5242</v>
      </c>
      <c r="C1502" t="s">
        <v>5751</v>
      </c>
      <c r="D1502" t="s">
        <v>6438</v>
      </c>
      <c r="E1502" t="s">
        <v>6292</v>
      </c>
      <c r="H1502" t="s">
        <v>4284</v>
      </c>
    </row>
    <row r="1503" spans="1:8">
      <c r="A1503">
        <v>11006995</v>
      </c>
      <c r="B1503" t="s">
        <v>5243</v>
      </c>
      <c r="C1503" t="s">
        <v>5752</v>
      </c>
      <c r="D1503" t="s">
        <v>6438</v>
      </c>
      <c r="E1503" t="s">
        <v>6292</v>
      </c>
      <c r="H1503" t="s">
        <v>4284</v>
      </c>
    </row>
    <row r="1504" spans="1:8">
      <c r="A1504">
        <v>11006993</v>
      </c>
      <c r="B1504" t="s">
        <v>5244</v>
      </c>
      <c r="C1504" t="s">
        <v>5753</v>
      </c>
      <c r="D1504" t="s">
        <v>6291</v>
      </c>
      <c r="E1504" t="s">
        <v>6292</v>
      </c>
      <c r="H1504" t="s">
        <v>4284</v>
      </c>
    </row>
    <row r="1505" spans="1:8">
      <c r="A1505">
        <v>11006986</v>
      </c>
      <c r="B1505" t="s">
        <v>5245</v>
      </c>
      <c r="C1505" t="s">
        <v>5653</v>
      </c>
      <c r="D1505" t="s">
        <v>6275</v>
      </c>
      <c r="E1505" t="s">
        <v>6276</v>
      </c>
      <c r="H1505" t="s">
        <v>4284</v>
      </c>
    </row>
    <row r="1506" spans="1:8">
      <c r="A1506" t="s">
        <v>4604</v>
      </c>
      <c r="B1506" t="s">
        <v>5246</v>
      </c>
      <c r="C1506" t="s">
        <v>5639</v>
      </c>
      <c r="D1506" t="s">
        <v>6265</v>
      </c>
      <c r="E1506" t="s">
        <v>6266</v>
      </c>
      <c r="H1506" t="s">
        <v>4284</v>
      </c>
    </row>
    <row r="1507" spans="1:8">
      <c r="A1507">
        <v>11006991</v>
      </c>
      <c r="B1507" t="s">
        <v>5247</v>
      </c>
      <c r="C1507" t="s">
        <v>5756</v>
      </c>
      <c r="D1507" t="s">
        <v>6277</v>
      </c>
      <c r="E1507" t="s">
        <v>6278</v>
      </c>
      <c r="H1507" t="s">
        <v>4284</v>
      </c>
    </row>
    <row r="1508" spans="1:8">
      <c r="A1508" t="s">
        <v>4604</v>
      </c>
      <c r="B1508" t="s">
        <v>5248</v>
      </c>
      <c r="C1508" t="s">
        <v>5758</v>
      </c>
      <c r="D1508" t="s">
        <v>6277</v>
      </c>
      <c r="E1508" t="s">
        <v>6278</v>
      </c>
      <c r="H1508" t="s">
        <v>4284</v>
      </c>
    </row>
    <row r="1509" spans="1:8">
      <c r="A1509">
        <v>11006989</v>
      </c>
      <c r="B1509" t="s">
        <v>5249</v>
      </c>
      <c r="C1509" t="s">
        <v>5760</v>
      </c>
      <c r="D1509" t="s">
        <v>6277</v>
      </c>
      <c r="E1509" t="s">
        <v>6278</v>
      </c>
      <c r="H1509" t="s">
        <v>4284</v>
      </c>
    </row>
    <row r="1510" spans="1:8">
      <c r="A1510">
        <v>11006996</v>
      </c>
      <c r="B1510" t="s">
        <v>5250</v>
      </c>
      <c r="C1510" t="s">
        <v>5619</v>
      </c>
      <c r="D1510" t="s">
        <v>6291</v>
      </c>
      <c r="E1510" t="s">
        <v>6292</v>
      </c>
      <c r="H1510" t="s">
        <v>4284</v>
      </c>
    </row>
    <row r="1511" spans="1:8">
      <c r="A1511">
        <v>11006994</v>
      </c>
      <c r="B1511" t="s">
        <v>5251</v>
      </c>
      <c r="C1511" t="s">
        <v>5621</v>
      </c>
      <c r="D1511" t="s">
        <v>6291</v>
      </c>
      <c r="E1511" t="s">
        <v>6292</v>
      </c>
      <c r="H1511" t="s">
        <v>4284</v>
      </c>
    </row>
    <row r="1512" spans="1:8">
      <c r="A1512" t="s">
        <v>4604</v>
      </c>
      <c r="B1512" t="s">
        <v>5252</v>
      </c>
      <c r="C1512" t="s">
        <v>5765</v>
      </c>
      <c r="D1512" t="s">
        <v>6275</v>
      </c>
      <c r="E1512" t="s">
        <v>6276</v>
      </c>
      <c r="H1512" t="s">
        <v>4284</v>
      </c>
    </row>
    <row r="1513" spans="1:8">
      <c r="A1513" t="s">
        <v>4604</v>
      </c>
      <c r="B1513" t="s">
        <v>5253</v>
      </c>
      <c r="C1513" t="s">
        <v>1005</v>
      </c>
      <c r="D1513" t="s">
        <v>6310</v>
      </c>
      <c r="E1513" t="s">
        <v>6311</v>
      </c>
      <c r="H1513" t="s">
        <v>4284</v>
      </c>
    </row>
    <row r="1514" spans="1:8">
      <c r="A1514" t="s">
        <v>4604</v>
      </c>
      <c r="B1514" t="s">
        <v>5254</v>
      </c>
      <c r="C1514" t="s">
        <v>1007</v>
      </c>
      <c r="D1514" t="s">
        <v>6310</v>
      </c>
      <c r="E1514" t="s">
        <v>6311</v>
      </c>
      <c r="H1514" t="s">
        <v>4284</v>
      </c>
    </row>
    <row r="1515" spans="1:8">
      <c r="A1515">
        <v>11006832</v>
      </c>
      <c r="B1515" t="s">
        <v>5255</v>
      </c>
      <c r="C1515" t="s">
        <v>1009</v>
      </c>
      <c r="D1515" t="s">
        <v>6314</v>
      </c>
      <c r="E1515" t="s">
        <v>6315</v>
      </c>
      <c r="H1515" t="s">
        <v>4284</v>
      </c>
    </row>
    <row r="1516" spans="1:8">
      <c r="A1516">
        <v>11006828</v>
      </c>
      <c r="B1516" t="s">
        <v>5256</v>
      </c>
      <c r="C1516" t="s">
        <v>1010</v>
      </c>
      <c r="D1516" t="s">
        <v>6314</v>
      </c>
      <c r="E1516" t="s">
        <v>6315</v>
      </c>
      <c r="H1516" t="s">
        <v>4284</v>
      </c>
    </row>
    <row r="1517" spans="1:8">
      <c r="A1517">
        <v>11006840</v>
      </c>
      <c r="B1517" t="s">
        <v>5257</v>
      </c>
      <c r="C1517" t="s">
        <v>1006</v>
      </c>
      <c r="D1517" t="s">
        <v>6310</v>
      </c>
      <c r="E1517" t="s">
        <v>6311</v>
      </c>
      <c r="H1517" t="s">
        <v>4284</v>
      </c>
    </row>
    <row r="1518" spans="1:8">
      <c r="A1518">
        <v>11015242</v>
      </c>
      <c r="B1518" t="s">
        <v>5258</v>
      </c>
      <c r="C1518" t="s">
        <v>1008</v>
      </c>
      <c r="D1518" t="s">
        <v>6310</v>
      </c>
      <c r="E1518" t="s">
        <v>6311</v>
      </c>
      <c r="H1518" t="s">
        <v>4284</v>
      </c>
    </row>
    <row r="1519" spans="1:8">
      <c r="A1519">
        <v>11006830</v>
      </c>
      <c r="B1519" t="s">
        <v>5259</v>
      </c>
      <c r="C1519" t="s">
        <v>1196</v>
      </c>
      <c r="D1519" t="s">
        <v>6314</v>
      </c>
      <c r="E1519" t="s">
        <v>6315</v>
      </c>
      <c r="H1519" t="s">
        <v>4284</v>
      </c>
    </row>
    <row r="1520" spans="1:8">
      <c r="A1520">
        <v>11006826</v>
      </c>
      <c r="B1520" t="s">
        <v>5260</v>
      </c>
      <c r="C1520" t="s">
        <v>1224</v>
      </c>
      <c r="D1520" t="s">
        <v>6314</v>
      </c>
      <c r="E1520" t="s">
        <v>6315</v>
      </c>
      <c r="H1520" t="s">
        <v>4284</v>
      </c>
    </row>
    <row r="1521" spans="1:8">
      <c r="A1521">
        <v>11003645</v>
      </c>
      <c r="B1521" t="s">
        <v>5261</v>
      </c>
      <c r="C1521" t="s">
        <v>1043</v>
      </c>
      <c r="D1521" t="s">
        <v>6396</v>
      </c>
      <c r="E1521" t="s">
        <v>6397</v>
      </c>
      <c r="H1521" t="s">
        <v>4284</v>
      </c>
    </row>
    <row r="1522" spans="1:8">
      <c r="A1522" t="s">
        <v>4604</v>
      </c>
      <c r="B1522" t="s">
        <v>5262</v>
      </c>
      <c r="C1522" t="s">
        <v>1045</v>
      </c>
      <c r="D1522" t="s">
        <v>6396</v>
      </c>
      <c r="E1522" t="s">
        <v>6397</v>
      </c>
      <c r="H1522" t="s">
        <v>4284</v>
      </c>
    </row>
    <row r="1523" spans="1:8">
      <c r="A1523">
        <v>11003639</v>
      </c>
      <c r="B1523" t="s">
        <v>5263</v>
      </c>
      <c r="C1523" t="s">
        <v>1142</v>
      </c>
      <c r="D1523" t="s">
        <v>6396</v>
      </c>
      <c r="E1523" t="s">
        <v>6397</v>
      </c>
      <c r="H1523" t="s">
        <v>4284</v>
      </c>
    </row>
    <row r="1524" spans="1:8">
      <c r="A1524">
        <v>11003643</v>
      </c>
      <c r="B1524" t="s">
        <v>5264</v>
      </c>
      <c r="C1524" t="s">
        <v>1044</v>
      </c>
      <c r="D1524" t="s">
        <v>6396</v>
      </c>
      <c r="E1524" t="s">
        <v>6397</v>
      </c>
      <c r="H1524" t="s">
        <v>4284</v>
      </c>
    </row>
    <row r="1525" spans="1:8">
      <c r="A1525">
        <v>11003641</v>
      </c>
      <c r="B1525" t="s">
        <v>5265</v>
      </c>
      <c r="C1525" t="s">
        <v>1046</v>
      </c>
      <c r="D1525" t="s">
        <v>6396</v>
      </c>
      <c r="E1525" t="s">
        <v>6397</v>
      </c>
      <c r="H1525" t="s">
        <v>4284</v>
      </c>
    </row>
    <row r="1526" spans="1:8">
      <c r="A1526">
        <v>11003637</v>
      </c>
      <c r="B1526" t="s">
        <v>5266</v>
      </c>
      <c r="C1526" t="s">
        <v>1047</v>
      </c>
      <c r="D1526" t="s">
        <v>6396</v>
      </c>
      <c r="E1526" t="s">
        <v>6397</v>
      </c>
      <c r="H1526" t="s">
        <v>4284</v>
      </c>
    </row>
    <row r="1527" spans="1:8">
      <c r="A1527" t="s">
        <v>4604</v>
      </c>
      <c r="B1527" t="s">
        <v>5267</v>
      </c>
      <c r="C1527" t="s">
        <v>970</v>
      </c>
      <c r="D1527" t="s">
        <v>6400</v>
      </c>
      <c r="E1527" t="s">
        <v>6401</v>
      </c>
      <c r="H1527" t="s">
        <v>4284</v>
      </c>
    </row>
    <row r="1528" spans="1:8">
      <c r="A1528" t="s">
        <v>4604</v>
      </c>
      <c r="B1528" t="s">
        <v>5268</v>
      </c>
      <c r="C1528" t="s">
        <v>973</v>
      </c>
      <c r="D1528" t="s">
        <v>6400</v>
      </c>
      <c r="E1528" t="s">
        <v>6401</v>
      </c>
      <c r="H1528" t="s">
        <v>4284</v>
      </c>
    </row>
    <row r="1529" spans="1:8">
      <c r="A1529">
        <v>11003623</v>
      </c>
      <c r="B1529" t="s">
        <v>5269</v>
      </c>
      <c r="C1529" t="s">
        <v>1064</v>
      </c>
      <c r="D1529" t="s">
        <v>6439</v>
      </c>
      <c r="E1529" t="s">
        <v>6401</v>
      </c>
      <c r="H1529" t="s">
        <v>4284</v>
      </c>
    </row>
    <row r="1530" spans="1:8">
      <c r="A1530">
        <v>11003627</v>
      </c>
      <c r="B1530" t="s">
        <v>5270</v>
      </c>
      <c r="C1530" t="s">
        <v>972</v>
      </c>
      <c r="D1530" t="s">
        <v>6439</v>
      </c>
      <c r="E1530" t="s">
        <v>6401</v>
      </c>
      <c r="H1530" t="s">
        <v>4284</v>
      </c>
    </row>
    <row r="1531" spans="1:8">
      <c r="A1531" t="s">
        <v>4604</v>
      </c>
      <c r="B1531" t="s">
        <v>5271</v>
      </c>
      <c r="C1531" t="s">
        <v>974</v>
      </c>
      <c r="D1531" t="s">
        <v>6439</v>
      </c>
      <c r="E1531" t="s">
        <v>6401</v>
      </c>
      <c r="H1531" t="s">
        <v>4284</v>
      </c>
    </row>
    <row r="1532" spans="1:8">
      <c r="A1532">
        <v>11003621</v>
      </c>
      <c r="B1532" t="s">
        <v>5272</v>
      </c>
      <c r="C1532" t="s">
        <v>968</v>
      </c>
      <c r="D1532" t="s">
        <v>6439</v>
      </c>
      <c r="E1532" t="s">
        <v>6401</v>
      </c>
      <c r="H1532" t="s">
        <v>4284</v>
      </c>
    </row>
    <row r="1533" spans="1:8">
      <c r="A1533" t="s">
        <v>4604</v>
      </c>
      <c r="B1533" t="s">
        <v>5273</v>
      </c>
      <c r="C1533" t="s">
        <v>1048</v>
      </c>
      <c r="D1533" t="s">
        <v>6440</v>
      </c>
      <c r="E1533" t="s">
        <v>6403</v>
      </c>
      <c r="H1533" t="s">
        <v>4284</v>
      </c>
    </row>
    <row r="1534" spans="1:8">
      <c r="A1534" t="s">
        <v>4604</v>
      </c>
      <c r="B1534" t="s">
        <v>5274</v>
      </c>
      <c r="C1534" t="s">
        <v>1222</v>
      </c>
      <c r="D1534" t="s">
        <v>6402</v>
      </c>
      <c r="E1534" t="s">
        <v>6403</v>
      </c>
      <c r="H1534" t="s">
        <v>4284</v>
      </c>
    </row>
    <row r="1535" spans="1:8">
      <c r="A1535" t="s">
        <v>4604</v>
      </c>
      <c r="B1535" t="s">
        <v>5275</v>
      </c>
      <c r="C1535" t="s">
        <v>1221</v>
      </c>
      <c r="D1535" t="s">
        <v>6440</v>
      </c>
      <c r="E1535" t="s">
        <v>6403</v>
      </c>
      <c r="H1535" t="s">
        <v>4284</v>
      </c>
    </row>
    <row r="1536" spans="1:8">
      <c r="A1536" t="s">
        <v>4604</v>
      </c>
      <c r="B1536" t="s">
        <v>5276</v>
      </c>
      <c r="C1536" t="s">
        <v>1049</v>
      </c>
      <c r="D1536" t="s">
        <v>6402</v>
      </c>
      <c r="E1536" t="s">
        <v>6403</v>
      </c>
      <c r="H1536" t="s">
        <v>4284</v>
      </c>
    </row>
    <row r="1537" spans="1:8">
      <c r="A1537" t="s">
        <v>4604</v>
      </c>
      <c r="B1537" t="s">
        <v>5277</v>
      </c>
      <c r="C1537" t="s">
        <v>1219</v>
      </c>
      <c r="D1537" t="s">
        <v>6402</v>
      </c>
      <c r="E1537" t="s">
        <v>6403</v>
      </c>
      <c r="H1537" t="s">
        <v>4284</v>
      </c>
    </row>
    <row r="1538" spans="1:8">
      <c r="A1538" t="s">
        <v>4604</v>
      </c>
      <c r="B1538" t="s">
        <v>5278</v>
      </c>
      <c r="C1538" t="s">
        <v>1220</v>
      </c>
      <c r="D1538" t="s">
        <v>6402</v>
      </c>
      <c r="E1538" t="s">
        <v>6403</v>
      </c>
      <c r="H1538" t="s">
        <v>4284</v>
      </c>
    </row>
    <row r="1539" spans="1:8">
      <c r="A1539" t="s">
        <v>4604</v>
      </c>
      <c r="B1539" t="s">
        <v>5279</v>
      </c>
      <c r="C1539" t="s">
        <v>1225</v>
      </c>
      <c r="D1539" t="s">
        <v>6404</v>
      </c>
      <c r="E1539" t="s">
        <v>6405</v>
      </c>
      <c r="H1539" t="s">
        <v>4284</v>
      </c>
    </row>
    <row r="1540" spans="1:8">
      <c r="A1540">
        <v>11003612</v>
      </c>
      <c r="B1540" t="s">
        <v>5280</v>
      </c>
      <c r="C1540" t="s">
        <v>1226</v>
      </c>
      <c r="D1540" t="s">
        <v>6404</v>
      </c>
      <c r="E1540" t="s">
        <v>6405</v>
      </c>
      <c r="H1540" t="s">
        <v>4284</v>
      </c>
    </row>
    <row r="1541" spans="1:8">
      <c r="A1541">
        <v>11007518</v>
      </c>
      <c r="B1541" t="s">
        <v>5281</v>
      </c>
      <c r="C1541" t="s">
        <v>1197</v>
      </c>
      <c r="D1541" t="s">
        <v>6226</v>
      </c>
      <c r="E1541" t="s">
        <v>6227</v>
      </c>
      <c r="H1541" t="s">
        <v>4284</v>
      </c>
    </row>
    <row r="1542" spans="1:8">
      <c r="A1542" t="s">
        <v>4604</v>
      </c>
      <c r="B1542" t="s">
        <v>5282</v>
      </c>
      <c r="C1542" t="s">
        <v>1269</v>
      </c>
      <c r="D1542" t="s">
        <v>6328</v>
      </c>
      <c r="E1542" t="s">
        <v>6329</v>
      </c>
      <c r="H1542" t="s">
        <v>4284</v>
      </c>
    </row>
    <row r="1543" spans="1:8">
      <c r="A1543">
        <v>11007528</v>
      </c>
      <c r="B1543" t="s">
        <v>5283</v>
      </c>
      <c r="C1543" t="s">
        <v>1195</v>
      </c>
      <c r="D1543" t="s">
        <v>6222</v>
      </c>
      <c r="E1543" t="s">
        <v>6223</v>
      </c>
      <c r="H1543" t="s">
        <v>4284</v>
      </c>
    </row>
    <row r="1544" spans="1:8">
      <c r="A1544">
        <v>11006221</v>
      </c>
      <c r="B1544" t="s">
        <v>5284</v>
      </c>
      <c r="C1544" t="s">
        <v>1223</v>
      </c>
      <c r="D1544" t="s">
        <v>6326</v>
      </c>
      <c r="E1544" t="s">
        <v>6327</v>
      </c>
      <c r="H1544" t="s">
        <v>4284</v>
      </c>
    </row>
    <row r="1545" spans="1:8">
      <c r="A1545" t="s">
        <v>4604</v>
      </c>
      <c r="B1545" t="s">
        <v>5285</v>
      </c>
      <c r="C1545" t="s">
        <v>1006</v>
      </c>
      <c r="D1545" t="s">
        <v>6226</v>
      </c>
      <c r="E1545" t="s">
        <v>6227</v>
      </c>
      <c r="H1545" t="s">
        <v>4284</v>
      </c>
    </row>
    <row r="1546" spans="1:8">
      <c r="A1546" t="s">
        <v>4604</v>
      </c>
      <c r="B1546" t="s">
        <v>5286</v>
      </c>
      <c r="C1546" t="s">
        <v>1008</v>
      </c>
      <c r="D1546" t="s">
        <v>6328</v>
      </c>
      <c r="E1546" t="s">
        <v>6329</v>
      </c>
      <c r="H1546" t="s">
        <v>4284</v>
      </c>
    </row>
    <row r="1547" spans="1:8">
      <c r="A1547" t="s">
        <v>4604</v>
      </c>
      <c r="B1547" t="s">
        <v>5287</v>
      </c>
      <c r="C1547" t="s">
        <v>1196</v>
      </c>
      <c r="D1547" t="e">
        <v>#N/A</v>
      </c>
      <c r="E1547" t="e">
        <v>#N/A</v>
      </c>
      <c r="H1547" t="s">
        <v>4284</v>
      </c>
    </row>
    <row r="1548" spans="1:8">
      <c r="A1548" t="s">
        <v>4604</v>
      </c>
      <c r="B1548" t="s">
        <v>5288</v>
      </c>
      <c r="C1548" t="s">
        <v>1224</v>
      </c>
      <c r="D1548" t="s">
        <v>6326</v>
      </c>
      <c r="E1548" t="s">
        <v>6327</v>
      </c>
      <c r="H1548" t="s">
        <v>4284</v>
      </c>
    </row>
    <row r="1549" spans="1:8">
      <c r="A1549" t="s">
        <v>4604</v>
      </c>
      <c r="B1549" t="s">
        <v>5289</v>
      </c>
      <c r="C1549" t="s">
        <v>5836</v>
      </c>
      <c r="D1549" t="s">
        <v>6376</v>
      </c>
      <c r="E1549" t="s">
        <v>6377</v>
      </c>
      <c r="H1549" t="s">
        <v>4284</v>
      </c>
    </row>
    <row r="1550" spans="1:8">
      <c r="A1550" t="s">
        <v>4604</v>
      </c>
      <c r="B1550" t="s">
        <v>5290</v>
      </c>
      <c r="C1550" t="s">
        <v>5837</v>
      </c>
      <c r="D1550" t="s">
        <v>6378</v>
      </c>
      <c r="E1550" t="s">
        <v>6379</v>
      </c>
      <c r="H1550" t="s">
        <v>4284</v>
      </c>
    </row>
    <row r="1551" spans="1:8">
      <c r="A1551" t="s">
        <v>4604</v>
      </c>
      <c r="B1551" t="s">
        <v>5291</v>
      </c>
      <c r="C1551" t="s">
        <v>5802</v>
      </c>
      <c r="D1551" t="s">
        <v>6441</v>
      </c>
      <c r="E1551" t="s">
        <v>6317</v>
      </c>
      <c r="H1551" t="s">
        <v>4284</v>
      </c>
    </row>
    <row r="1552" spans="1:8">
      <c r="A1552">
        <v>11007089</v>
      </c>
      <c r="B1552" t="s">
        <v>5292</v>
      </c>
      <c r="C1552" t="s">
        <v>5847</v>
      </c>
      <c r="D1552" t="s">
        <v>6442</v>
      </c>
      <c r="E1552" t="s">
        <v>6266</v>
      </c>
      <c r="H1552" t="s">
        <v>4284</v>
      </c>
    </row>
    <row r="1553" spans="1:8">
      <c r="A1553">
        <v>11007088</v>
      </c>
      <c r="B1553" t="s">
        <v>5293</v>
      </c>
      <c r="C1553" t="s">
        <v>5848</v>
      </c>
      <c r="D1553" t="s">
        <v>6442</v>
      </c>
      <c r="E1553" t="s">
        <v>6266</v>
      </c>
      <c r="H1553" t="s">
        <v>4284</v>
      </c>
    </row>
    <row r="1554" spans="1:8">
      <c r="A1554">
        <v>11007087</v>
      </c>
      <c r="B1554" t="s">
        <v>5294</v>
      </c>
      <c r="C1554" t="s">
        <v>5849</v>
      </c>
      <c r="D1554" t="s">
        <v>6442</v>
      </c>
      <c r="E1554" t="s">
        <v>6266</v>
      </c>
      <c r="H1554" t="s">
        <v>4284</v>
      </c>
    </row>
    <row r="1555" spans="1:8">
      <c r="A1555" t="s">
        <v>4604</v>
      </c>
      <c r="B1555" t="s">
        <v>5295</v>
      </c>
      <c r="C1555" t="s">
        <v>5850</v>
      </c>
      <c r="D1555" t="s">
        <v>6442</v>
      </c>
      <c r="E1555" t="s">
        <v>6266</v>
      </c>
      <c r="H1555" t="s">
        <v>4284</v>
      </c>
    </row>
    <row r="1556" spans="1:8">
      <c r="A1556">
        <v>11007085</v>
      </c>
      <c r="B1556" t="s">
        <v>5296</v>
      </c>
      <c r="C1556" t="s">
        <v>5851</v>
      </c>
      <c r="D1556" t="s">
        <v>6443</v>
      </c>
      <c r="E1556" t="s">
        <v>6268</v>
      </c>
      <c r="H1556" t="s">
        <v>4284</v>
      </c>
    </row>
    <row r="1557" spans="1:8">
      <c r="A1557">
        <v>11007083</v>
      </c>
      <c r="B1557" t="s">
        <v>5297</v>
      </c>
      <c r="C1557" t="s">
        <v>1020</v>
      </c>
      <c r="D1557" t="s">
        <v>6443</v>
      </c>
      <c r="E1557" t="s">
        <v>6268</v>
      </c>
      <c r="H1557" t="s">
        <v>4284</v>
      </c>
    </row>
    <row r="1558" spans="1:8">
      <c r="A1558">
        <v>11007081</v>
      </c>
      <c r="B1558" t="s">
        <v>5298</v>
      </c>
      <c r="C1558" t="s">
        <v>5852</v>
      </c>
      <c r="D1558" t="s">
        <v>6443</v>
      </c>
      <c r="E1558" t="s">
        <v>6268</v>
      </c>
      <c r="H1558" t="s">
        <v>4284</v>
      </c>
    </row>
    <row r="1559" spans="1:8">
      <c r="A1559">
        <v>11007079</v>
      </c>
      <c r="B1559" t="s">
        <v>5299</v>
      </c>
      <c r="C1559" t="s">
        <v>5853</v>
      </c>
      <c r="D1559" t="s">
        <v>6444</v>
      </c>
      <c r="E1559" t="s">
        <v>6270</v>
      </c>
      <c r="H1559" t="s">
        <v>4284</v>
      </c>
    </row>
    <row r="1560" spans="1:8">
      <c r="A1560">
        <v>11007077</v>
      </c>
      <c r="B1560" t="s">
        <v>5300</v>
      </c>
      <c r="C1560" t="s">
        <v>5854</v>
      </c>
      <c r="D1560" t="s">
        <v>6445</v>
      </c>
      <c r="E1560" t="s">
        <v>6270</v>
      </c>
      <c r="H1560" t="s">
        <v>4284</v>
      </c>
    </row>
    <row r="1561" spans="1:8">
      <c r="A1561">
        <v>11007075</v>
      </c>
      <c r="B1561" t="s">
        <v>5301</v>
      </c>
      <c r="C1561" t="s">
        <v>1138</v>
      </c>
      <c r="D1561" t="s">
        <v>6444</v>
      </c>
      <c r="E1561" t="s">
        <v>6270</v>
      </c>
      <c r="H1561" t="s">
        <v>4284</v>
      </c>
    </row>
    <row r="1562" spans="1:8">
      <c r="A1562">
        <v>11007073</v>
      </c>
      <c r="B1562" t="s">
        <v>5302</v>
      </c>
      <c r="C1562" t="s">
        <v>5855</v>
      </c>
      <c r="D1562" t="s">
        <v>6444</v>
      </c>
      <c r="E1562" t="s">
        <v>6270</v>
      </c>
      <c r="H1562" t="s">
        <v>4284</v>
      </c>
    </row>
    <row r="1563" spans="1:8">
      <c r="A1563">
        <v>11007071</v>
      </c>
      <c r="B1563" t="s">
        <v>5303</v>
      </c>
      <c r="C1563" t="s">
        <v>5856</v>
      </c>
      <c r="D1563" t="s">
        <v>6446</v>
      </c>
      <c r="E1563" t="s">
        <v>6272</v>
      </c>
      <c r="H1563" t="s">
        <v>4284</v>
      </c>
    </row>
    <row r="1564" spans="1:8">
      <c r="A1564">
        <v>11007069</v>
      </c>
      <c r="B1564" t="s">
        <v>5304</v>
      </c>
      <c r="C1564" t="s">
        <v>1086</v>
      </c>
      <c r="D1564" t="s">
        <v>6446</v>
      </c>
      <c r="E1564" t="s">
        <v>6272</v>
      </c>
      <c r="H1564" t="s">
        <v>4284</v>
      </c>
    </row>
    <row r="1565" spans="1:8">
      <c r="A1565">
        <v>11007067</v>
      </c>
      <c r="B1565" t="s">
        <v>5305</v>
      </c>
      <c r="C1565" t="s">
        <v>5857</v>
      </c>
      <c r="D1565" t="s">
        <v>6447</v>
      </c>
      <c r="E1565" t="s">
        <v>6274</v>
      </c>
      <c r="H1565" t="s">
        <v>4284</v>
      </c>
    </row>
    <row r="1566" spans="1:8">
      <c r="A1566">
        <v>11007066</v>
      </c>
      <c r="B1566" t="s">
        <v>5306</v>
      </c>
      <c r="C1566" t="s">
        <v>5858</v>
      </c>
      <c r="D1566" t="s">
        <v>6447</v>
      </c>
      <c r="E1566" t="s">
        <v>6274</v>
      </c>
      <c r="H1566" t="s">
        <v>4284</v>
      </c>
    </row>
    <row r="1567" spans="1:8">
      <c r="A1567" t="s">
        <v>4604</v>
      </c>
      <c r="B1567" t="s">
        <v>5307</v>
      </c>
      <c r="C1567" t="s">
        <v>1209</v>
      </c>
      <c r="D1567" t="s">
        <v>6447</v>
      </c>
      <c r="E1567" t="s">
        <v>6274</v>
      </c>
      <c r="H1567" t="s">
        <v>4284</v>
      </c>
    </row>
    <row r="1568" spans="1:8">
      <c r="A1568">
        <v>11007064</v>
      </c>
      <c r="B1568" t="s">
        <v>5308</v>
      </c>
      <c r="C1568" t="s">
        <v>5859</v>
      </c>
      <c r="D1568" t="s">
        <v>6448</v>
      </c>
      <c r="E1568" t="s">
        <v>6274</v>
      </c>
      <c r="H1568" t="s">
        <v>4284</v>
      </c>
    </row>
    <row r="1569" spans="1:8">
      <c r="A1569">
        <v>11007063</v>
      </c>
      <c r="B1569" t="s">
        <v>5309</v>
      </c>
      <c r="C1569" t="s">
        <v>5860</v>
      </c>
      <c r="D1569" t="s">
        <v>6448</v>
      </c>
      <c r="E1569" t="s">
        <v>6274</v>
      </c>
      <c r="H1569" t="s">
        <v>4284</v>
      </c>
    </row>
    <row r="1570" spans="1:8">
      <c r="A1570">
        <v>11007062</v>
      </c>
      <c r="B1570" t="s">
        <v>5310</v>
      </c>
      <c r="C1570" t="s">
        <v>1212</v>
      </c>
      <c r="D1570" t="s">
        <v>6448</v>
      </c>
      <c r="E1570" t="s">
        <v>6274</v>
      </c>
      <c r="H1570" t="s">
        <v>4284</v>
      </c>
    </row>
    <row r="1571" spans="1:8">
      <c r="A1571">
        <v>11007060</v>
      </c>
      <c r="B1571" t="s">
        <v>5311</v>
      </c>
      <c r="C1571" t="s">
        <v>5819</v>
      </c>
      <c r="D1571" t="s">
        <v>6449</v>
      </c>
      <c r="E1571" t="s">
        <v>6276</v>
      </c>
      <c r="H1571" t="s">
        <v>4284</v>
      </c>
    </row>
    <row r="1572" spans="1:8">
      <c r="A1572">
        <v>11007058</v>
      </c>
      <c r="B1572" t="s">
        <v>5312</v>
      </c>
      <c r="C1572" t="s">
        <v>5820</v>
      </c>
      <c r="D1572" t="s">
        <v>6449</v>
      </c>
      <c r="E1572" t="s">
        <v>6276</v>
      </c>
      <c r="H1572" t="s">
        <v>4284</v>
      </c>
    </row>
    <row r="1573" spans="1:8">
      <c r="A1573">
        <v>11007056</v>
      </c>
      <c r="B1573" t="s">
        <v>5313</v>
      </c>
      <c r="C1573" t="s">
        <v>1024</v>
      </c>
      <c r="D1573" t="s">
        <v>6449</v>
      </c>
      <c r="E1573" t="s">
        <v>6276</v>
      </c>
      <c r="H1573" t="s">
        <v>4284</v>
      </c>
    </row>
    <row r="1574" spans="1:8">
      <c r="A1574">
        <v>11007054</v>
      </c>
      <c r="B1574" t="s">
        <v>5314</v>
      </c>
      <c r="C1574" t="s">
        <v>1025</v>
      </c>
      <c r="D1574" t="s">
        <v>6450</v>
      </c>
      <c r="E1574" t="s">
        <v>6276</v>
      </c>
      <c r="H1574" t="s">
        <v>4284</v>
      </c>
    </row>
    <row r="1575" spans="1:8">
      <c r="A1575">
        <v>11007053</v>
      </c>
      <c r="B1575" t="s">
        <v>5315</v>
      </c>
      <c r="C1575" t="s">
        <v>5861</v>
      </c>
      <c r="D1575" t="s">
        <v>6451</v>
      </c>
      <c r="E1575" t="s">
        <v>6278</v>
      </c>
      <c r="H1575" t="s">
        <v>4284</v>
      </c>
    </row>
    <row r="1576" spans="1:8">
      <c r="A1576">
        <v>11007051</v>
      </c>
      <c r="B1576" t="s">
        <v>5316</v>
      </c>
      <c r="C1576" t="s">
        <v>5821</v>
      </c>
      <c r="D1576" t="s">
        <v>6451</v>
      </c>
      <c r="E1576" t="s">
        <v>6278</v>
      </c>
      <c r="H1576" t="s">
        <v>4284</v>
      </c>
    </row>
    <row r="1577" spans="1:8">
      <c r="A1577">
        <v>11007050</v>
      </c>
      <c r="B1577" t="s">
        <v>5317</v>
      </c>
      <c r="C1577" t="s">
        <v>1179</v>
      </c>
      <c r="D1577" t="s">
        <v>6452</v>
      </c>
      <c r="E1577" t="s">
        <v>6453</v>
      </c>
      <c r="H1577" t="s">
        <v>4284</v>
      </c>
    </row>
    <row r="1578" spans="1:8">
      <c r="A1578" t="s">
        <v>4604</v>
      </c>
      <c r="B1578" t="s">
        <v>5318</v>
      </c>
      <c r="C1578" t="s">
        <v>1027</v>
      </c>
      <c r="D1578" t="e">
        <v>#N/A</v>
      </c>
      <c r="E1578" t="e">
        <v>#N/A</v>
      </c>
      <c r="H1578" t="s">
        <v>4284</v>
      </c>
    </row>
    <row r="1579" spans="1:8">
      <c r="A1579">
        <v>11007048</v>
      </c>
      <c r="B1579" t="s">
        <v>5319</v>
      </c>
      <c r="C1579" t="s">
        <v>5862</v>
      </c>
      <c r="D1579" t="s">
        <v>6451</v>
      </c>
      <c r="E1579" t="s">
        <v>6278</v>
      </c>
      <c r="H1579" t="s">
        <v>4284</v>
      </c>
    </row>
    <row r="1580" spans="1:8">
      <c r="A1580" t="s">
        <v>4604</v>
      </c>
      <c r="B1580" t="s">
        <v>5320</v>
      </c>
      <c r="C1580" t="s">
        <v>5823</v>
      </c>
      <c r="D1580" t="e">
        <v>#N/A</v>
      </c>
      <c r="E1580" t="e">
        <v>#N/A</v>
      </c>
      <c r="H1580" t="s">
        <v>4284</v>
      </c>
    </row>
    <row r="1581" spans="1:8">
      <c r="A1581">
        <v>11007047</v>
      </c>
      <c r="B1581" t="s">
        <v>5321</v>
      </c>
      <c r="C1581" t="s">
        <v>5863</v>
      </c>
      <c r="D1581" t="s">
        <v>6451</v>
      </c>
      <c r="E1581" t="s">
        <v>6278</v>
      </c>
      <c r="H1581" t="s">
        <v>4284</v>
      </c>
    </row>
    <row r="1582" spans="1:8">
      <c r="A1582" t="s">
        <v>4604</v>
      </c>
      <c r="B1582" t="s">
        <v>5322</v>
      </c>
      <c r="C1582" t="s">
        <v>5864</v>
      </c>
      <c r="D1582" t="e">
        <v>#N/A</v>
      </c>
      <c r="E1582" t="e">
        <v>#N/A</v>
      </c>
      <c r="H1582" t="s">
        <v>4284</v>
      </c>
    </row>
    <row r="1583" spans="1:8">
      <c r="A1583">
        <v>11007046</v>
      </c>
      <c r="B1583" t="s">
        <v>5323</v>
      </c>
      <c r="C1583" t="s">
        <v>5865</v>
      </c>
      <c r="D1583" t="s">
        <v>6451</v>
      </c>
      <c r="E1583" t="s">
        <v>6278</v>
      </c>
      <c r="H1583" t="s">
        <v>4284</v>
      </c>
    </row>
    <row r="1584" spans="1:8">
      <c r="A1584" t="s">
        <v>4604</v>
      </c>
      <c r="B1584" t="s">
        <v>5324</v>
      </c>
      <c r="C1584" t="s">
        <v>5825</v>
      </c>
      <c r="D1584" t="e">
        <v>#N/A</v>
      </c>
      <c r="E1584" t="e">
        <v>#N/A</v>
      </c>
      <c r="H1584" t="s">
        <v>4284</v>
      </c>
    </row>
    <row r="1585" spans="1:8">
      <c r="A1585">
        <v>11007044</v>
      </c>
      <c r="B1585" t="s">
        <v>5325</v>
      </c>
      <c r="C1585" t="s">
        <v>1180</v>
      </c>
      <c r="D1585" t="s">
        <v>6452</v>
      </c>
      <c r="E1585" t="s">
        <v>6278</v>
      </c>
      <c r="H1585" t="s">
        <v>4284</v>
      </c>
    </row>
    <row r="1586" spans="1:8">
      <c r="A1586" t="s">
        <v>4604</v>
      </c>
      <c r="B1586" t="s">
        <v>5326</v>
      </c>
      <c r="C1586" t="s">
        <v>1029</v>
      </c>
      <c r="D1586" t="e">
        <v>#N/A</v>
      </c>
      <c r="E1586" t="e">
        <v>#N/A</v>
      </c>
      <c r="H1586" t="s">
        <v>4284</v>
      </c>
    </row>
    <row r="1587" spans="1:8">
      <c r="A1587">
        <v>11007042</v>
      </c>
      <c r="B1587" t="s">
        <v>5327</v>
      </c>
      <c r="C1587" t="s">
        <v>5866</v>
      </c>
      <c r="D1587" t="s">
        <v>6451</v>
      </c>
      <c r="E1587" t="s">
        <v>6278</v>
      </c>
      <c r="H1587" t="s">
        <v>4284</v>
      </c>
    </row>
    <row r="1588" spans="1:8">
      <c r="A1588" t="s">
        <v>4604</v>
      </c>
      <c r="B1588" t="s">
        <v>5328</v>
      </c>
      <c r="C1588" t="s">
        <v>5867</v>
      </c>
      <c r="D1588" t="e">
        <v>#N/A</v>
      </c>
      <c r="E1588" t="e">
        <v>#N/A</v>
      </c>
      <c r="H1588" t="s">
        <v>4284</v>
      </c>
    </row>
    <row r="1589" spans="1:8">
      <c r="A1589">
        <v>11007040</v>
      </c>
      <c r="B1589" t="s">
        <v>5329</v>
      </c>
      <c r="C1589" t="s">
        <v>5868</v>
      </c>
      <c r="D1589" t="s">
        <v>6451</v>
      </c>
      <c r="E1589" t="s">
        <v>6278</v>
      </c>
      <c r="H1589" t="s">
        <v>4284</v>
      </c>
    </row>
    <row r="1590" spans="1:8">
      <c r="A1590">
        <v>11007038</v>
      </c>
      <c r="B1590" t="s">
        <v>5330</v>
      </c>
      <c r="C1590" t="s">
        <v>1030</v>
      </c>
      <c r="D1590" t="s">
        <v>6451</v>
      </c>
      <c r="E1590" t="s">
        <v>6278</v>
      </c>
      <c r="H1590" t="s">
        <v>4284</v>
      </c>
    </row>
    <row r="1591" spans="1:8">
      <c r="A1591">
        <v>11007037</v>
      </c>
      <c r="B1591" t="s">
        <v>5331</v>
      </c>
      <c r="C1591" t="s">
        <v>5869</v>
      </c>
      <c r="D1591" t="s">
        <v>6451</v>
      </c>
      <c r="E1591" t="s">
        <v>6278</v>
      </c>
      <c r="H1591" t="s">
        <v>4284</v>
      </c>
    </row>
    <row r="1592" spans="1:8">
      <c r="A1592" t="s">
        <v>4604</v>
      </c>
      <c r="B1592" t="s">
        <v>5332</v>
      </c>
      <c r="C1592" t="s">
        <v>1032</v>
      </c>
      <c r="D1592" t="s">
        <v>6451</v>
      </c>
      <c r="E1592" t="s">
        <v>6278</v>
      </c>
      <c r="H1592" t="s">
        <v>4284</v>
      </c>
    </row>
    <row r="1593" spans="1:8">
      <c r="A1593">
        <v>11007032</v>
      </c>
      <c r="B1593" t="s">
        <v>5333</v>
      </c>
      <c r="C1593" t="s">
        <v>5870</v>
      </c>
      <c r="D1593" t="s">
        <v>6454</v>
      </c>
      <c r="E1593" t="s">
        <v>6282</v>
      </c>
      <c r="H1593" t="s">
        <v>4284</v>
      </c>
    </row>
    <row r="1594" spans="1:8">
      <c r="A1594">
        <v>11007031</v>
      </c>
      <c r="B1594" t="s">
        <v>5334</v>
      </c>
      <c r="C1594" t="s">
        <v>5871</v>
      </c>
      <c r="D1594" t="s">
        <v>6454</v>
      </c>
      <c r="E1594" t="s">
        <v>6282</v>
      </c>
      <c r="H1594" t="s">
        <v>4284</v>
      </c>
    </row>
    <row r="1595" spans="1:8">
      <c r="A1595">
        <v>11007030</v>
      </c>
      <c r="B1595" t="s">
        <v>5335</v>
      </c>
      <c r="C1595" t="s">
        <v>5872</v>
      </c>
      <c r="D1595" t="s">
        <v>6454</v>
      </c>
      <c r="E1595" t="s">
        <v>6282</v>
      </c>
      <c r="H1595" t="s">
        <v>4284</v>
      </c>
    </row>
    <row r="1596" spans="1:8">
      <c r="A1596" t="s">
        <v>4604</v>
      </c>
      <c r="B1596" t="s">
        <v>5336</v>
      </c>
      <c r="C1596" t="s">
        <v>5873</v>
      </c>
      <c r="D1596" t="s">
        <v>6454</v>
      </c>
      <c r="E1596" t="s">
        <v>6282</v>
      </c>
      <c r="H1596" t="s">
        <v>4284</v>
      </c>
    </row>
    <row r="1597" spans="1:8">
      <c r="A1597">
        <v>11007029</v>
      </c>
      <c r="B1597" t="s">
        <v>5337</v>
      </c>
      <c r="C1597" t="s">
        <v>5874</v>
      </c>
      <c r="D1597" t="s">
        <v>6455</v>
      </c>
      <c r="E1597" t="s">
        <v>6284</v>
      </c>
      <c r="H1597" t="s">
        <v>4284</v>
      </c>
    </row>
    <row r="1598" spans="1:8">
      <c r="A1598">
        <v>11007027</v>
      </c>
      <c r="B1598" t="s">
        <v>5338</v>
      </c>
      <c r="C1598" t="s">
        <v>5875</v>
      </c>
      <c r="D1598" t="s">
        <v>6456</v>
      </c>
      <c r="E1598" t="s">
        <v>6284</v>
      </c>
      <c r="H1598" t="s">
        <v>4284</v>
      </c>
    </row>
    <row r="1599" spans="1:8">
      <c r="A1599">
        <v>11007025</v>
      </c>
      <c r="B1599" t="s">
        <v>5339</v>
      </c>
      <c r="C1599" t="s">
        <v>1033</v>
      </c>
      <c r="D1599" t="s">
        <v>6456</v>
      </c>
      <c r="E1599" t="s">
        <v>6284</v>
      </c>
      <c r="H1599" t="s">
        <v>4284</v>
      </c>
    </row>
    <row r="1600" spans="1:8">
      <c r="A1600">
        <v>11007024</v>
      </c>
      <c r="B1600" t="s">
        <v>5340</v>
      </c>
      <c r="C1600" t="s">
        <v>1034</v>
      </c>
      <c r="D1600" t="s">
        <v>6456</v>
      </c>
      <c r="E1600" t="s">
        <v>6284</v>
      </c>
      <c r="H1600" t="s">
        <v>4284</v>
      </c>
    </row>
    <row r="1601" spans="1:8">
      <c r="A1601">
        <v>11007022</v>
      </c>
      <c r="B1601" t="s">
        <v>5341</v>
      </c>
      <c r="C1601" t="s">
        <v>5876</v>
      </c>
      <c r="D1601" t="s">
        <v>6457</v>
      </c>
      <c r="E1601" t="s">
        <v>6288</v>
      </c>
      <c r="H1601" t="s">
        <v>4284</v>
      </c>
    </row>
    <row r="1602" spans="1:8">
      <c r="A1602">
        <v>11007020</v>
      </c>
      <c r="B1602" t="s">
        <v>5342</v>
      </c>
      <c r="C1602" t="s">
        <v>5877</v>
      </c>
      <c r="D1602" t="s">
        <v>6457</v>
      </c>
      <c r="E1602" t="s">
        <v>6288</v>
      </c>
      <c r="H1602" t="s">
        <v>4284</v>
      </c>
    </row>
    <row r="1603" spans="1:8">
      <c r="A1603">
        <v>11007018</v>
      </c>
      <c r="B1603" t="s">
        <v>5343</v>
      </c>
      <c r="C1603" t="s">
        <v>1112</v>
      </c>
      <c r="D1603" t="s">
        <v>6457</v>
      </c>
      <c r="E1603" t="s">
        <v>6288</v>
      </c>
      <c r="H1603" t="s">
        <v>4284</v>
      </c>
    </row>
    <row r="1604" spans="1:8">
      <c r="A1604" t="s">
        <v>4604</v>
      </c>
      <c r="B1604" t="s">
        <v>5344</v>
      </c>
      <c r="C1604" t="s">
        <v>5733</v>
      </c>
      <c r="D1604" t="s">
        <v>6457</v>
      </c>
      <c r="E1604" t="s">
        <v>6288</v>
      </c>
      <c r="H1604" t="s">
        <v>4284</v>
      </c>
    </row>
    <row r="1605" spans="1:8">
      <c r="A1605">
        <v>11007012</v>
      </c>
      <c r="B1605" t="s">
        <v>5345</v>
      </c>
      <c r="C1605" t="s">
        <v>5878</v>
      </c>
      <c r="D1605" t="s">
        <v>6458</v>
      </c>
      <c r="E1605" t="s">
        <v>6292</v>
      </c>
      <c r="H1605" t="s">
        <v>4284</v>
      </c>
    </row>
    <row r="1606" spans="1:8">
      <c r="A1606" t="s">
        <v>4604</v>
      </c>
      <c r="B1606" t="s">
        <v>5346</v>
      </c>
      <c r="C1606" t="s">
        <v>5879</v>
      </c>
      <c r="D1606" t="s">
        <v>6458</v>
      </c>
      <c r="E1606" t="s">
        <v>6292</v>
      </c>
      <c r="H1606" t="s">
        <v>4284</v>
      </c>
    </row>
    <row r="1607" spans="1:8">
      <c r="A1607">
        <v>11007011</v>
      </c>
      <c r="B1607" t="s">
        <v>5347</v>
      </c>
      <c r="C1607" t="s">
        <v>5880</v>
      </c>
      <c r="D1607" t="s">
        <v>6458</v>
      </c>
      <c r="E1607" t="s">
        <v>6292</v>
      </c>
      <c r="H1607" t="s">
        <v>4284</v>
      </c>
    </row>
    <row r="1608" spans="1:8">
      <c r="A1608" t="s">
        <v>4604</v>
      </c>
      <c r="B1608" t="s">
        <v>5348</v>
      </c>
      <c r="C1608" t="s">
        <v>5881</v>
      </c>
      <c r="D1608" t="s">
        <v>6458</v>
      </c>
      <c r="E1608" t="s">
        <v>6292</v>
      </c>
      <c r="H1608" t="s">
        <v>4284</v>
      </c>
    </row>
    <row r="1609" spans="1:8">
      <c r="A1609">
        <v>11007010</v>
      </c>
      <c r="B1609" t="s">
        <v>5349</v>
      </c>
      <c r="C1609" t="s">
        <v>5882</v>
      </c>
      <c r="D1609" t="s">
        <v>6458</v>
      </c>
      <c r="E1609" t="s">
        <v>6292</v>
      </c>
      <c r="H1609" t="s">
        <v>4284</v>
      </c>
    </row>
    <row r="1610" spans="1:8">
      <c r="A1610" t="s">
        <v>4604</v>
      </c>
      <c r="B1610" t="s">
        <v>5350</v>
      </c>
      <c r="C1610" t="s">
        <v>5883</v>
      </c>
      <c r="D1610" t="s">
        <v>6458</v>
      </c>
      <c r="E1610" t="s">
        <v>6292</v>
      </c>
      <c r="H1610" t="s">
        <v>4284</v>
      </c>
    </row>
    <row r="1611" spans="1:8">
      <c r="A1611" t="s">
        <v>4604</v>
      </c>
      <c r="B1611" t="s">
        <v>5351</v>
      </c>
      <c r="C1611" t="s">
        <v>5884</v>
      </c>
      <c r="D1611" t="s">
        <v>6458</v>
      </c>
      <c r="E1611" t="s">
        <v>6292</v>
      </c>
      <c r="H1611" t="s">
        <v>4284</v>
      </c>
    </row>
    <row r="1612" spans="1:8">
      <c r="A1612" t="s">
        <v>4604</v>
      </c>
      <c r="B1612" t="s">
        <v>5352</v>
      </c>
      <c r="C1612" t="s">
        <v>5743</v>
      </c>
      <c r="D1612" t="s">
        <v>6458</v>
      </c>
      <c r="E1612" t="s">
        <v>6292</v>
      </c>
      <c r="H1612" t="s">
        <v>4284</v>
      </c>
    </row>
    <row r="1613" spans="1:8">
      <c r="A1613">
        <v>11007006</v>
      </c>
      <c r="B1613" t="s">
        <v>5353</v>
      </c>
      <c r="C1613" t="s">
        <v>1311</v>
      </c>
      <c r="D1613" t="s">
        <v>6458</v>
      </c>
      <c r="E1613" t="s">
        <v>6292</v>
      </c>
      <c r="H1613" t="s">
        <v>4284</v>
      </c>
    </row>
    <row r="1614" spans="1:8">
      <c r="A1614" t="s">
        <v>4604</v>
      </c>
      <c r="B1614" t="s">
        <v>5354</v>
      </c>
      <c r="C1614" t="s">
        <v>5885</v>
      </c>
      <c r="D1614" t="s">
        <v>6458</v>
      </c>
      <c r="E1614" t="s">
        <v>6292</v>
      </c>
      <c r="H1614" t="s">
        <v>4284</v>
      </c>
    </row>
    <row r="1615" spans="1:8">
      <c r="A1615" t="s">
        <v>4604</v>
      </c>
      <c r="B1615" t="s">
        <v>5355</v>
      </c>
      <c r="C1615" t="s">
        <v>1089</v>
      </c>
      <c r="D1615" t="s">
        <v>6458</v>
      </c>
      <c r="E1615" t="s">
        <v>6292</v>
      </c>
      <c r="H1615" t="s">
        <v>4284</v>
      </c>
    </row>
    <row r="1616" spans="1:8">
      <c r="A1616" t="s">
        <v>4604</v>
      </c>
      <c r="B1616" t="s">
        <v>5356</v>
      </c>
      <c r="C1616" t="s">
        <v>1194</v>
      </c>
      <c r="D1616" t="s">
        <v>6458</v>
      </c>
      <c r="E1616" t="s">
        <v>6292</v>
      </c>
      <c r="H1616" t="s">
        <v>4284</v>
      </c>
    </row>
    <row r="1617" spans="1:8">
      <c r="A1617">
        <v>11007003</v>
      </c>
      <c r="B1617" t="s">
        <v>5357</v>
      </c>
      <c r="C1617" t="s">
        <v>5829</v>
      </c>
      <c r="D1617" t="s">
        <v>6458</v>
      </c>
      <c r="E1617" t="s">
        <v>6292</v>
      </c>
      <c r="H1617" t="s">
        <v>4284</v>
      </c>
    </row>
    <row r="1618" spans="1:8">
      <c r="A1618">
        <v>11006999</v>
      </c>
      <c r="B1618" t="s">
        <v>5358</v>
      </c>
      <c r="C1618" t="s">
        <v>1116</v>
      </c>
      <c r="D1618" t="s">
        <v>6459</v>
      </c>
      <c r="E1618" t="s">
        <v>6296</v>
      </c>
      <c r="H1618" t="s">
        <v>4284</v>
      </c>
    </row>
    <row r="1619" spans="1:8">
      <c r="A1619" t="s">
        <v>4604</v>
      </c>
      <c r="B1619" t="s">
        <v>5359</v>
      </c>
      <c r="C1619" t="s">
        <v>5886</v>
      </c>
      <c r="D1619" t="s">
        <v>6442</v>
      </c>
      <c r="E1619" t="s">
        <v>6266</v>
      </c>
      <c r="H1619" t="s">
        <v>4284</v>
      </c>
    </row>
    <row r="1620" spans="1:8">
      <c r="A1620" t="s">
        <v>4604</v>
      </c>
      <c r="B1620" t="s">
        <v>5360</v>
      </c>
      <c r="C1620" t="s">
        <v>5887</v>
      </c>
      <c r="D1620" t="s">
        <v>6442</v>
      </c>
      <c r="E1620" t="s">
        <v>6266</v>
      </c>
      <c r="H1620" t="s">
        <v>4284</v>
      </c>
    </row>
    <row r="1621" spans="1:8">
      <c r="A1621" t="s">
        <v>4604</v>
      </c>
      <c r="B1621" t="s">
        <v>5361</v>
      </c>
      <c r="C1621" t="s">
        <v>5888</v>
      </c>
      <c r="D1621" t="s">
        <v>6458</v>
      </c>
      <c r="E1621" t="s">
        <v>6292</v>
      </c>
      <c r="H1621" t="s">
        <v>4284</v>
      </c>
    </row>
    <row r="1622" spans="1:8">
      <c r="A1622" t="s">
        <v>4604</v>
      </c>
      <c r="B1622" t="s">
        <v>5362</v>
      </c>
      <c r="C1622" t="s">
        <v>5888</v>
      </c>
      <c r="D1622" t="s">
        <v>6458</v>
      </c>
      <c r="E1622" t="s">
        <v>6292</v>
      </c>
      <c r="H1622" t="s">
        <v>4284</v>
      </c>
    </row>
    <row r="1623" spans="1:8">
      <c r="A1623" t="s">
        <v>4604</v>
      </c>
      <c r="B1623" t="s">
        <v>5363</v>
      </c>
      <c r="C1623" t="s">
        <v>5889</v>
      </c>
      <c r="D1623" t="s">
        <v>6458</v>
      </c>
      <c r="E1623" t="s">
        <v>6292</v>
      </c>
      <c r="H1623" t="s">
        <v>4284</v>
      </c>
    </row>
    <row r="1624" spans="1:8">
      <c r="A1624" t="s">
        <v>4604</v>
      </c>
      <c r="B1624" t="s">
        <v>5364</v>
      </c>
      <c r="C1624" t="s">
        <v>1302</v>
      </c>
      <c r="D1624" t="s">
        <v>6460</v>
      </c>
      <c r="E1624" t="s">
        <v>6292</v>
      </c>
      <c r="H1624" t="s">
        <v>4284</v>
      </c>
    </row>
    <row r="1625" spans="1:8">
      <c r="A1625" t="s">
        <v>4604</v>
      </c>
      <c r="B1625" t="s">
        <v>5365</v>
      </c>
      <c r="C1625" t="s">
        <v>5890</v>
      </c>
      <c r="D1625" t="s">
        <v>6460</v>
      </c>
      <c r="E1625" t="s">
        <v>6292</v>
      </c>
      <c r="H1625" t="s">
        <v>4284</v>
      </c>
    </row>
    <row r="1626" spans="1:8">
      <c r="A1626" t="s">
        <v>4604</v>
      </c>
      <c r="B1626" t="s">
        <v>5366</v>
      </c>
      <c r="C1626" t="s">
        <v>1304</v>
      </c>
      <c r="D1626" t="s">
        <v>6460</v>
      </c>
      <c r="E1626" t="s">
        <v>6292</v>
      </c>
      <c r="H1626" t="s">
        <v>4284</v>
      </c>
    </row>
    <row r="1627" spans="1:8">
      <c r="A1627" t="s">
        <v>4604</v>
      </c>
      <c r="B1627" t="s">
        <v>5367</v>
      </c>
      <c r="C1627" t="s">
        <v>5891</v>
      </c>
      <c r="D1627" t="s">
        <v>6451</v>
      </c>
      <c r="E1627" t="s">
        <v>6278</v>
      </c>
      <c r="H1627" t="s">
        <v>4284</v>
      </c>
    </row>
    <row r="1628" spans="1:8">
      <c r="A1628" t="s">
        <v>4604</v>
      </c>
      <c r="B1628" t="s">
        <v>5368</v>
      </c>
      <c r="C1628" t="s">
        <v>1182</v>
      </c>
      <c r="D1628" t="s">
        <v>6451</v>
      </c>
      <c r="E1628" t="s">
        <v>6278</v>
      </c>
      <c r="H1628" t="s">
        <v>4284</v>
      </c>
    </row>
    <row r="1629" spans="1:8">
      <c r="A1629" t="s">
        <v>4604</v>
      </c>
      <c r="B1629" t="s">
        <v>5369</v>
      </c>
      <c r="C1629" t="s">
        <v>5892</v>
      </c>
      <c r="D1629" t="s">
        <v>6451</v>
      </c>
      <c r="E1629" t="s">
        <v>6278</v>
      </c>
      <c r="H1629" t="s">
        <v>4284</v>
      </c>
    </row>
    <row r="1630" spans="1:8">
      <c r="A1630" t="s">
        <v>4604</v>
      </c>
      <c r="B1630" t="s">
        <v>5370</v>
      </c>
      <c r="C1630" t="s">
        <v>5893</v>
      </c>
      <c r="D1630" t="s">
        <v>6451</v>
      </c>
      <c r="E1630" t="s">
        <v>6278</v>
      </c>
      <c r="H1630" t="s">
        <v>4284</v>
      </c>
    </row>
    <row r="1631" spans="1:8">
      <c r="A1631">
        <v>11006990</v>
      </c>
      <c r="B1631" t="s">
        <v>5371</v>
      </c>
      <c r="C1631" t="s">
        <v>5894</v>
      </c>
      <c r="D1631" t="s">
        <v>6451</v>
      </c>
      <c r="E1631" t="s">
        <v>6278</v>
      </c>
      <c r="H1631" t="s">
        <v>4284</v>
      </c>
    </row>
    <row r="1632" spans="1:8">
      <c r="A1632" t="s">
        <v>4604</v>
      </c>
      <c r="B1632" t="s">
        <v>5372</v>
      </c>
      <c r="C1632" t="s">
        <v>1184</v>
      </c>
      <c r="D1632" t="s">
        <v>6451</v>
      </c>
      <c r="E1632" t="s">
        <v>6278</v>
      </c>
      <c r="H1632" t="s">
        <v>4284</v>
      </c>
    </row>
    <row r="1633" spans="1:8">
      <c r="A1633" t="s">
        <v>4604</v>
      </c>
      <c r="B1633" t="s">
        <v>5373</v>
      </c>
      <c r="C1633" t="s">
        <v>5895</v>
      </c>
      <c r="D1633" t="s">
        <v>6451</v>
      </c>
      <c r="E1633" t="s">
        <v>6278</v>
      </c>
      <c r="H1633" t="s">
        <v>4284</v>
      </c>
    </row>
    <row r="1634" spans="1:8">
      <c r="A1634" t="s">
        <v>4604</v>
      </c>
      <c r="B1634" t="s">
        <v>5374</v>
      </c>
      <c r="C1634" t="s">
        <v>1186</v>
      </c>
      <c r="D1634" t="s">
        <v>6451</v>
      </c>
      <c r="E1634" t="s">
        <v>6278</v>
      </c>
      <c r="H1634" t="s">
        <v>4284</v>
      </c>
    </row>
    <row r="1635" spans="1:8">
      <c r="A1635" t="s">
        <v>4604</v>
      </c>
      <c r="B1635" t="s">
        <v>5375</v>
      </c>
      <c r="C1635" t="s">
        <v>5896</v>
      </c>
      <c r="D1635" t="s">
        <v>6450</v>
      </c>
      <c r="E1635" t="s">
        <v>6276</v>
      </c>
      <c r="H1635" t="s">
        <v>4284</v>
      </c>
    </row>
    <row r="1636" spans="1:8">
      <c r="A1636" t="s">
        <v>4604</v>
      </c>
      <c r="B1636" t="s">
        <v>5376</v>
      </c>
      <c r="C1636" t="s">
        <v>5897</v>
      </c>
      <c r="D1636" t="s">
        <v>6449</v>
      </c>
      <c r="E1636" t="s">
        <v>6276</v>
      </c>
      <c r="H1636" t="s">
        <v>4284</v>
      </c>
    </row>
    <row r="1637" spans="1:8">
      <c r="A1637">
        <v>11006985</v>
      </c>
      <c r="B1637" t="s">
        <v>5377</v>
      </c>
      <c r="C1637" t="s">
        <v>5898</v>
      </c>
      <c r="D1637" t="s">
        <v>6449</v>
      </c>
      <c r="E1637" t="s">
        <v>6276</v>
      </c>
      <c r="H1637" t="s">
        <v>4284</v>
      </c>
    </row>
    <row r="1638" spans="1:8">
      <c r="A1638" t="s">
        <v>4604</v>
      </c>
      <c r="B1638" t="s">
        <v>5378</v>
      </c>
      <c r="C1638" t="s">
        <v>1215</v>
      </c>
      <c r="D1638" t="s">
        <v>6449</v>
      </c>
      <c r="E1638" t="s">
        <v>6276</v>
      </c>
      <c r="H1638" t="s">
        <v>4284</v>
      </c>
    </row>
    <row r="1639" spans="1:8">
      <c r="A1639">
        <v>11006983</v>
      </c>
      <c r="B1639" t="s">
        <v>5379</v>
      </c>
      <c r="C1639" t="s">
        <v>5899</v>
      </c>
      <c r="D1639" t="s">
        <v>6459</v>
      </c>
      <c r="E1639" t="s">
        <v>6296</v>
      </c>
      <c r="H1639" t="s">
        <v>4284</v>
      </c>
    </row>
    <row r="1640" spans="1:8">
      <c r="A1640" t="s">
        <v>4604</v>
      </c>
      <c r="B1640" t="s">
        <v>5380</v>
      </c>
      <c r="C1640" t="s">
        <v>5847</v>
      </c>
      <c r="D1640" t="s">
        <v>6442</v>
      </c>
      <c r="E1640" t="s">
        <v>6266</v>
      </c>
      <c r="H1640" t="s">
        <v>4284</v>
      </c>
    </row>
    <row r="1641" spans="1:8">
      <c r="A1641" t="s">
        <v>4604</v>
      </c>
      <c r="B1641" t="s">
        <v>5381</v>
      </c>
      <c r="C1641" t="s">
        <v>5848</v>
      </c>
      <c r="D1641" t="s">
        <v>6442</v>
      </c>
      <c r="E1641" t="s">
        <v>6266</v>
      </c>
      <c r="H1641" t="s">
        <v>4284</v>
      </c>
    </row>
    <row r="1642" spans="1:8">
      <c r="A1642" t="s">
        <v>4604</v>
      </c>
      <c r="B1642" t="s">
        <v>5382</v>
      </c>
      <c r="C1642" t="s">
        <v>5849</v>
      </c>
      <c r="D1642" t="s">
        <v>6442</v>
      </c>
      <c r="E1642" t="s">
        <v>6266</v>
      </c>
      <c r="H1642" t="s">
        <v>4284</v>
      </c>
    </row>
    <row r="1643" spans="1:8">
      <c r="A1643" t="s">
        <v>4604</v>
      </c>
      <c r="B1643" t="s">
        <v>5383</v>
      </c>
      <c r="C1643" t="s">
        <v>5850</v>
      </c>
      <c r="D1643" t="s">
        <v>6442</v>
      </c>
      <c r="E1643" t="s">
        <v>6266</v>
      </c>
      <c r="H1643" t="s">
        <v>4284</v>
      </c>
    </row>
    <row r="1644" spans="1:8">
      <c r="A1644">
        <v>11007084</v>
      </c>
      <c r="B1644" t="s">
        <v>5384</v>
      </c>
      <c r="C1644" t="s">
        <v>5851</v>
      </c>
      <c r="D1644" t="s">
        <v>6443</v>
      </c>
      <c r="E1644" t="s">
        <v>6268</v>
      </c>
      <c r="H1644" t="s">
        <v>4284</v>
      </c>
    </row>
    <row r="1645" spans="1:8">
      <c r="A1645">
        <v>11007082</v>
      </c>
      <c r="B1645" t="s">
        <v>5385</v>
      </c>
      <c r="C1645" t="s">
        <v>1020</v>
      </c>
      <c r="D1645" t="s">
        <v>6443</v>
      </c>
      <c r="E1645" t="s">
        <v>6268</v>
      </c>
      <c r="H1645" t="s">
        <v>4284</v>
      </c>
    </row>
    <row r="1646" spans="1:8">
      <c r="A1646">
        <v>11007080</v>
      </c>
      <c r="B1646" t="s">
        <v>5386</v>
      </c>
      <c r="C1646" t="s">
        <v>5852</v>
      </c>
      <c r="D1646" t="s">
        <v>6443</v>
      </c>
      <c r="E1646" t="s">
        <v>6268</v>
      </c>
      <c r="H1646" t="s">
        <v>4284</v>
      </c>
    </row>
    <row r="1647" spans="1:8">
      <c r="A1647">
        <v>11007078</v>
      </c>
      <c r="B1647" t="s">
        <v>5387</v>
      </c>
      <c r="C1647" t="s">
        <v>5853</v>
      </c>
      <c r="D1647" t="s">
        <v>6444</v>
      </c>
      <c r="E1647" t="s">
        <v>6270</v>
      </c>
      <c r="H1647" t="s">
        <v>4284</v>
      </c>
    </row>
    <row r="1648" spans="1:8">
      <c r="A1648">
        <v>11007076</v>
      </c>
      <c r="B1648" t="s">
        <v>5388</v>
      </c>
      <c r="C1648" t="s">
        <v>5854</v>
      </c>
      <c r="D1648" t="s">
        <v>6444</v>
      </c>
      <c r="E1648" t="s">
        <v>6270</v>
      </c>
      <c r="H1648" t="s">
        <v>4284</v>
      </c>
    </row>
    <row r="1649" spans="1:8">
      <c r="A1649">
        <v>11007074</v>
      </c>
      <c r="B1649" t="s">
        <v>5389</v>
      </c>
      <c r="C1649" t="s">
        <v>1138</v>
      </c>
      <c r="D1649" t="s">
        <v>6444</v>
      </c>
      <c r="E1649" t="s">
        <v>6270</v>
      </c>
      <c r="H1649" t="s">
        <v>4284</v>
      </c>
    </row>
    <row r="1650" spans="1:8">
      <c r="A1650" t="s">
        <v>4604</v>
      </c>
      <c r="B1650" t="s">
        <v>5390</v>
      </c>
      <c r="C1650" t="s">
        <v>5855</v>
      </c>
      <c r="D1650" t="s">
        <v>6444</v>
      </c>
      <c r="E1650" t="s">
        <v>6270</v>
      </c>
      <c r="H1650" t="s">
        <v>4284</v>
      </c>
    </row>
    <row r="1651" spans="1:8">
      <c r="A1651">
        <v>11007070</v>
      </c>
      <c r="B1651" t="s">
        <v>5391</v>
      </c>
      <c r="C1651" t="s">
        <v>5856</v>
      </c>
      <c r="D1651" t="s">
        <v>6446</v>
      </c>
      <c r="E1651" t="s">
        <v>6272</v>
      </c>
      <c r="H1651" t="s">
        <v>4284</v>
      </c>
    </row>
    <row r="1652" spans="1:8">
      <c r="A1652" t="s">
        <v>4604</v>
      </c>
      <c r="B1652" t="s">
        <v>5392</v>
      </c>
      <c r="C1652" t="s">
        <v>1086</v>
      </c>
      <c r="D1652" t="s">
        <v>6446</v>
      </c>
      <c r="E1652" t="s">
        <v>6272</v>
      </c>
      <c r="H1652" t="s">
        <v>4284</v>
      </c>
    </row>
    <row r="1653" spans="1:8">
      <c r="A1653" t="s">
        <v>4604</v>
      </c>
      <c r="B1653" t="s">
        <v>5393</v>
      </c>
      <c r="C1653" t="s">
        <v>5857</v>
      </c>
      <c r="D1653" t="s">
        <v>6447</v>
      </c>
      <c r="E1653" t="s">
        <v>6274</v>
      </c>
      <c r="H1653" t="s">
        <v>4284</v>
      </c>
    </row>
    <row r="1654" spans="1:8">
      <c r="A1654" t="s">
        <v>4604</v>
      </c>
      <c r="B1654" t="s">
        <v>5394</v>
      </c>
      <c r="C1654" t="s">
        <v>5858</v>
      </c>
      <c r="D1654" t="s">
        <v>6447</v>
      </c>
      <c r="E1654" t="s">
        <v>6274</v>
      </c>
      <c r="H1654" t="s">
        <v>4284</v>
      </c>
    </row>
    <row r="1655" spans="1:8">
      <c r="A1655" t="s">
        <v>4604</v>
      </c>
      <c r="B1655" t="s">
        <v>5395</v>
      </c>
      <c r="C1655" t="s">
        <v>1209</v>
      </c>
      <c r="D1655" t="s">
        <v>6447</v>
      </c>
      <c r="E1655" t="s">
        <v>6274</v>
      </c>
      <c r="H1655" t="s">
        <v>4284</v>
      </c>
    </row>
    <row r="1656" spans="1:8">
      <c r="A1656" t="s">
        <v>4604</v>
      </c>
      <c r="B1656" t="s">
        <v>5396</v>
      </c>
      <c r="C1656" t="s">
        <v>5859</v>
      </c>
      <c r="D1656" t="s">
        <v>6447</v>
      </c>
      <c r="E1656" t="s">
        <v>6274</v>
      </c>
      <c r="H1656" t="s">
        <v>4284</v>
      </c>
    </row>
    <row r="1657" spans="1:8">
      <c r="A1657" t="s">
        <v>4604</v>
      </c>
      <c r="B1657" t="s">
        <v>5397</v>
      </c>
      <c r="C1657" t="s">
        <v>5860</v>
      </c>
      <c r="D1657" t="s">
        <v>6447</v>
      </c>
      <c r="E1657" t="s">
        <v>6274</v>
      </c>
      <c r="H1657" t="s">
        <v>4284</v>
      </c>
    </row>
    <row r="1658" spans="1:8">
      <c r="A1658" t="s">
        <v>4604</v>
      </c>
      <c r="B1658" t="s">
        <v>5398</v>
      </c>
      <c r="C1658" t="s">
        <v>1212</v>
      </c>
      <c r="D1658" t="s">
        <v>6447</v>
      </c>
      <c r="E1658" t="s">
        <v>6274</v>
      </c>
      <c r="H1658" t="s">
        <v>4284</v>
      </c>
    </row>
    <row r="1659" spans="1:8">
      <c r="A1659">
        <v>11007059</v>
      </c>
      <c r="B1659" t="s">
        <v>5399</v>
      </c>
      <c r="C1659" t="s">
        <v>5819</v>
      </c>
      <c r="D1659" t="s">
        <v>6449</v>
      </c>
      <c r="E1659" t="s">
        <v>6276</v>
      </c>
      <c r="H1659" t="s">
        <v>4284</v>
      </c>
    </row>
    <row r="1660" spans="1:8">
      <c r="A1660">
        <v>11007057</v>
      </c>
      <c r="B1660" t="s">
        <v>5400</v>
      </c>
      <c r="C1660" t="s">
        <v>5820</v>
      </c>
      <c r="D1660" t="s">
        <v>6449</v>
      </c>
      <c r="E1660" t="s">
        <v>6276</v>
      </c>
      <c r="H1660" t="s">
        <v>4284</v>
      </c>
    </row>
    <row r="1661" spans="1:8">
      <c r="A1661">
        <v>11007055</v>
      </c>
      <c r="B1661" t="s">
        <v>5401</v>
      </c>
      <c r="C1661" t="s">
        <v>1024</v>
      </c>
      <c r="D1661" t="s">
        <v>6449</v>
      </c>
      <c r="E1661" t="s">
        <v>6276</v>
      </c>
      <c r="H1661" t="s">
        <v>4284</v>
      </c>
    </row>
    <row r="1662" spans="1:8">
      <c r="A1662" t="s">
        <v>4604</v>
      </c>
      <c r="B1662" t="s">
        <v>5402</v>
      </c>
      <c r="C1662" t="s">
        <v>1025</v>
      </c>
      <c r="D1662" t="s">
        <v>6449</v>
      </c>
      <c r="E1662" t="s">
        <v>6276</v>
      </c>
      <c r="H1662" t="s">
        <v>4284</v>
      </c>
    </row>
    <row r="1663" spans="1:8">
      <c r="A1663">
        <v>11007052</v>
      </c>
      <c r="B1663" t="s">
        <v>5403</v>
      </c>
      <c r="C1663" t="s">
        <v>5861</v>
      </c>
      <c r="D1663" t="s">
        <v>6451</v>
      </c>
      <c r="E1663" t="s">
        <v>6278</v>
      </c>
      <c r="H1663" t="s">
        <v>4284</v>
      </c>
    </row>
    <row r="1664" spans="1:8">
      <c r="A1664" t="s">
        <v>4604</v>
      </c>
      <c r="B1664" t="s">
        <v>5404</v>
      </c>
      <c r="C1664" t="s">
        <v>5821</v>
      </c>
      <c r="D1664" t="s">
        <v>6451</v>
      </c>
      <c r="E1664" t="s">
        <v>6278</v>
      </c>
      <c r="H1664" t="s">
        <v>4284</v>
      </c>
    </row>
    <row r="1665" spans="1:8">
      <c r="A1665">
        <v>11007049</v>
      </c>
      <c r="B1665" t="s">
        <v>5405</v>
      </c>
      <c r="C1665" t="s">
        <v>1179</v>
      </c>
      <c r="D1665" t="s">
        <v>6451</v>
      </c>
      <c r="E1665" t="s">
        <v>6278</v>
      </c>
      <c r="H1665" t="s">
        <v>4284</v>
      </c>
    </row>
    <row r="1666" spans="1:8">
      <c r="A1666" t="s">
        <v>4604</v>
      </c>
      <c r="B1666" t="s">
        <v>5406</v>
      </c>
      <c r="C1666" t="s">
        <v>5862</v>
      </c>
      <c r="D1666" t="s">
        <v>6451</v>
      </c>
      <c r="E1666" t="s">
        <v>6278</v>
      </c>
      <c r="H1666" t="s">
        <v>4284</v>
      </c>
    </row>
    <row r="1667" spans="1:8">
      <c r="A1667" t="s">
        <v>4604</v>
      </c>
      <c r="B1667" t="s">
        <v>5407</v>
      </c>
      <c r="C1667" t="s">
        <v>5863</v>
      </c>
      <c r="D1667" t="s">
        <v>6451</v>
      </c>
      <c r="E1667" t="s">
        <v>6278</v>
      </c>
      <c r="H1667" t="s">
        <v>4284</v>
      </c>
    </row>
    <row r="1668" spans="1:8">
      <c r="A1668">
        <v>11007045</v>
      </c>
      <c r="B1668" t="s">
        <v>5408</v>
      </c>
      <c r="C1668" t="s">
        <v>5865</v>
      </c>
      <c r="D1668" t="s">
        <v>6451</v>
      </c>
      <c r="E1668" t="s">
        <v>6278</v>
      </c>
      <c r="H1668" t="s">
        <v>4284</v>
      </c>
    </row>
    <row r="1669" spans="1:8">
      <c r="A1669">
        <v>11007043</v>
      </c>
      <c r="B1669" t="s">
        <v>5409</v>
      </c>
      <c r="C1669" t="s">
        <v>1180</v>
      </c>
      <c r="D1669" t="s">
        <v>6452</v>
      </c>
      <c r="E1669" t="s">
        <v>6278</v>
      </c>
      <c r="H1669" t="s">
        <v>4284</v>
      </c>
    </row>
    <row r="1670" spans="1:8">
      <c r="A1670">
        <v>11007041</v>
      </c>
      <c r="B1670" t="s">
        <v>5410</v>
      </c>
      <c r="C1670" t="s">
        <v>5866</v>
      </c>
      <c r="D1670" t="s">
        <v>6451</v>
      </c>
      <c r="E1670" t="s">
        <v>6278</v>
      </c>
      <c r="H1670" t="s">
        <v>4284</v>
      </c>
    </row>
    <row r="1671" spans="1:8">
      <c r="A1671">
        <v>11007039</v>
      </c>
      <c r="B1671" t="s">
        <v>5411</v>
      </c>
      <c r="C1671" t="s">
        <v>5868</v>
      </c>
      <c r="D1671" t="s">
        <v>6451</v>
      </c>
      <c r="E1671" t="s">
        <v>6278</v>
      </c>
      <c r="H1671" t="s">
        <v>4284</v>
      </c>
    </row>
    <row r="1672" spans="1:8">
      <c r="A1672" t="s">
        <v>4604</v>
      </c>
      <c r="B1672" t="s">
        <v>5412</v>
      </c>
      <c r="C1672" t="s">
        <v>1030</v>
      </c>
      <c r="D1672" t="s">
        <v>6451</v>
      </c>
      <c r="E1672" t="s">
        <v>6278</v>
      </c>
      <c r="H1672" t="s">
        <v>4284</v>
      </c>
    </row>
    <row r="1673" spans="1:8">
      <c r="A1673" t="s">
        <v>4604</v>
      </c>
      <c r="B1673" t="s">
        <v>5413</v>
      </c>
      <c r="C1673" t="s">
        <v>5869</v>
      </c>
      <c r="D1673" t="s">
        <v>6451</v>
      </c>
      <c r="E1673" t="s">
        <v>6278</v>
      </c>
      <c r="H1673" t="s">
        <v>4284</v>
      </c>
    </row>
    <row r="1674" spans="1:8">
      <c r="A1674" t="s">
        <v>4604</v>
      </c>
      <c r="B1674" t="s">
        <v>5414</v>
      </c>
      <c r="C1674" t="s">
        <v>1032</v>
      </c>
      <c r="D1674" t="s">
        <v>6451</v>
      </c>
      <c r="E1674" t="s">
        <v>6278</v>
      </c>
      <c r="H1674" t="s">
        <v>4284</v>
      </c>
    </row>
    <row r="1675" spans="1:8">
      <c r="A1675" t="s">
        <v>4604</v>
      </c>
      <c r="B1675" t="s">
        <v>5415</v>
      </c>
      <c r="C1675" t="s">
        <v>5870</v>
      </c>
      <c r="D1675" t="s">
        <v>6461</v>
      </c>
      <c r="E1675" t="s">
        <v>6282</v>
      </c>
      <c r="H1675" t="s">
        <v>4284</v>
      </c>
    </row>
    <row r="1676" spans="1:8">
      <c r="A1676" t="s">
        <v>4604</v>
      </c>
      <c r="B1676" t="s">
        <v>5416</v>
      </c>
      <c r="C1676" t="s">
        <v>5871</v>
      </c>
      <c r="D1676" t="s">
        <v>6461</v>
      </c>
      <c r="E1676" t="s">
        <v>6282</v>
      </c>
      <c r="H1676" t="s">
        <v>4284</v>
      </c>
    </row>
    <row r="1677" spans="1:8">
      <c r="A1677" t="s">
        <v>4604</v>
      </c>
      <c r="B1677" t="s">
        <v>5417</v>
      </c>
      <c r="C1677" t="s">
        <v>5872</v>
      </c>
      <c r="D1677" t="s">
        <v>6461</v>
      </c>
      <c r="E1677" t="s">
        <v>6282</v>
      </c>
      <c r="H1677" t="s">
        <v>4284</v>
      </c>
    </row>
    <row r="1678" spans="1:8">
      <c r="A1678">
        <v>11007028</v>
      </c>
      <c r="B1678" t="s">
        <v>5418</v>
      </c>
      <c r="C1678" t="s">
        <v>5874</v>
      </c>
      <c r="D1678" t="s">
        <v>6456</v>
      </c>
      <c r="E1678" t="s">
        <v>6284</v>
      </c>
      <c r="H1678" t="s">
        <v>4284</v>
      </c>
    </row>
    <row r="1679" spans="1:8">
      <c r="A1679">
        <v>11007026</v>
      </c>
      <c r="B1679" t="s">
        <v>5419</v>
      </c>
      <c r="C1679" t="s">
        <v>5875</v>
      </c>
      <c r="D1679" t="s">
        <v>6456</v>
      </c>
      <c r="E1679" t="s">
        <v>6284</v>
      </c>
      <c r="H1679" t="s">
        <v>4284</v>
      </c>
    </row>
    <row r="1680" spans="1:8">
      <c r="A1680" t="s">
        <v>4604</v>
      </c>
      <c r="B1680" t="s">
        <v>5420</v>
      </c>
      <c r="C1680" t="s">
        <v>1033</v>
      </c>
      <c r="D1680" t="s">
        <v>6456</v>
      </c>
      <c r="E1680" t="s">
        <v>6284</v>
      </c>
      <c r="H1680" t="s">
        <v>4284</v>
      </c>
    </row>
    <row r="1681" spans="1:8">
      <c r="A1681" t="s">
        <v>4604</v>
      </c>
      <c r="B1681" t="s">
        <v>5421</v>
      </c>
      <c r="C1681" t="s">
        <v>1034</v>
      </c>
      <c r="D1681" t="s">
        <v>6456</v>
      </c>
      <c r="E1681" t="s">
        <v>6284</v>
      </c>
      <c r="H1681" t="s">
        <v>4284</v>
      </c>
    </row>
    <row r="1682" spans="1:8">
      <c r="A1682">
        <v>11007021</v>
      </c>
      <c r="B1682" t="s">
        <v>5422</v>
      </c>
      <c r="C1682" t="s">
        <v>5876</v>
      </c>
      <c r="D1682" t="s">
        <v>6457</v>
      </c>
      <c r="E1682" t="s">
        <v>6288</v>
      </c>
      <c r="H1682" t="s">
        <v>4284</v>
      </c>
    </row>
    <row r="1683" spans="1:8">
      <c r="A1683">
        <v>11007019</v>
      </c>
      <c r="B1683" t="s">
        <v>5423</v>
      </c>
      <c r="C1683" t="s">
        <v>5877</v>
      </c>
      <c r="D1683" t="s">
        <v>6457</v>
      </c>
      <c r="E1683" t="s">
        <v>6288</v>
      </c>
      <c r="H1683" t="s">
        <v>4284</v>
      </c>
    </row>
    <row r="1684" spans="1:8">
      <c r="A1684">
        <v>11007017</v>
      </c>
      <c r="B1684" t="s">
        <v>5424</v>
      </c>
      <c r="C1684" t="s">
        <v>1112</v>
      </c>
      <c r="D1684" t="s">
        <v>6457</v>
      </c>
      <c r="E1684" t="s">
        <v>6288</v>
      </c>
      <c r="H1684" t="s">
        <v>4284</v>
      </c>
    </row>
    <row r="1685" spans="1:8">
      <c r="A1685" t="s">
        <v>4604</v>
      </c>
      <c r="B1685" t="s">
        <v>5425</v>
      </c>
      <c r="C1685" t="s">
        <v>5733</v>
      </c>
      <c r="D1685" t="s">
        <v>6457</v>
      </c>
      <c r="E1685" t="s">
        <v>6288</v>
      </c>
      <c r="H1685" t="s">
        <v>4284</v>
      </c>
    </row>
    <row r="1686" spans="1:8">
      <c r="A1686" t="s">
        <v>4604</v>
      </c>
      <c r="B1686" t="s">
        <v>5426</v>
      </c>
      <c r="C1686" t="s">
        <v>5878</v>
      </c>
      <c r="D1686" t="s">
        <v>6458</v>
      </c>
      <c r="E1686" t="s">
        <v>6292</v>
      </c>
      <c r="H1686" t="s">
        <v>4284</v>
      </c>
    </row>
    <row r="1687" spans="1:8">
      <c r="A1687" t="s">
        <v>4604</v>
      </c>
      <c r="B1687" t="s">
        <v>5427</v>
      </c>
      <c r="C1687" t="s">
        <v>5879</v>
      </c>
      <c r="D1687" t="s">
        <v>6458</v>
      </c>
      <c r="E1687" t="s">
        <v>6292</v>
      </c>
      <c r="H1687" t="s">
        <v>4284</v>
      </c>
    </row>
    <row r="1688" spans="1:8">
      <c r="A1688" t="s">
        <v>4604</v>
      </c>
      <c r="B1688" t="s">
        <v>5428</v>
      </c>
      <c r="C1688" t="s">
        <v>5880</v>
      </c>
      <c r="D1688" t="s">
        <v>6458</v>
      </c>
      <c r="E1688" t="s">
        <v>6292</v>
      </c>
      <c r="H1688" t="s">
        <v>4284</v>
      </c>
    </row>
    <row r="1689" spans="1:8">
      <c r="A1689">
        <v>11007009</v>
      </c>
      <c r="B1689" t="s">
        <v>5429</v>
      </c>
      <c r="C1689" t="s">
        <v>5882</v>
      </c>
      <c r="D1689" t="s">
        <v>6458</v>
      </c>
      <c r="E1689" t="s">
        <v>6292</v>
      </c>
      <c r="H1689" t="s">
        <v>4284</v>
      </c>
    </row>
    <row r="1690" spans="1:8">
      <c r="A1690" t="s">
        <v>4604</v>
      </c>
      <c r="B1690" t="s">
        <v>5430</v>
      </c>
      <c r="C1690" t="s">
        <v>5884</v>
      </c>
      <c r="D1690" t="s">
        <v>6458</v>
      </c>
      <c r="E1690" t="s">
        <v>6292</v>
      </c>
      <c r="H1690" t="s">
        <v>4284</v>
      </c>
    </row>
    <row r="1691" spans="1:8">
      <c r="A1691">
        <v>11007005</v>
      </c>
      <c r="B1691" t="s">
        <v>5431</v>
      </c>
      <c r="C1691" t="s">
        <v>1311</v>
      </c>
      <c r="D1691" t="s">
        <v>6458</v>
      </c>
      <c r="E1691" t="s">
        <v>6292</v>
      </c>
      <c r="H1691" t="s">
        <v>4284</v>
      </c>
    </row>
    <row r="1692" spans="1:8">
      <c r="A1692" t="s">
        <v>4604</v>
      </c>
      <c r="B1692" t="s">
        <v>5432</v>
      </c>
      <c r="C1692" t="s">
        <v>1089</v>
      </c>
      <c r="D1692" t="s">
        <v>6458</v>
      </c>
      <c r="E1692" t="s">
        <v>6292</v>
      </c>
      <c r="H1692" t="s">
        <v>4284</v>
      </c>
    </row>
    <row r="1693" spans="1:8">
      <c r="A1693">
        <v>11007002</v>
      </c>
      <c r="B1693" t="s">
        <v>5433</v>
      </c>
      <c r="C1693" t="s">
        <v>5829</v>
      </c>
      <c r="D1693" t="s">
        <v>6458</v>
      </c>
      <c r="E1693" t="s">
        <v>6292</v>
      </c>
      <c r="H1693" t="s">
        <v>4284</v>
      </c>
    </row>
    <row r="1694" spans="1:8">
      <c r="A1694">
        <v>11006998</v>
      </c>
      <c r="B1694" t="s">
        <v>5434</v>
      </c>
      <c r="C1694" t="s">
        <v>1116</v>
      </c>
      <c r="D1694" t="s">
        <v>6459</v>
      </c>
      <c r="E1694" t="s">
        <v>6296</v>
      </c>
      <c r="H1694" t="s">
        <v>4284</v>
      </c>
    </row>
    <row r="1695" spans="1:8">
      <c r="A1695" t="s">
        <v>4604</v>
      </c>
      <c r="B1695" t="s">
        <v>5435</v>
      </c>
      <c r="C1695" t="s">
        <v>5886</v>
      </c>
      <c r="D1695" t="s">
        <v>6442</v>
      </c>
      <c r="E1695" t="s">
        <v>6266</v>
      </c>
      <c r="H1695" t="s">
        <v>4284</v>
      </c>
    </row>
    <row r="1696" spans="1:8">
      <c r="A1696" t="s">
        <v>4604</v>
      </c>
      <c r="B1696" t="s">
        <v>5436</v>
      </c>
      <c r="C1696" t="s">
        <v>5887</v>
      </c>
      <c r="D1696" t="s">
        <v>6442</v>
      </c>
      <c r="E1696" t="s">
        <v>6266</v>
      </c>
      <c r="H1696" t="s">
        <v>4284</v>
      </c>
    </row>
    <row r="1697" spans="1:8">
      <c r="A1697" t="s">
        <v>4604</v>
      </c>
      <c r="B1697" t="s">
        <v>5437</v>
      </c>
      <c r="C1697" t="s">
        <v>5888</v>
      </c>
      <c r="D1697" t="s">
        <v>6458</v>
      </c>
      <c r="E1697" t="s">
        <v>6292</v>
      </c>
      <c r="H1697" t="s">
        <v>4284</v>
      </c>
    </row>
    <row r="1698" spans="1:8">
      <c r="A1698" t="s">
        <v>4604</v>
      </c>
      <c r="B1698" t="s">
        <v>5438</v>
      </c>
      <c r="C1698" t="s">
        <v>5888</v>
      </c>
      <c r="D1698" t="s">
        <v>6458</v>
      </c>
      <c r="E1698" t="s">
        <v>6292</v>
      </c>
      <c r="H1698" t="s">
        <v>4284</v>
      </c>
    </row>
    <row r="1699" spans="1:8">
      <c r="A1699" t="s">
        <v>4604</v>
      </c>
      <c r="B1699" t="s">
        <v>5439</v>
      </c>
      <c r="C1699" t="s">
        <v>5889</v>
      </c>
      <c r="D1699" t="s">
        <v>6458</v>
      </c>
      <c r="E1699" t="s">
        <v>6292</v>
      </c>
      <c r="H1699" t="s">
        <v>4284</v>
      </c>
    </row>
    <row r="1700" spans="1:8">
      <c r="A1700" t="s">
        <v>4604</v>
      </c>
      <c r="B1700" t="s">
        <v>5440</v>
      </c>
      <c r="C1700" t="s">
        <v>1302</v>
      </c>
      <c r="D1700" t="s">
        <v>6458</v>
      </c>
      <c r="E1700" t="s">
        <v>6292</v>
      </c>
      <c r="H1700" t="s">
        <v>4284</v>
      </c>
    </row>
    <row r="1701" spans="1:8">
      <c r="A1701" t="s">
        <v>4604</v>
      </c>
      <c r="B1701" t="s">
        <v>5441</v>
      </c>
      <c r="C1701" t="s">
        <v>5890</v>
      </c>
      <c r="D1701" t="s">
        <v>6458</v>
      </c>
      <c r="E1701" t="s">
        <v>6292</v>
      </c>
      <c r="H1701" t="s">
        <v>4284</v>
      </c>
    </row>
    <row r="1702" spans="1:8">
      <c r="A1702" t="s">
        <v>4604</v>
      </c>
      <c r="B1702" t="s">
        <v>5442</v>
      </c>
      <c r="C1702" t="s">
        <v>5891</v>
      </c>
      <c r="D1702" t="s">
        <v>6451</v>
      </c>
      <c r="E1702" t="s">
        <v>6278</v>
      </c>
      <c r="H1702" t="s">
        <v>4284</v>
      </c>
    </row>
    <row r="1703" spans="1:8">
      <c r="A1703" t="s">
        <v>4604</v>
      </c>
      <c r="B1703" t="s">
        <v>5443</v>
      </c>
      <c r="C1703" t="s">
        <v>1182</v>
      </c>
      <c r="D1703" t="s">
        <v>6451</v>
      </c>
      <c r="E1703" t="s">
        <v>6278</v>
      </c>
      <c r="H1703" t="s">
        <v>4284</v>
      </c>
    </row>
    <row r="1704" spans="1:8">
      <c r="A1704" t="s">
        <v>4604</v>
      </c>
      <c r="B1704" t="s">
        <v>5444</v>
      </c>
      <c r="C1704" t="s">
        <v>5892</v>
      </c>
      <c r="D1704" t="s">
        <v>6451</v>
      </c>
      <c r="E1704" t="s">
        <v>6278</v>
      </c>
      <c r="H1704" t="s">
        <v>4284</v>
      </c>
    </row>
    <row r="1705" spans="1:8">
      <c r="A1705" t="s">
        <v>4604</v>
      </c>
      <c r="B1705" t="s">
        <v>5445</v>
      </c>
      <c r="C1705" t="s">
        <v>5893</v>
      </c>
      <c r="D1705" t="s">
        <v>6451</v>
      </c>
      <c r="E1705" t="s">
        <v>6278</v>
      </c>
      <c r="H1705" t="s">
        <v>4284</v>
      </c>
    </row>
    <row r="1706" spans="1:8">
      <c r="A1706" t="s">
        <v>4604</v>
      </c>
      <c r="B1706" t="s">
        <v>5446</v>
      </c>
      <c r="C1706" t="s">
        <v>5894</v>
      </c>
      <c r="D1706" t="s">
        <v>6451</v>
      </c>
      <c r="E1706" t="s">
        <v>6278</v>
      </c>
      <c r="H1706" t="s">
        <v>4284</v>
      </c>
    </row>
    <row r="1707" spans="1:8">
      <c r="A1707" t="s">
        <v>4604</v>
      </c>
      <c r="B1707" t="s">
        <v>5447</v>
      </c>
      <c r="C1707" t="s">
        <v>1184</v>
      </c>
      <c r="D1707" t="s">
        <v>6451</v>
      </c>
      <c r="E1707" t="s">
        <v>6278</v>
      </c>
      <c r="H1707" t="s">
        <v>4284</v>
      </c>
    </row>
    <row r="1708" spans="1:8">
      <c r="A1708" t="s">
        <v>4604</v>
      </c>
      <c r="B1708" t="s">
        <v>5448</v>
      </c>
      <c r="C1708" t="s">
        <v>5895</v>
      </c>
      <c r="D1708" t="s">
        <v>6452</v>
      </c>
      <c r="E1708" t="s">
        <v>6278</v>
      </c>
      <c r="H1708" t="s">
        <v>4284</v>
      </c>
    </row>
    <row r="1709" spans="1:8">
      <c r="A1709" t="s">
        <v>4604</v>
      </c>
      <c r="B1709" t="s">
        <v>5449</v>
      </c>
      <c r="C1709" t="s">
        <v>5896</v>
      </c>
      <c r="D1709" t="s">
        <v>6449</v>
      </c>
      <c r="E1709" t="s">
        <v>6276</v>
      </c>
      <c r="H1709" t="s">
        <v>4284</v>
      </c>
    </row>
    <row r="1710" spans="1:8">
      <c r="A1710" t="s">
        <v>4604</v>
      </c>
      <c r="B1710" t="s">
        <v>5450</v>
      </c>
      <c r="C1710" t="s">
        <v>5897</v>
      </c>
      <c r="D1710" t="s">
        <v>6449</v>
      </c>
      <c r="E1710" t="s">
        <v>6276</v>
      </c>
      <c r="H1710" t="s">
        <v>4284</v>
      </c>
    </row>
    <row r="1711" spans="1:8">
      <c r="A1711" t="s">
        <v>4604</v>
      </c>
      <c r="B1711" t="s">
        <v>5451</v>
      </c>
      <c r="C1711" t="s">
        <v>5898</v>
      </c>
      <c r="D1711" t="s">
        <v>6449</v>
      </c>
      <c r="E1711" t="s">
        <v>6276</v>
      </c>
      <c r="H1711" t="s">
        <v>4284</v>
      </c>
    </row>
    <row r="1712" spans="1:8">
      <c r="A1712">
        <v>11006984</v>
      </c>
      <c r="B1712" t="s">
        <v>5452</v>
      </c>
      <c r="C1712" t="s">
        <v>1215</v>
      </c>
      <c r="D1712" t="s">
        <v>6449</v>
      </c>
      <c r="E1712" t="s">
        <v>6276</v>
      </c>
      <c r="H1712" t="s">
        <v>4284</v>
      </c>
    </row>
    <row r="1713" spans="1:8">
      <c r="A1713">
        <v>11006982</v>
      </c>
      <c r="B1713" t="s">
        <v>5453</v>
      </c>
      <c r="C1713" t="s">
        <v>5899</v>
      </c>
      <c r="D1713" t="s">
        <v>6459</v>
      </c>
      <c r="E1713" t="s">
        <v>6296</v>
      </c>
      <c r="H1713" t="s">
        <v>4284</v>
      </c>
    </row>
    <row r="1714" spans="1:8">
      <c r="A1714" t="s">
        <v>4604</v>
      </c>
      <c r="B1714" t="s">
        <v>5454</v>
      </c>
      <c r="C1714" t="s">
        <v>5881</v>
      </c>
      <c r="D1714" t="s">
        <v>6460</v>
      </c>
      <c r="E1714" t="s">
        <v>6292</v>
      </c>
      <c r="H1714" t="s">
        <v>4284</v>
      </c>
    </row>
    <row r="1715" spans="1:8">
      <c r="A1715" t="s">
        <v>4604</v>
      </c>
      <c r="B1715" t="s">
        <v>5455</v>
      </c>
      <c r="C1715" t="s">
        <v>1195</v>
      </c>
      <c r="D1715" t="s">
        <v>6222</v>
      </c>
      <c r="E1715" t="s">
        <v>6223</v>
      </c>
      <c r="H1715" t="s">
        <v>4284</v>
      </c>
    </row>
    <row r="1716" spans="1:8">
      <c r="A1716">
        <v>11007527</v>
      </c>
      <c r="B1716" t="s">
        <v>5456</v>
      </c>
      <c r="C1716" t="s">
        <v>1196</v>
      </c>
      <c r="D1716" t="s">
        <v>6222</v>
      </c>
      <c r="E1716" t="s">
        <v>6223</v>
      </c>
      <c r="H1716" t="s">
        <v>4284</v>
      </c>
    </row>
    <row r="1717" spans="1:8">
      <c r="A1717">
        <v>11007525</v>
      </c>
      <c r="B1717" t="s">
        <v>5457</v>
      </c>
      <c r="C1717" t="s">
        <v>1177</v>
      </c>
      <c r="D1717" t="s">
        <v>6224</v>
      </c>
      <c r="E1717" t="s">
        <v>6225</v>
      </c>
      <c r="H1717" t="s">
        <v>4284</v>
      </c>
    </row>
    <row r="1718" spans="1:8">
      <c r="A1718">
        <v>11007522</v>
      </c>
      <c r="B1718" t="s">
        <v>5458</v>
      </c>
      <c r="C1718" t="s">
        <v>1081</v>
      </c>
      <c r="D1718" t="s">
        <v>6224</v>
      </c>
      <c r="E1718" t="s">
        <v>6225</v>
      </c>
      <c r="H1718" t="s">
        <v>4284</v>
      </c>
    </row>
    <row r="1719" spans="1:8">
      <c r="A1719" t="s">
        <v>4604</v>
      </c>
      <c r="B1719" t="s">
        <v>5459</v>
      </c>
      <c r="C1719" t="s">
        <v>5900</v>
      </c>
      <c r="D1719" t="s">
        <v>6226</v>
      </c>
      <c r="E1719" t="s">
        <v>6227</v>
      </c>
      <c r="H1719" t="s">
        <v>4284</v>
      </c>
    </row>
    <row r="1720" spans="1:8">
      <c r="A1720">
        <v>11007517</v>
      </c>
      <c r="B1720" t="s">
        <v>5460</v>
      </c>
      <c r="C1720" t="s">
        <v>5901</v>
      </c>
      <c r="D1720" t="s">
        <v>6226</v>
      </c>
      <c r="E1720" t="s">
        <v>6227</v>
      </c>
      <c r="H1720" t="s">
        <v>4284</v>
      </c>
    </row>
    <row r="1721" spans="1:8">
      <c r="A1721" t="s">
        <v>4604</v>
      </c>
      <c r="B1721" t="s">
        <v>5461</v>
      </c>
      <c r="C1721" t="s">
        <v>1223</v>
      </c>
      <c r="D1721" t="s">
        <v>6326</v>
      </c>
      <c r="E1721" t="s">
        <v>6327</v>
      </c>
      <c r="H1721" t="s">
        <v>4284</v>
      </c>
    </row>
    <row r="1722" spans="1:8">
      <c r="A1722">
        <v>11006220</v>
      </c>
      <c r="B1722" t="s">
        <v>5462</v>
      </c>
      <c r="C1722" t="s">
        <v>1224</v>
      </c>
      <c r="D1722" t="s">
        <v>6326</v>
      </c>
      <c r="E1722" t="s">
        <v>6327</v>
      </c>
      <c r="H1722" t="s">
        <v>4284</v>
      </c>
    </row>
    <row r="1723" spans="1:8">
      <c r="A1723">
        <v>11006218</v>
      </c>
      <c r="B1723" t="s">
        <v>5463</v>
      </c>
      <c r="C1723" t="s">
        <v>1269</v>
      </c>
      <c r="D1723" t="s">
        <v>6328</v>
      </c>
      <c r="E1723" t="s">
        <v>6329</v>
      </c>
      <c r="H1723" t="s">
        <v>4284</v>
      </c>
    </row>
    <row r="1724" spans="1:8">
      <c r="A1724">
        <v>11006216</v>
      </c>
      <c r="B1724" t="s">
        <v>5464</v>
      </c>
      <c r="C1724" t="s">
        <v>5902</v>
      </c>
      <c r="D1724" t="s">
        <v>6328</v>
      </c>
      <c r="E1724" t="s">
        <v>6329</v>
      </c>
      <c r="H1724" t="s">
        <v>4284</v>
      </c>
    </row>
    <row r="1725" spans="1:8">
      <c r="A1725" t="s">
        <v>4604</v>
      </c>
      <c r="B1725" t="s">
        <v>5465</v>
      </c>
      <c r="C1725" t="s">
        <v>1195</v>
      </c>
      <c r="D1725" t="s">
        <v>6222</v>
      </c>
      <c r="E1725" t="s">
        <v>6223</v>
      </c>
      <c r="H1725" t="s">
        <v>4284</v>
      </c>
    </row>
    <row r="1726" spans="1:8">
      <c r="A1726" t="s">
        <v>4604</v>
      </c>
      <c r="B1726" t="s">
        <v>5466</v>
      </c>
      <c r="C1726" t="s">
        <v>1196</v>
      </c>
      <c r="D1726" t="s">
        <v>6222</v>
      </c>
      <c r="E1726" t="s">
        <v>6223</v>
      </c>
      <c r="H1726" t="s">
        <v>4284</v>
      </c>
    </row>
    <row r="1727" spans="1:8">
      <c r="A1727">
        <v>11007524</v>
      </c>
      <c r="B1727" t="s">
        <v>5467</v>
      </c>
      <c r="C1727" t="s">
        <v>1177</v>
      </c>
      <c r="D1727" t="s">
        <v>6224</v>
      </c>
      <c r="E1727" t="s">
        <v>6225</v>
      </c>
      <c r="H1727" t="s">
        <v>4284</v>
      </c>
    </row>
    <row r="1728" spans="1:8">
      <c r="A1728">
        <v>11007521</v>
      </c>
      <c r="B1728" t="s">
        <v>5468</v>
      </c>
      <c r="C1728" t="s">
        <v>1081</v>
      </c>
      <c r="D1728" t="s">
        <v>6224</v>
      </c>
      <c r="E1728" t="s">
        <v>6225</v>
      </c>
      <c r="H1728" t="s">
        <v>4284</v>
      </c>
    </row>
    <row r="1729" spans="1:8">
      <c r="A1729" t="s">
        <v>4604</v>
      </c>
      <c r="B1729" t="s">
        <v>5469</v>
      </c>
      <c r="C1729" t="s">
        <v>5900</v>
      </c>
      <c r="D1729" t="s">
        <v>6226</v>
      </c>
      <c r="E1729" t="s">
        <v>6227</v>
      </c>
      <c r="H1729" t="s">
        <v>4284</v>
      </c>
    </row>
    <row r="1730" spans="1:8">
      <c r="A1730" t="s">
        <v>4604</v>
      </c>
      <c r="B1730" t="s">
        <v>5470</v>
      </c>
      <c r="C1730" t="s">
        <v>5901</v>
      </c>
      <c r="D1730" t="s">
        <v>6226</v>
      </c>
      <c r="E1730" t="s">
        <v>6227</v>
      </c>
      <c r="H1730" t="s">
        <v>4284</v>
      </c>
    </row>
    <row r="1731" spans="1:8">
      <c r="A1731" t="s">
        <v>4604</v>
      </c>
      <c r="B1731" t="s">
        <v>5471</v>
      </c>
      <c r="C1731" t="s">
        <v>1223</v>
      </c>
      <c r="D1731" t="s">
        <v>6326</v>
      </c>
      <c r="E1731" t="s">
        <v>6327</v>
      </c>
      <c r="H1731" t="s">
        <v>4284</v>
      </c>
    </row>
    <row r="1732" spans="1:8">
      <c r="A1732" t="s">
        <v>4604</v>
      </c>
      <c r="B1732" t="s">
        <v>5472</v>
      </c>
      <c r="C1732" t="s">
        <v>1224</v>
      </c>
      <c r="D1732" t="s">
        <v>6326</v>
      </c>
      <c r="E1732" t="s">
        <v>6327</v>
      </c>
      <c r="H1732" t="s">
        <v>4284</v>
      </c>
    </row>
    <row r="1733" spans="1:8">
      <c r="A1733" t="s">
        <v>4604</v>
      </c>
      <c r="B1733" t="s">
        <v>5473</v>
      </c>
      <c r="C1733" t="s">
        <v>1269</v>
      </c>
      <c r="D1733" t="s">
        <v>6328</v>
      </c>
      <c r="E1733" t="s">
        <v>6329</v>
      </c>
      <c r="H1733" t="s">
        <v>4284</v>
      </c>
    </row>
    <row r="1734" spans="1:8">
      <c r="A1734" t="s">
        <v>4604</v>
      </c>
      <c r="B1734" t="s">
        <v>5474</v>
      </c>
      <c r="C1734" t="s">
        <v>5902</v>
      </c>
      <c r="D1734" t="s">
        <v>6328</v>
      </c>
      <c r="E1734" t="s">
        <v>6329</v>
      </c>
      <c r="H1734" t="s">
        <v>4284</v>
      </c>
    </row>
    <row r="1735" spans="1:8">
      <c r="A1735">
        <v>11006857</v>
      </c>
      <c r="B1735" t="s">
        <v>5475</v>
      </c>
      <c r="C1735" t="s">
        <v>5903</v>
      </c>
      <c r="D1735" t="e">
        <v>#N/A</v>
      </c>
      <c r="E1735" t="e">
        <v>#N/A</v>
      </c>
      <c r="H1735" t="s">
        <v>4284</v>
      </c>
    </row>
    <row r="1736" spans="1:8">
      <c r="A1736">
        <v>11001681</v>
      </c>
      <c r="B1736" t="s">
        <v>5476</v>
      </c>
      <c r="C1736" t="s">
        <v>1217</v>
      </c>
      <c r="D1736" t="s">
        <v>6462</v>
      </c>
      <c r="E1736" t="s">
        <v>6463</v>
      </c>
      <c r="H1736" t="s">
        <v>4284</v>
      </c>
    </row>
    <row r="1737" spans="1:8">
      <c r="A1737">
        <v>11001667</v>
      </c>
      <c r="B1737" t="s">
        <v>5477</v>
      </c>
      <c r="C1737" t="s">
        <v>1149</v>
      </c>
      <c r="D1737" t="s">
        <v>6464</v>
      </c>
      <c r="E1737" t="s">
        <v>6465</v>
      </c>
      <c r="H1737" t="s">
        <v>4284</v>
      </c>
    </row>
    <row r="1738" spans="1:8">
      <c r="A1738">
        <v>11009554</v>
      </c>
      <c r="B1738" t="s">
        <v>5478</v>
      </c>
      <c r="C1738" t="s">
        <v>5904</v>
      </c>
      <c r="D1738" t="s">
        <v>6466</v>
      </c>
      <c r="E1738" t="s">
        <v>6467</v>
      </c>
      <c r="H1738" t="s">
        <v>4284</v>
      </c>
    </row>
    <row r="1739" spans="1:8">
      <c r="A1739">
        <v>11006232</v>
      </c>
      <c r="B1739" t="s">
        <v>5479</v>
      </c>
      <c r="C1739" t="s">
        <v>5905</v>
      </c>
      <c r="D1739" t="s">
        <v>6468</v>
      </c>
      <c r="E1739" t="s">
        <v>6469</v>
      </c>
      <c r="H1739" t="s">
        <v>4284</v>
      </c>
    </row>
    <row r="1740" spans="1:8">
      <c r="A1740">
        <v>11006228</v>
      </c>
      <c r="B1740" t="s">
        <v>5480</v>
      </c>
      <c r="C1740" t="s">
        <v>5817</v>
      </c>
      <c r="D1740" t="s">
        <v>6470</v>
      </c>
      <c r="E1740" t="s">
        <v>6325</v>
      </c>
      <c r="H1740" t="s">
        <v>4284</v>
      </c>
    </row>
    <row r="1741" spans="1:8">
      <c r="A1741">
        <v>11006224</v>
      </c>
      <c r="B1741" t="s">
        <v>5481</v>
      </c>
      <c r="C1741" t="s">
        <v>1308</v>
      </c>
      <c r="D1741" t="s">
        <v>6470</v>
      </c>
      <c r="E1741" t="s">
        <v>6325</v>
      </c>
      <c r="H1741" t="s">
        <v>4284</v>
      </c>
    </row>
    <row r="1742" spans="1:8">
      <c r="A1742">
        <v>11005604</v>
      </c>
      <c r="B1742" t="s">
        <v>5482</v>
      </c>
      <c r="C1742" t="s">
        <v>5906</v>
      </c>
      <c r="D1742" t="s">
        <v>6471</v>
      </c>
      <c r="E1742" t="s">
        <v>6373</v>
      </c>
      <c r="H1742" t="s">
        <v>4284</v>
      </c>
    </row>
    <row r="1743" spans="1:8">
      <c r="A1743">
        <v>11005599</v>
      </c>
      <c r="B1743" t="s">
        <v>5483</v>
      </c>
      <c r="C1743" t="s">
        <v>5907</v>
      </c>
      <c r="D1743" t="s">
        <v>6472</v>
      </c>
      <c r="E1743" t="s">
        <v>6375</v>
      </c>
      <c r="H1743" t="s">
        <v>4284</v>
      </c>
    </row>
    <row r="1744" spans="1:8">
      <c r="A1744">
        <v>11005594</v>
      </c>
      <c r="B1744" t="s">
        <v>5484</v>
      </c>
      <c r="C1744" t="s">
        <v>5908</v>
      </c>
      <c r="D1744" t="s">
        <v>6473</v>
      </c>
      <c r="E1744" t="s">
        <v>6377</v>
      </c>
      <c r="H1744" t="s">
        <v>4284</v>
      </c>
    </row>
    <row r="1745" spans="1:8">
      <c r="A1745" t="s">
        <v>4604</v>
      </c>
      <c r="B1745" t="s">
        <v>5485</v>
      </c>
      <c r="C1745" t="s">
        <v>5909</v>
      </c>
      <c r="D1745" t="s">
        <v>6474</v>
      </c>
      <c r="E1745" t="s">
        <v>6379</v>
      </c>
      <c r="H1745" t="s">
        <v>4284</v>
      </c>
    </row>
    <row r="1746" spans="1:8">
      <c r="A1746">
        <v>11005587</v>
      </c>
      <c r="B1746" t="s">
        <v>5486</v>
      </c>
      <c r="C1746" t="s">
        <v>5910</v>
      </c>
      <c r="D1746" t="s">
        <v>6475</v>
      </c>
      <c r="E1746" t="s">
        <v>6373</v>
      </c>
      <c r="H1746" t="s">
        <v>4284</v>
      </c>
    </row>
    <row r="1747" spans="1:8">
      <c r="A1747">
        <v>11005586</v>
      </c>
      <c r="B1747" t="s">
        <v>5487</v>
      </c>
      <c r="C1747" t="s">
        <v>1130</v>
      </c>
      <c r="D1747" t="s">
        <v>6476</v>
      </c>
      <c r="E1747" t="s">
        <v>6477</v>
      </c>
      <c r="H1747" t="s">
        <v>4284</v>
      </c>
    </row>
    <row r="1748" spans="1:8">
      <c r="A1748" t="s">
        <v>4604</v>
      </c>
      <c r="B1748" t="s">
        <v>5488</v>
      </c>
      <c r="C1748" t="s">
        <v>5829</v>
      </c>
      <c r="D1748" t="s">
        <v>6478</v>
      </c>
      <c r="E1748" t="s">
        <v>6479</v>
      </c>
      <c r="H1748" t="s">
        <v>4284</v>
      </c>
    </row>
    <row r="1749" spans="1:8">
      <c r="A1749">
        <v>11007180</v>
      </c>
      <c r="B1749" t="s">
        <v>5489</v>
      </c>
      <c r="C1749" t="s">
        <v>5911</v>
      </c>
      <c r="D1749" t="s">
        <v>6478</v>
      </c>
      <c r="E1749" t="s">
        <v>6479</v>
      </c>
      <c r="H1749" t="s">
        <v>4284</v>
      </c>
    </row>
    <row r="1750" spans="1:8">
      <c r="A1750">
        <v>11006260</v>
      </c>
      <c r="B1750" t="s">
        <v>5490</v>
      </c>
      <c r="C1750" t="s">
        <v>5802</v>
      </c>
      <c r="D1750" t="s">
        <v>6480</v>
      </c>
      <c r="E1750" t="s">
        <v>6317</v>
      </c>
      <c r="H1750" t="s">
        <v>4284</v>
      </c>
    </row>
    <row r="1751" spans="1:8">
      <c r="A1751">
        <v>11005199</v>
      </c>
      <c r="B1751" t="s">
        <v>5491</v>
      </c>
      <c r="C1751" t="s">
        <v>965</v>
      </c>
      <c r="D1751" t="s">
        <v>6481</v>
      </c>
      <c r="E1751" t="s">
        <v>6387</v>
      </c>
      <c r="H1751" t="s">
        <v>4284</v>
      </c>
    </row>
    <row r="1752" spans="1:8">
      <c r="A1752" t="s">
        <v>4604</v>
      </c>
      <c r="B1752" t="s">
        <v>5492</v>
      </c>
      <c r="C1752" t="s">
        <v>1019</v>
      </c>
      <c r="D1752" t="e">
        <v>#N/A</v>
      </c>
      <c r="E1752" t="e">
        <v>#N/A</v>
      </c>
      <c r="H1752" t="s">
        <v>4284</v>
      </c>
    </row>
    <row r="1753" spans="1:8">
      <c r="A1753">
        <v>11003205</v>
      </c>
      <c r="B1753" t="s">
        <v>5493</v>
      </c>
      <c r="C1753" t="s">
        <v>1054</v>
      </c>
      <c r="D1753" t="s">
        <v>6482</v>
      </c>
      <c r="E1753" t="s">
        <v>6483</v>
      </c>
      <c r="H1753" t="s">
        <v>4284</v>
      </c>
    </row>
    <row r="1754" spans="1:8">
      <c r="A1754" t="s">
        <v>4604</v>
      </c>
      <c r="B1754" t="s">
        <v>5494</v>
      </c>
      <c r="C1754" t="s">
        <v>5857</v>
      </c>
      <c r="D1754" t="e">
        <v>#N/A</v>
      </c>
      <c r="E1754" t="e">
        <v>#N/A</v>
      </c>
      <c r="H1754" t="s">
        <v>4284</v>
      </c>
    </row>
    <row r="1755" spans="1:8">
      <c r="A1755" t="s">
        <v>4604</v>
      </c>
      <c r="B1755" t="s">
        <v>5495</v>
      </c>
      <c r="C1755" t="s">
        <v>1310</v>
      </c>
      <c r="D1755" t="s">
        <v>6484</v>
      </c>
      <c r="E1755" t="s">
        <v>6485</v>
      </c>
      <c r="H1755" t="s">
        <v>4284</v>
      </c>
    </row>
    <row r="1756" spans="1:8">
      <c r="A1756">
        <v>11009492</v>
      </c>
      <c r="B1756" t="s">
        <v>5496</v>
      </c>
      <c r="C1756" t="s">
        <v>989</v>
      </c>
      <c r="D1756" t="s">
        <v>6486</v>
      </c>
      <c r="E1756" t="s">
        <v>6487</v>
      </c>
      <c r="H1756" t="s">
        <v>4284</v>
      </c>
    </row>
    <row r="1757" spans="1:8">
      <c r="A1757">
        <v>11005789</v>
      </c>
      <c r="B1757" t="s">
        <v>5497</v>
      </c>
      <c r="C1757" t="s">
        <v>982</v>
      </c>
      <c r="D1757" t="s">
        <v>6486</v>
      </c>
      <c r="E1757" t="s">
        <v>6487</v>
      </c>
      <c r="H1757" t="s">
        <v>4284</v>
      </c>
    </row>
    <row r="1758" spans="1:8">
      <c r="A1758">
        <v>11005787</v>
      </c>
      <c r="B1758" t="s">
        <v>5498</v>
      </c>
      <c r="C1758" t="s">
        <v>1202</v>
      </c>
      <c r="D1758" t="s">
        <v>6488</v>
      </c>
      <c r="E1758" t="s">
        <v>6361</v>
      </c>
      <c r="H1758" t="s">
        <v>4284</v>
      </c>
    </row>
    <row r="1759" spans="1:8">
      <c r="A1759">
        <v>11009490</v>
      </c>
      <c r="B1759" t="s">
        <v>5499</v>
      </c>
      <c r="C1759" t="s">
        <v>5912</v>
      </c>
      <c r="D1759" t="s">
        <v>6486</v>
      </c>
      <c r="E1759" t="s">
        <v>6487</v>
      </c>
      <c r="H1759" t="s">
        <v>4284</v>
      </c>
    </row>
    <row r="1760" spans="1:8">
      <c r="A1760">
        <v>11005782</v>
      </c>
      <c r="B1760" t="s">
        <v>5500</v>
      </c>
      <c r="C1760" t="s">
        <v>5913</v>
      </c>
      <c r="D1760" t="s">
        <v>6486</v>
      </c>
      <c r="E1760" t="s">
        <v>6487</v>
      </c>
      <c r="H1760" t="s">
        <v>4284</v>
      </c>
    </row>
    <row r="1761" spans="1:8">
      <c r="A1761">
        <v>11005780</v>
      </c>
      <c r="B1761" t="s">
        <v>5501</v>
      </c>
      <c r="C1761" t="s">
        <v>996</v>
      </c>
      <c r="D1761" t="s">
        <v>6489</v>
      </c>
      <c r="E1761" t="s">
        <v>6490</v>
      </c>
      <c r="H1761" t="s">
        <v>4284</v>
      </c>
    </row>
    <row r="1762" spans="1:8">
      <c r="A1762">
        <v>11005777</v>
      </c>
      <c r="B1762" t="s">
        <v>5502</v>
      </c>
      <c r="C1762" t="s">
        <v>997</v>
      </c>
      <c r="D1762" t="s">
        <v>6489</v>
      </c>
      <c r="E1762" t="s">
        <v>6490</v>
      </c>
      <c r="H1762" t="s">
        <v>4284</v>
      </c>
    </row>
    <row r="1763" spans="1:8">
      <c r="A1763">
        <v>11005731</v>
      </c>
      <c r="B1763" t="s">
        <v>5503</v>
      </c>
      <c r="C1763" t="s">
        <v>5914</v>
      </c>
      <c r="D1763" t="s">
        <v>6491</v>
      </c>
      <c r="E1763" t="s">
        <v>6492</v>
      </c>
      <c r="H1763" t="s">
        <v>4284</v>
      </c>
    </row>
    <row r="1764" spans="1:8">
      <c r="A1764" t="s">
        <v>4604</v>
      </c>
      <c r="B1764" t="s">
        <v>5504</v>
      </c>
      <c r="C1764" t="s">
        <v>5915</v>
      </c>
      <c r="D1764" t="s">
        <v>6491</v>
      </c>
      <c r="E1764" t="s">
        <v>6492</v>
      </c>
      <c r="H1764" t="s">
        <v>4284</v>
      </c>
    </row>
    <row r="1765" spans="1:8">
      <c r="A1765" t="s">
        <v>4604</v>
      </c>
      <c r="B1765" t="s">
        <v>5505</v>
      </c>
      <c r="C1765" t="s">
        <v>5849</v>
      </c>
      <c r="D1765" t="s">
        <v>6491</v>
      </c>
      <c r="E1765" t="s">
        <v>6492</v>
      </c>
      <c r="H1765" t="s">
        <v>4284</v>
      </c>
    </row>
    <row r="1766" spans="1:8">
      <c r="A1766" t="s">
        <v>4604</v>
      </c>
      <c r="B1766" t="s">
        <v>5506</v>
      </c>
      <c r="C1766" t="s">
        <v>5850</v>
      </c>
      <c r="D1766" t="s">
        <v>6491</v>
      </c>
      <c r="E1766" t="s">
        <v>6492</v>
      </c>
      <c r="H1766" t="s">
        <v>4284</v>
      </c>
    </row>
    <row r="1767" spans="1:8">
      <c r="A1767">
        <v>11005682</v>
      </c>
      <c r="B1767" t="s">
        <v>5507</v>
      </c>
      <c r="C1767" t="s">
        <v>5916</v>
      </c>
      <c r="D1767" t="s">
        <v>6493</v>
      </c>
      <c r="E1767" t="s">
        <v>6494</v>
      </c>
      <c r="H1767" t="s">
        <v>4284</v>
      </c>
    </row>
    <row r="1768" spans="1:8">
      <c r="A1768" t="s">
        <v>4604</v>
      </c>
      <c r="B1768" t="s">
        <v>5508</v>
      </c>
      <c r="C1768" t="s">
        <v>5917</v>
      </c>
      <c r="D1768" t="e">
        <v>#N/A</v>
      </c>
      <c r="E1768" t="e">
        <v>#N/A</v>
      </c>
      <c r="H1768" t="s">
        <v>4284</v>
      </c>
    </row>
    <row r="1769" spans="1:8">
      <c r="A1769">
        <v>11005681</v>
      </c>
      <c r="B1769" t="s">
        <v>5509</v>
      </c>
      <c r="C1769" t="s">
        <v>5863</v>
      </c>
      <c r="D1769" t="s">
        <v>6493</v>
      </c>
      <c r="E1769" t="s">
        <v>6494</v>
      </c>
      <c r="H1769" t="s">
        <v>4284</v>
      </c>
    </row>
    <row r="1770" spans="1:8">
      <c r="A1770" t="s">
        <v>4604</v>
      </c>
      <c r="B1770" t="s">
        <v>5510</v>
      </c>
      <c r="C1770" t="s">
        <v>5864</v>
      </c>
      <c r="D1770" t="e">
        <v>#N/A</v>
      </c>
      <c r="E1770" t="e">
        <v>#N/A</v>
      </c>
      <c r="H1770" t="s">
        <v>4284</v>
      </c>
    </row>
    <row r="1771" spans="1:8">
      <c r="A1771">
        <v>11005665</v>
      </c>
      <c r="B1771" t="s">
        <v>5511</v>
      </c>
      <c r="C1771" t="s">
        <v>5918</v>
      </c>
      <c r="D1771" t="s">
        <v>6495</v>
      </c>
      <c r="E1771" t="s">
        <v>6496</v>
      </c>
      <c r="H1771" t="s">
        <v>4284</v>
      </c>
    </row>
    <row r="1772" spans="1:8">
      <c r="A1772">
        <v>11005664</v>
      </c>
      <c r="B1772" t="s">
        <v>5512</v>
      </c>
      <c r="C1772" t="s">
        <v>5919</v>
      </c>
      <c r="D1772" t="s">
        <v>6495</v>
      </c>
      <c r="E1772" t="s">
        <v>6496</v>
      </c>
      <c r="H1772" t="s">
        <v>4284</v>
      </c>
    </row>
    <row r="1773" spans="1:8">
      <c r="A1773">
        <v>11005663</v>
      </c>
      <c r="B1773" t="s">
        <v>5513</v>
      </c>
      <c r="C1773" t="s">
        <v>5872</v>
      </c>
      <c r="D1773" t="s">
        <v>6495</v>
      </c>
      <c r="E1773" t="s">
        <v>6496</v>
      </c>
      <c r="H1773" t="s">
        <v>4284</v>
      </c>
    </row>
    <row r="1774" spans="1:8">
      <c r="A1774" t="s">
        <v>4604</v>
      </c>
      <c r="B1774" t="s">
        <v>5514</v>
      </c>
      <c r="C1774" t="s">
        <v>5920</v>
      </c>
      <c r="D1774" t="s">
        <v>6495</v>
      </c>
      <c r="E1774" t="s">
        <v>6496</v>
      </c>
      <c r="H1774" t="s">
        <v>4284</v>
      </c>
    </row>
    <row r="1775" spans="1:8">
      <c r="A1775" t="s">
        <v>4604</v>
      </c>
      <c r="B1775" t="s">
        <v>5515</v>
      </c>
      <c r="C1775" t="s">
        <v>5921</v>
      </c>
      <c r="D1775" t="s">
        <v>6497</v>
      </c>
      <c r="E1775" t="s">
        <v>6498</v>
      </c>
      <c r="H1775" t="s">
        <v>4284</v>
      </c>
    </row>
    <row r="1776" spans="1:8">
      <c r="A1776" t="s">
        <v>4604</v>
      </c>
      <c r="B1776" t="s">
        <v>5516</v>
      </c>
      <c r="C1776" t="s">
        <v>5922</v>
      </c>
      <c r="D1776" t="s">
        <v>6497</v>
      </c>
      <c r="E1776" t="s">
        <v>6498</v>
      </c>
      <c r="H1776" t="s">
        <v>4284</v>
      </c>
    </row>
    <row r="1777" spans="1:8">
      <c r="A1777" t="s">
        <v>4604</v>
      </c>
      <c r="B1777" t="s">
        <v>5517</v>
      </c>
      <c r="C1777" t="s">
        <v>5880</v>
      </c>
      <c r="D1777" t="s">
        <v>6497</v>
      </c>
      <c r="E1777" t="s">
        <v>6498</v>
      </c>
      <c r="H1777" t="s">
        <v>4284</v>
      </c>
    </row>
    <row r="1778" spans="1:8">
      <c r="A1778" t="s">
        <v>4604</v>
      </c>
      <c r="B1778" t="s">
        <v>5518</v>
      </c>
      <c r="C1778" t="s">
        <v>5881</v>
      </c>
      <c r="D1778" t="s">
        <v>6497</v>
      </c>
      <c r="E1778" t="s">
        <v>6498</v>
      </c>
      <c r="H1778" t="s">
        <v>4284</v>
      </c>
    </row>
    <row r="1779" spans="1:8">
      <c r="A1779" t="s">
        <v>4604</v>
      </c>
      <c r="B1779" t="s">
        <v>5519</v>
      </c>
      <c r="C1779" t="s">
        <v>5923</v>
      </c>
      <c r="D1779" t="s">
        <v>6491</v>
      </c>
      <c r="E1779" t="s">
        <v>6492</v>
      </c>
      <c r="H1779" t="s">
        <v>4284</v>
      </c>
    </row>
    <row r="1780" spans="1:8">
      <c r="A1780" t="s">
        <v>4604</v>
      </c>
      <c r="B1780" t="s">
        <v>5520</v>
      </c>
      <c r="C1780" t="s">
        <v>5887</v>
      </c>
      <c r="D1780" t="s">
        <v>6491</v>
      </c>
      <c r="E1780" t="s">
        <v>6492</v>
      </c>
      <c r="H1780" t="s">
        <v>4284</v>
      </c>
    </row>
    <row r="1781" spans="1:8">
      <c r="A1781">
        <v>11005624</v>
      </c>
      <c r="B1781" t="s">
        <v>5521</v>
      </c>
      <c r="C1781" t="s">
        <v>5924</v>
      </c>
      <c r="D1781" t="s">
        <v>6493</v>
      </c>
      <c r="E1781" t="s">
        <v>6494</v>
      </c>
      <c r="H1781" t="s">
        <v>4284</v>
      </c>
    </row>
    <row r="1782" spans="1:8">
      <c r="A1782" t="s">
        <v>4604</v>
      </c>
      <c r="B1782" t="s">
        <v>5522</v>
      </c>
      <c r="C1782" t="s">
        <v>5925</v>
      </c>
      <c r="D1782" t="s">
        <v>6493</v>
      </c>
      <c r="E1782" t="s">
        <v>6494</v>
      </c>
      <c r="H1782" t="s">
        <v>4284</v>
      </c>
    </row>
    <row r="1783" spans="1:8">
      <c r="A1783" t="s">
        <v>4604</v>
      </c>
      <c r="B1783" t="s">
        <v>5523</v>
      </c>
      <c r="C1783" t="s">
        <v>5926</v>
      </c>
      <c r="D1783" t="e">
        <v>#N/A</v>
      </c>
      <c r="E1783" t="e">
        <v>#N/A</v>
      </c>
      <c r="H1783" t="s">
        <v>4284</v>
      </c>
    </row>
    <row r="1784" spans="1:8">
      <c r="A1784" t="s">
        <v>4604</v>
      </c>
      <c r="B1784" t="s">
        <v>5524</v>
      </c>
      <c r="C1784" t="s">
        <v>5927</v>
      </c>
      <c r="D1784" t="e">
        <v>#N/A</v>
      </c>
      <c r="E1784" t="e">
        <v>#N/A</v>
      </c>
      <c r="H1784" t="s">
        <v>4284</v>
      </c>
    </row>
    <row r="1785" spans="1:8">
      <c r="A1785">
        <v>11001680</v>
      </c>
      <c r="B1785" t="s">
        <v>5525</v>
      </c>
      <c r="C1785" t="s">
        <v>1217</v>
      </c>
      <c r="D1785" t="s">
        <v>6499</v>
      </c>
      <c r="E1785" t="s">
        <v>6463</v>
      </c>
      <c r="H1785" t="s">
        <v>4284</v>
      </c>
    </row>
    <row r="1786" spans="1:8">
      <c r="A1786">
        <v>11005791</v>
      </c>
      <c r="B1786" t="s">
        <v>5526</v>
      </c>
      <c r="C1786" t="s">
        <v>989</v>
      </c>
      <c r="D1786" t="s">
        <v>6500</v>
      </c>
      <c r="E1786" t="s">
        <v>6487</v>
      </c>
      <c r="H1786" t="s">
        <v>4284</v>
      </c>
    </row>
    <row r="1787" spans="1:8">
      <c r="A1787">
        <v>11006223</v>
      </c>
      <c r="B1787" t="s">
        <v>5527</v>
      </c>
      <c r="C1787" t="s">
        <v>1308</v>
      </c>
      <c r="D1787" t="s">
        <v>6470</v>
      </c>
      <c r="E1787" t="s">
        <v>6325</v>
      </c>
      <c r="H1787" t="s">
        <v>4284</v>
      </c>
    </row>
    <row r="1788" spans="1:8">
      <c r="A1788">
        <v>11003254</v>
      </c>
      <c r="B1788" t="s">
        <v>5528</v>
      </c>
      <c r="C1788" t="s">
        <v>1069</v>
      </c>
      <c r="D1788" t="s">
        <v>6501</v>
      </c>
      <c r="E1788" t="s">
        <v>6502</v>
      </c>
      <c r="H1788" t="s">
        <v>4284</v>
      </c>
    </row>
    <row r="1789" spans="1:8">
      <c r="A1789">
        <v>11003242</v>
      </c>
      <c r="B1789" t="s">
        <v>5529</v>
      </c>
      <c r="C1789" t="s">
        <v>1214</v>
      </c>
      <c r="D1789" t="s">
        <v>6503</v>
      </c>
      <c r="E1789" t="s">
        <v>6504</v>
      </c>
      <c r="H1789" t="s">
        <v>4284</v>
      </c>
    </row>
    <row r="1790" spans="1:8">
      <c r="A1790">
        <v>11003272</v>
      </c>
      <c r="B1790" t="s">
        <v>5530</v>
      </c>
      <c r="C1790" t="s">
        <v>1167</v>
      </c>
      <c r="D1790" t="s">
        <v>6505</v>
      </c>
      <c r="E1790" t="s">
        <v>6506</v>
      </c>
      <c r="H1790" t="s">
        <v>4284</v>
      </c>
    </row>
    <row r="1791" spans="1:8">
      <c r="A1791">
        <v>11009491</v>
      </c>
      <c r="B1791" t="s">
        <v>5531</v>
      </c>
      <c r="C1791" t="s">
        <v>982</v>
      </c>
      <c r="D1791" t="s">
        <v>6486</v>
      </c>
      <c r="E1791" t="s">
        <v>6487</v>
      </c>
      <c r="H1791" t="s">
        <v>4284</v>
      </c>
    </row>
    <row r="1792" spans="1:8">
      <c r="A1792">
        <v>11005786</v>
      </c>
      <c r="B1792" t="s">
        <v>5532</v>
      </c>
      <c r="C1792" t="s">
        <v>1202</v>
      </c>
      <c r="D1792" t="s">
        <v>6488</v>
      </c>
      <c r="E1792" t="s">
        <v>6361</v>
      </c>
      <c r="H1792" t="s">
        <v>4284</v>
      </c>
    </row>
    <row r="1793" spans="1:8">
      <c r="A1793">
        <v>11005784</v>
      </c>
      <c r="B1793" t="s">
        <v>5533</v>
      </c>
      <c r="C1793" t="s">
        <v>5912</v>
      </c>
      <c r="D1793" t="s">
        <v>6486</v>
      </c>
      <c r="E1793" t="s">
        <v>6487</v>
      </c>
      <c r="H1793" t="s">
        <v>4284</v>
      </c>
    </row>
    <row r="1794" spans="1:8">
      <c r="A1794">
        <v>11009489</v>
      </c>
      <c r="B1794" t="s">
        <v>5534</v>
      </c>
      <c r="C1794" t="s">
        <v>5913</v>
      </c>
      <c r="D1794" t="s">
        <v>6486</v>
      </c>
      <c r="E1794" t="s">
        <v>6487</v>
      </c>
      <c r="H1794" t="s">
        <v>4284</v>
      </c>
    </row>
    <row r="1795" spans="1:8">
      <c r="A1795" t="s">
        <v>4604</v>
      </c>
      <c r="B1795" t="s">
        <v>5535</v>
      </c>
      <c r="C1795" t="s">
        <v>996</v>
      </c>
      <c r="D1795" t="e">
        <v>#N/A</v>
      </c>
      <c r="E1795" t="e">
        <v>#N/A</v>
      </c>
      <c r="H1795" t="s">
        <v>4284</v>
      </c>
    </row>
    <row r="1796" spans="1:8">
      <c r="A1796" t="s">
        <v>4604</v>
      </c>
      <c r="B1796" t="s">
        <v>5536</v>
      </c>
      <c r="C1796" t="s">
        <v>997</v>
      </c>
      <c r="D1796" t="e">
        <v>#N/A</v>
      </c>
      <c r="E1796" t="e">
        <v>#N/A</v>
      </c>
      <c r="H1796" t="s">
        <v>4284</v>
      </c>
    </row>
    <row r="1797" spans="1:8">
      <c r="A1797" t="s">
        <v>4604</v>
      </c>
      <c r="B1797" t="s">
        <v>5537</v>
      </c>
      <c r="C1797" t="s">
        <v>5914</v>
      </c>
      <c r="D1797" t="s">
        <v>6491</v>
      </c>
      <c r="E1797" t="s">
        <v>6492</v>
      </c>
      <c r="H1797" t="s">
        <v>4284</v>
      </c>
    </row>
    <row r="1798" spans="1:8">
      <c r="A1798" t="s">
        <v>4604</v>
      </c>
      <c r="B1798" t="s">
        <v>5538</v>
      </c>
      <c r="C1798" t="s">
        <v>5915</v>
      </c>
      <c r="D1798" t="s">
        <v>6491</v>
      </c>
      <c r="E1798" t="s">
        <v>6492</v>
      </c>
      <c r="H1798" t="s">
        <v>4284</v>
      </c>
    </row>
    <row r="1799" spans="1:8">
      <c r="A1799" t="s">
        <v>4604</v>
      </c>
      <c r="B1799" t="s">
        <v>5539</v>
      </c>
      <c r="C1799" t="s">
        <v>5849</v>
      </c>
      <c r="D1799" t="s">
        <v>6491</v>
      </c>
      <c r="E1799" t="s">
        <v>6492</v>
      </c>
      <c r="H1799" t="s">
        <v>4284</v>
      </c>
    </row>
    <row r="1800" spans="1:8">
      <c r="A1800" t="s">
        <v>4604</v>
      </c>
      <c r="B1800" t="s">
        <v>5540</v>
      </c>
      <c r="C1800" t="s">
        <v>5850</v>
      </c>
      <c r="D1800" t="s">
        <v>6491</v>
      </c>
      <c r="E1800" t="s">
        <v>6492</v>
      </c>
      <c r="H1800" t="s">
        <v>4284</v>
      </c>
    </row>
    <row r="1801" spans="1:8">
      <c r="A1801" t="s">
        <v>4604</v>
      </c>
      <c r="B1801" t="s">
        <v>5541</v>
      </c>
      <c r="C1801" t="s">
        <v>5916</v>
      </c>
      <c r="D1801" t="s">
        <v>6493</v>
      </c>
      <c r="E1801" t="s">
        <v>6494</v>
      </c>
      <c r="H1801" t="s">
        <v>4284</v>
      </c>
    </row>
    <row r="1802" spans="1:8">
      <c r="A1802" t="s">
        <v>4604</v>
      </c>
      <c r="B1802" t="s">
        <v>5542</v>
      </c>
      <c r="C1802" t="s">
        <v>5917</v>
      </c>
      <c r="D1802" t="e">
        <v>#N/A</v>
      </c>
      <c r="E1802" t="e">
        <v>#N/A</v>
      </c>
      <c r="H1802" t="s">
        <v>4284</v>
      </c>
    </row>
    <row r="1803" spans="1:8">
      <c r="A1803" t="s">
        <v>4604</v>
      </c>
      <c r="B1803" t="s">
        <v>5543</v>
      </c>
      <c r="C1803" t="s">
        <v>5863</v>
      </c>
      <c r="D1803" t="s">
        <v>6493</v>
      </c>
      <c r="E1803" t="s">
        <v>6494</v>
      </c>
      <c r="H1803" t="s">
        <v>4284</v>
      </c>
    </row>
    <row r="1804" spans="1:8">
      <c r="A1804" t="s">
        <v>4604</v>
      </c>
      <c r="B1804" t="s">
        <v>5544</v>
      </c>
      <c r="C1804" t="s">
        <v>5864</v>
      </c>
      <c r="D1804" t="e">
        <v>#N/A</v>
      </c>
      <c r="E1804" t="e">
        <v>#N/A</v>
      </c>
      <c r="H1804" t="s">
        <v>4284</v>
      </c>
    </row>
    <row r="1805" spans="1:8">
      <c r="A1805" t="s">
        <v>4604</v>
      </c>
      <c r="B1805" t="s">
        <v>5545</v>
      </c>
      <c r="C1805" t="s">
        <v>5918</v>
      </c>
      <c r="D1805" t="s">
        <v>6495</v>
      </c>
      <c r="E1805" t="s">
        <v>6496</v>
      </c>
      <c r="H1805" t="s">
        <v>4284</v>
      </c>
    </row>
    <row r="1806" spans="1:8">
      <c r="A1806" t="s">
        <v>4604</v>
      </c>
      <c r="B1806" t="s">
        <v>5546</v>
      </c>
      <c r="C1806" t="s">
        <v>5919</v>
      </c>
      <c r="D1806" t="s">
        <v>6495</v>
      </c>
      <c r="E1806" t="s">
        <v>6496</v>
      </c>
      <c r="H1806" t="s">
        <v>4284</v>
      </c>
    </row>
    <row r="1807" spans="1:8">
      <c r="A1807" t="s">
        <v>4604</v>
      </c>
      <c r="B1807" t="s">
        <v>5547</v>
      </c>
      <c r="C1807" t="s">
        <v>5872</v>
      </c>
      <c r="D1807" t="s">
        <v>6495</v>
      </c>
      <c r="E1807" t="s">
        <v>6496</v>
      </c>
      <c r="H1807" t="s">
        <v>4284</v>
      </c>
    </row>
    <row r="1808" spans="1:8">
      <c r="A1808" t="s">
        <v>4604</v>
      </c>
      <c r="B1808" t="s">
        <v>5548</v>
      </c>
      <c r="C1808" t="s">
        <v>5920</v>
      </c>
      <c r="D1808" t="s">
        <v>6495</v>
      </c>
      <c r="E1808" t="s">
        <v>6496</v>
      </c>
      <c r="H1808" t="s">
        <v>4284</v>
      </c>
    </row>
    <row r="1809" spans="1:8">
      <c r="A1809" t="s">
        <v>4604</v>
      </c>
      <c r="B1809" t="s">
        <v>5549</v>
      </c>
      <c r="C1809" t="s">
        <v>5921</v>
      </c>
      <c r="D1809" t="s">
        <v>6497</v>
      </c>
      <c r="E1809" t="s">
        <v>6498</v>
      </c>
      <c r="H1809" t="s">
        <v>4284</v>
      </c>
    </row>
    <row r="1810" spans="1:8">
      <c r="A1810" t="s">
        <v>4604</v>
      </c>
      <c r="B1810" t="s">
        <v>5550</v>
      </c>
      <c r="C1810" t="s">
        <v>5922</v>
      </c>
      <c r="D1810" t="s">
        <v>6497</v>
      </c>
      <c r="E1810" t="s">
        <v>6498</v>
      </c>
      <c r="H1810" t="s">
        <v>4284</v>
      </c>
    </row>
    <row r="1811" spans="1:8">
      <c r="A1811" t="s">
        <v>4604</v>
      </c>
      <c r="B1811" t="s">
        <v>5551</v>
      </c>
      <c r="C1811" t="s">
        <v>5880</v>
      </c>
      <c r="D1811" t="s">
        <v>6497</v>
      </c>
      <c r="E1811" t="s">
        <v>6498</v>
      </c>
      <c r="H1811" t="s">
        <v>4284</v>
      </c>
    </row>
    <row r="1812" spans="1:8">
      <c r="A1812" t="s">
        <v>4604</v>
      </c>
      <c r="B1812" t="s">
        <v>5552</v>
      </c>
      <c r="C1812" t="s">
        <v>5881</v>
      </c>
      <c r="D1812" t="s">
        <v>6497</v>
      </c>
      <c r="E1812" t="s">
        <v>6498</v>
      </c>
      <c r="H1812" t="s">
        <v>4284</v>
      </c>
    </row>
    <row r="1813" spans="1:8">
      <c r="A1813" t="s">
        <v>4604</v>
      </c>
      <c r="B1813" t="s">
        <v>5553</v>
      </c>
      <c r="C1813" t="s">
        <v>5923</v>
      </c>
      <c r="D1813" t="s">
        <v>6491</v>
      </c>
      <c r="E1813" t="s">
        <v>6492</v>
      </c>
      <c r="H1813" t="s">
        <v>4284</v>
      </c>
    </row>
    <row r="1814" spans="1:8">
      <c r="A1814" t="s">
        <v>4604</v>
      </c>
      <c r="B1814" t="s">
        <v>5554</v>
      </c>
      <c r="C1814" t="s">
        <v>5887</v>
      </c>
      <c r="D1814" t="s">
        <v>6491</v>
      </c>
      <c r="E1814" t="s">
        <v>6492</v>
      </c>
      <c r="H1814" t="s">
        <v>4284</v>
      </c>
    </row>
    <row r="1815" spans="1:8">
      <c r="A1815" t="s">
        <v>4604</v>
      </c>
      <c r="B1815" t="s">
        <v>5555</v>
      </c>
      <c r="C1815" t="s">
        <v>5924</v>
      </c>
      <c r="D1815" t="s">
        <v>6493</v>
      </c>
      <c r="E1815" t="s">
        <v>6494</v>
      </c>
      <c r="H1815" t="s">
        <v>4284</v>
      </c>
    </row>
    <row r="1816" spans="1:8">
      <c r="A1816" t="s">
        <v>4604</v>
      </c>
      <c r="B1816" t="s">
        <v>5556</v>
      </c>
      <c r="C1816" t="s">
        <v>5925</v>
      </c>
      <c r="D1816" t="s">
        <v>6493</v>
      </c>
      <c r="E1816" t="s">
        <v>6494</v>
      </c>
      <c r="H1816" t="s">
        <v>4284</v>
      </c>
    </row>
    <row r="1817" spans="1:8">
      <c r="A1817">
        <v>11003262</v>
      </c>
      <c r="B1817" t="s">
        <v>5557</v>
      </c>
      <c r="C1817" t="s">
        <v>1170</v>
      </c>
      <c r="D1817" t="s">
        <v>6507</v>
      </c>
      <c r="E1817" t="s">
        <v>6508</v>
      </c>
      <c r="H1817" t="s">
        <v>4284</v>
      </c>
    </row>
    <row r="1818" spans="1:8">
      <c r="A1818">
        <v>11006227</v>
      </c>
      <c r="B1818" t="s">
        <v>5558</v>
      </c>
      <c r="C1818" t="s">
        <v>5817</v>
      </c>
      <c r="D1818" t="s">
        <v>6470</v>
      </c>
      <c r="E1818" t="s">
        <v>6325</v>
      </c>
      <c r="H1818" t="s">
        <v>4284</v>
      </c>
    </row>
    <row r="1819" spans="1:8">
      <c r="A1819">
        <v>11006259</v>
      </c>
      <c r="B1819" t="s">
        <v>5559</v>
      </c>
      <c r="C1819" t="s">
        <v>5802</v>
      </c>
      <c r="D1819" t="s">
        <v>6480</v>
      </c>
      <c r="E1819" t="s">
        <v>6317</v>
      </c>
      <c r="H1819" t="s">
        <v>4284</v>
      </c>
    </row>
    <row r="1820" spans="1:8">
      <c r="A1820">
        <v>11007516</v>
      </c>
      <c r="B1820" t="s">
        <v>5560</v>
      </c>
      <c r="C1820" t="s">
        <v>1006</v>
      </c>
      <c r="D1820" t="e">
        <v>#N/A</v>
      </c>
      <c r="E1820" t="e">
        <v>#N/A</v>
      </c>
      <c r="H1820" t="s">
        <v>4284</v>
      </c>
    </row>
    <row r="1821" spans="1:8">
      <c r="A1821" t="s">
        <v>4604</v>
      </c>
      <c r="B1821" t="s">
        <v>5561</v>
      </c>
      <c r="C1821" t="s">
        <v>1195</v>
      </c>
      <c r="D1821" t="e">
        <v>#N/A</v>
      </c>
      <c r="E1821" t="e">
        <v>#N/A</v>
      </c>
      <c r="H1821" t="s">
        <v>4284</v>
      </c>
    </row>
    <row r="1822" spans="1:8">
      <c r="A1822" t="s">
        <v>4604</v>
      </c>
      <c r="B1822" t="s">
        <v>5562</v>
      </c>
      <c r="C1822" t="s">
        <v>1196</v>
      </c>
      <c r="D1822" t="e">
        <v>#N/A</v>
      </c>
      <c r="E1822" t="e">
        <v>#N/A</v>
      </c>
      <c r="H1822" t="s">
        <v>4284</v>
      </c>
    </row>
    <row r="1823" spans="1:8">
      <c r="A1823" t="s">
        <v>4604</v>
      </c>
      <c r="B1823" t="s">
        <v>5563</v>
      </c>
      <c r="C1823" t="s">
        <v>1177</v>
      </c>
      <c r="D1823" t="e">
        <v>#N/A</v>
      </c>
      <c r="E1823" t="e">
        <v>#N/A</v>
      </c>
      <c r="H1823" t="s">
        <v>4284</v>
      </c>
    </row>
    <row r="1824" spans="1:8">
      <c r="A1824" t="s">
        <v>4604</v>
      </c>
      <c r="B1824" t="s">
        <v>5564</v>
      </c>
      <c r="C1824" t="s">
        <v>1081</v>
      </c>
      <c r="D1824" t="e">
        <v>#N/A</v>
      </c>
      <c r="E1824" t="e">
        <v>#N/A</v>
      </c>
      <c r="H1824" t="s">
        <v>4284</v>
      </c>
    </row>
    <row r="1825" spans="1:8">
      <c r="A1825" t="s">
        <v>4604</v>
      </c>
      <c r="B1825" t="s">
        <v>5565</v>
      </c>
      <c r="C1825" t="s">
        <v>1197</v>
      </c>
      <c r="H1825" t="s">
        <v>4284</v>
      </c>
    </row>
    <row r="1826" spans="1:8">
      <c r="A1826">
        <v>11007516</v>
      </c>
      <c r="B1826" t="s">
        <v>5560</v>
      </c>
      <c r="C1826" t="s">
        <v>1006</v>
      </c>
      <c r="D1826" t="e">
        <v>#N/A</v>
      </c>
      <c r="E1826" t="e">
        <v>#N/A</v>
      </c>
      <c r="H1826" t="s">
        <v>4284</v>
      </c>
    </row>
    <row r="1827" spans="1:8">
      <c r="A1827" t="s">
        <v>4604</v>
      </c>
      <c r="B1827" t="s">
        <v>5566</v>
      </c>
      <c r="C1827" t="s">
        <v>959</v>
      </c>
      <c r="D1827" t="e">
        <v>#N/A</v>
      </c>
      <c r="E1827" t="e">
        <v>#N/A</v>
      </c>
      <c r="H1827" t="s">
        <v>4284</v>
      </c>
    </row>
    <row r="1828" spans="1:8">
      <c r="A1828" t="s">
        <v>4604</v>
      </c>
      <c r="B1828" t="s">
        <v>5567</v>
      </c>
      <c r="C1828" t="s">
        <v>960</v>
      </c>
      <c r="D1828" t="e">
        <v>#N/A</v>
      </c>
      <c r="E1828" t="e">
        <v>#N/A</v>
      </c>
      <c r="H1828" t="s">
        <v>4284</v>
      </c>
    </row>
    <row r="1829" spans="1:8">
      <c r="A1829" t="s">
        <v>4604</v>
      </c>
      <c r="B1829" t="s">
        <v>5568</v>
      </c>
      <c r="C1829" t="s">
        <v>961</v>
      </c>
      <c r="D1829" t="e">
        <v>#N/A</v>
      </c>
      <c r="E1829" t="e">
        <v>#N/A</v>
      </c>
      <c r="H1829" t="s">
        <v>4284</v>
      </c>
    </row>
    <row r="1830" spans="1:8">
      <c r="A1830" t="s">
        <v>4604</v>
      </c>
      <c r="B1830" t="s">
        <v>5569</v>
      </c>
      <c r="C1830" t="s">
        <v>962</v>
      </c>
      <c r="D1830" t="e">
        <v>#N/A</v>
      </c>
      <c r="E1830" t="e">
        <v>#N/A</v>
      </c>
      <c r="H1830" t="s">
        <v>4284</v>
      </c>
    </row>
    <row r="1831" spans="1:8">
      <c r="A1831" t="s">
        <v>4604</v>
      </c>
      <c r="B1831" t="s">
        <v>5570</v>
      </c>
      <c r="C1831" t="s">
        <v>5928</v>
      </c>
      <c r="D1831" t="e">
        <v>#N/A</v>
      </c>
      <c r="E1831" t="e">
        <v>#N/A</v>
      </c>
      <c r="H1831" t="s">
        <v>4284</v>
      </c>
    </row>
    <row r="1832" spans="1:8">
      <c r="A1832" t="s">
        <v>4604</v>
      </c>
      <c r="B1832" t="s">
        <v>5571</v>
      </c>
      <c r="C1832" t="s">
        <v>5929</v>
      </c>
      <c r="D1832" t="e">
        <v>#N/A</v>
      </c>
      <c r="E1832" t="e">
        <v>#N/A</v>
      </c>
      <c r="H1832" t="s">
        <v>4284</v>
      </c>
    </row>
    <row r="1833" spans="1:8">
      <c r="A1833" t="s">
        <v>4604</v>
      </c>
      <c r="B1833" t="s">
        <v>5572</v>
      </c>
      <c r="C1833" t="s">
        <v>963</v>
      </c>
      <c r="D1833" t="e">
        <v>#N/A</v>
      </c>
      <c r="E1833" t="e">
        <v>#N/A</v>
      </c>
      <c r="H1833" t="s">
        <v>4284</v>
      </c>
    </row>
    <row r="1834" spans="1:8">
      <c r="A1834">
        <v>11009401</v>
      </c>
      <c r="B1834" t="s">
        <v>5573</v>
      </c>
      <c r="C1834" t="s">
        <v>964</v>
      </c>
      <c r="D1834" t="e">
        <v>#N/A</v>
      </c>
      <c r="E1834" t="e">
        <v>#N/A</v>
      </c>
      <c r="H1834" t="s">
        <v>4284</v>
      </c>
    </row>
    <row r="1835" spans="1:8">
      <c r="A1835">
        <v>11001629</v>
      </c>
      <c r="B1835" t="s">
        <v>5574</v>
      </c>
      <c r="C1835" t="s">
        <v>1229</v>
      </c>
      <c r="D1835" t="s">
        <v>6509</v>
      </c>
      <c r="E1835" t="s">
        <v>6510</v>
      </c>
      <c r="H1835" t="s">
        <v>4284</v>
      </c>
    </row>
    <row r="1836" spans="1:8">
      <c r="A1836">
        <v>11001626</v>
      </c>
      <c r="B1836" t="s">
        <v>5575</v>
      </c>
      <c r="C1836" t="s">
        <v>1232</v>
      </c>
      <c r="D1836" t="s">
        <v>6509</v>
      </c>
      <c r="E1836" t="s">
        <v>6510</v>
      </c>
      <c r="H1836" t="s">
        <v>4284</v>
      </c>
    </row>
    <row r="1837" spans="1:8">
      <c r="A1837" t="s">
        <v>4604</v>
      </c>
      <c r="B1837" t="s">
        <v>5576</v>
      </c>
      <c r="C1837" t="s">
        <v>1114</v>
      </c>
      <c r="D1837" t="s">
        <v>6509</v>
      </c>
      <c r="E1837" t="s">
        <v>6510</v>
      </c>
      <c r="H1837" t="s">
        <v>4284</v>
      </c>
    </row>
    <row r="1838" spans="1:8">
      <c r="A1838" t="s">
        <v>4604</v>
      </c>
      <c r="B1838" t="s">
        <v>5577</v>
      </c>
      <c r="C1838" t="s">
        <v>1115</v>
      </c>
      <c r="D1838" t="s">
        <v>6509</v>
      </c>
      <c r="E1838" t="s">
        <v>6510</v>
      </c>
      <c r="H1838" t="s">
        <v>4284</v>
      </c>
    </row>
    <row r="1839" spans="1:8">
      <c r="A1839">
        <v>11000991</v>
      </c>
      <c r="B1839" t="s">
        <v>5578</v>
      </c>
      <c r="C1839" t="s">
        <v>1229</v>
      </c>
      <c r="D1839" t="s">
        <v>6511</v>
      </c>
      <c r="E1839" t="s">
        <v>6512</v>
      </c>
      <c r="H1839" t="s">
        <v>4284</v>
      </c>
    </row>
    <row r="1840" spans="1:8">
      <c r="A1840">
        <v>11000988</v>
      </c>
      <c r="B1840" t="s">
        <v>5579</v>
      </c>
      <c r="C1840" t="s">
        <v>1231</v>
      </c>
      <c r="D1840" t="s">
        <v>6511</v>
      </c>
      <c r="E1840" t="s">
        <v>6512</v>
      </c>
      <c r="H1840" t="s">
        <v>4284</v>
      </c>
    </row>
    <row r="1841" spans="1:8">
      <c r="A1841">
        <v>11000986</v>
      </c>
      <c r="B1841" t="s">
        <v>5580</v>
      </c>
      <c r="C1841" t="s">
        <v>1232</v>
      </c>
      <c r="D1841" t="s">
        <v>6511</v>
      </c>
      <c r="E1841" t="s">
        <v>6512</v>
      </c>
      <c r="H1841" t="s">
        <v>4284</v>
      </c>
    </row>
    <row r="1842" spans="1:8">
      <c r="A1842">
        <v>11000983</v>
      </c>
      <c r="B1842" t="s">
        <v>5581</v>
      </c>
      <c r="C1842" t="s">
        <v>1114</v>
      </c>
      <c r="D1842" t="s">
        <v>6511</v>
      </c>
      <c r="E1842" t="s">
        <v>6512</v>
      </c>
      <c r="H1842" t="s">
        <v>4284</v>
      </c>
    </row>
    <row r="1843" spans="1:8">
      <c r="A1843">
        <v>11000981</v>
      </c>
      <c r="B1843" t="s">
        <v>5582</v>
      </c>
      <c r="C1843" t="s">
        <v>1234</v>
      </c>
      <c r="D1843" t="s">
        <v>6511</v>
      </c>
      <c r="E1843" t="s">
        <v>6512</v>
      </c>
      <c r="H1843" t="s">
        <v>4284</v>
      </c>
    </row>
    <row r="1844" spans="1:8">
      <c r="A1844">
        <v>11000979</v>
      </c>
      <c r="B1844" t="s">
        <v>5583</v>
      </c>
      <c r="C1844" t="s">
        <v>1115</v>
      </c>
      <c r="D1844" t="s">
        <v>6511</v>
      </c>
      <c r="E1844" t="s">
        <v>6512</v>
      </c>
      <c r="H1844" t="s">
        <v>4284</v>
      </c>
    </row>
    <row r="1845" spans="1:8">
      <c r="A1845">
        <v>11005189</v>
      </c>
      <c r="B1845" t="s">
        <v>5584</v>
      </c>
      <c r="C1845" t="s">
        <v>1254</v>
      </c>
      <c r="D1845" t="s">
        <v>6513</v>
      </c>
      <c r="E1845" t="s">
        <v>6514</v>
      </c>
      <c r="H1845" t="s">
        <v>4284</v>
      </c>
    </row>
    <row r="1846" spans="1:8">
      <c r="A1846">
        <v>11007520</v>
      </c>
      <c r="B1846" t="s">
        <v>5585</v>
      </c>
      <c r="C1846" t="s">
        <v>1081</v>
      </c>
      <c r="D1846" t="e">
        <v>#N/A</v>
      </c>
      <c r="E1846" t="e">
        <v>#N/A</v>
      </c>
      <c r="H1846" t="s">
        <v>4284</v>
      </c>
    </row>
    <row r="1847" spans="1:8">
      <c r="A1847">
        <v>11003320</v>
      </c>
      <c r="B1847" t="s">
        <v>5586</v>
      </c>
      <c r="C1847" t="s">
        <v>5930</v>
      </c>
      <c r="D1847" t="s">
        <v>6515</v>
      </c>
      <c r="E1847" t="s">
        <v>6516</v>
      </c>
      <c r="H1847" t="s">
        <v>4284</v>
      </c>
    </row>
    <row r="1848" spans="1:8">
      <c r="A1848">
        <v>11006258</v>
      </c>
      <c r="B1848" t="s">
        <v>5587</v>
      </c>
      <c r="C1848" t="s">
        <v>5931</v>
      </c>
      <c r="D1848" t="s">
        <v>6480</v>
      </c>
      <c r="E1848" t="s">
        <v>6317</v>
      </c>
      <c r="H1848" t="s">
        <v>4284</v>
      </c>
    </row>
    <row r="1849" spans="1:8">
      <c r="A1849">
        <v>11003326</v>
      </c>
      <c r="B1849" t="s">
        <v>5588</v>
      </c>
      <c r="C1849" t="s">
        <v>5932</v>
      </c>
      <c r="D1849" t="s">
        <v>6515</v>
      </c>
      <c r="E1849" t="s">
        <v>6516</v>
      </c>
      <c r="H1849" t="s">
        <v>4284</v>
      </c>
    </row>
    <row r="1850" spans="1:8">
      <c r="A1850">
        <v>11005184</v>
      </c>
      <c r="B1850" t="s">
        <v>5589</v>
      </c>
      <c r="C1850" t="s">
        <v>981</v>
      </c>
      <c r="D1850" t="s">
        <v>6517</v>
      </c>
      <c r="E1850" t="s">
        <v>6518</v>
      </c>
      <c r="H1850" t="s">
        <v>4284</v>
      </c>
    </row>
    <row r="1851" spans="1:8">
      <c r="A1851">
        <v>11003314</v>
      </c>
      <c r="B1851" t="s">
        <v>5590</v>
      </c>
      <c r="C1851" t="s">
        <v>5933</v>
      </c>
      <c r="D1851" t="s">
        <v>6515</v>
      </c>
      <c r="E1851" t="s">
        <v>6516</v>
      </c>
      <c r="H1851" t="s">
        <v>4284</v>
      </c>
    </row>
    <row r="1852" spans="1:8">
      <c r="A1852">
        <v>11006846</v>
      </c>
      <c r="B1852" t="s">
        <v>5591</v>
      </c>
      <c r="C1852" t="s">
        <v>5934</v>
      </c>
      <c r="D1852" t="s">
        <v>6308</v>
      </c>
      <c r="E1852" t="s">
        <v>6309</v>
      </c>
      <c r="H1852" t="s">
        <v>4284</v>
      </c>
    </row>
    <row r="1853" spans="1:8">
      <c r="A1853">
        <v>11000230</v>
      </c>
      <c r="B1853" t="s">
        <v>5592</v>
      </c>
      <c r="C1853" t="s">
        <v>963</v>
      </c>
      <c r="D1853" t="s">
        <v>6384</v>
      </c>
      <c r="E1853" t="s">
        <v>6385</v>
      </c>
      <c r="H1853" t="s">
        <v>4284</v>
      </c>
    </row>
    <row r="1854" spans="1:8">
      <c r="A1854">
        <v>11000235</v>
      </c>
      <c r="B1854" t="s">
        <v>5593</v>
      </c>
      <c r="C1854" t="s">
        <v>961</v>
      </c>
      <c r="D1854" t="s">
        <v>6416</v>
      </c>
      <c r="E1854" t="s">
        <v>6417</v>
      </c>
      <c r="H1854" t="s">
        <v>4284</v>
      </c>
    </row>
    <row r="1855" spans="1:8">
      <c r="A1855">
        <v>11007171</v>
      </c>
      <c r="B1855" t="s">
        <v>5594</v>
      </c>
      <c r="C1855" t="s">
        <v>5935</v>
      </c>
      <c r="D1855" t="s">
        <v>6237</v>
      </c>
      <c r="E1855" t="s">
        <v>5949</v>
      </c>
      <c r="H1855" t="s">
        <v>4284</v>
      </c>
    </row>
    <row r="1856" spans="1:8">
      <c r="A1856">
        <v>11007173</v>
      </c>
      <c r="B1856" t="s">
        <v>5595</v>
      </c>
      <c r="C1856" t="s">
        <v>5936</v>
      </c>
      <c r="D1856" t="s">
        <v>6233</v>
      </c>
      <c r="E1856" t="s">
        <v>5949</v>
      </c>
      <c r="H1856" t="s">
        <v>4284</v>
      </c>
    </row>
    <row r="1857" spans="1:8">
      <c r="A1857">
        <v>11007147</v>
      </c>
      <c r="B1857" t="s">
        <v>5596</v>
      </c>
      <c r="C1857" t="s">
        <v>5666</v>
      </c>
      <c r="D1857" t="s">
        <v>6221</v>
      </c>
      <c r="E1857" t="s">
        <v>5949</v>
      </c>
      <c r="H1857" t="s">
        <v>4284</v>
      </c>
    </row>
    <row r="1858" spans="1:8">
      <c r="A1858">
        <v>11007168</v>
      </c>
      <c r="B1858" t="s">
        <v>5597</v>
      </c>
      <c r="C1858" t="s">
        <v>5937</v>
      </c>
      <c r="D1858" t="s">
        <v>6241</v>
      </c>
      <c r="E1858" t="s">
        <v>5949</v>
      </c>
      <c r="H1858" t="s">
        <v>4284</v>
      </c>
    </row>
    <row r="1859" spans="1:8">
      <c r="A1859">
        <v>11007161</v>
      </c>
      <c r="B1859" t="s">
        <v>5598</v>
      </c>
      <c r="C1859" t="s">
        <v>5938</v>
      </c>
      <c r="D1859" t="s">
        <v>6247</v>
      </c>
      <c r="E1859" t="s">
        <v>5949</v>
      </c>
      <c r="H1859" t="s">
        <v>4284</v>
      </c>
    </row>
    <row r="1860" spans="1:8">
      <c r="A1860">
        <v>11007158</v>
      </c>
      <c r="B1860" t="s">
        <v>5599</v>
      </c>
      <c r="C1860" t="s">
        <v>5939</v>
      </c>
      <c r="D1860" t="s">
        <v>6247</v>
      </c>
      <c r="E1860" t="s">
        <v>5949</v>
      </c>
      <c r="H1860" t="s">
        <v>4284</v>
      </c>
    </row>
    <row r="1861" spans="1:8">
      <c r="A1861">
        <v>11007150</v>
      </c>
      <c r="B1861" t="s">
        <v>5600</v>
      </c>
      <c r="C1861" t="s">
        <v>5940</v>
      </c>
      <c r="D1861" t="s">
        <v>6250</v>
      </c>
      <c r="E1861" t="s">
        <v>5949</v>
      </c>
      <c r="H1861" t="s">
        <v>4284</v>
      </c>
    </row>
    <row r="1862" spans="1:8">
      <c r="A1862">
        <v>11007177</v>
      </c>
      <c r="B1862" t="s">
        <v>5601</v>
      </c>
      <c r="C1862" t="s">
        <v>5941</v>
      </c>
      <c r="D1862" t="s">
        <v>6231</v>
      </c>
      <c r="E1862" t="s">
        <v>5949</v>
      </c>
      <c r="H1862" t="s">
        <v>4284</v>
      </c>
    </row>
    <row r="1863" spans="1:8">
      <c r="A1863">
        <v>11007175</v>
      </c>
      <c r="B1863" t="s">
        <v>5602</v>
      </c>
      <c r="C1863" t="s">
        <v>5942</v>
      </c>
      <c r="D1863" t="s">
        <v>6233</v>
      </c>
      <c r="E1863" t="s">
        <v>5949</v>
      </c>
      <c r="H1863" t="s">
        <v>4284</v>
      </c>
    </row>
    <row r="1864" spans="1:8">
      <c r="A1864">
        <v>11007156</v>
      </c>
      <c r="B1864" t="s">
        <v>5603</v>
      </c>
      <c r="C1864" t="s">
        <v>5650</v>
      </c>
      <c r="D1864" t="s">
        <v>6247</v>
      </c>
      <c r="E1864" t="s">
        <v>5949</v>
      </c>
      <c r="H1864" t="s">
        <v>4284</v>
      </c>
    </row>
    <row r="1865" spans="1:8">
      <c r="A1865">
        <v>11007538</v>
      </c>
      <c r="B1865" t="s">
        <v>5604</v>
      </c>
      <c r="C1865" t="s">
        <v>5943</v>
      </c>
      <c r="D1865" t="s">
        <v>6220</v>
      </c>
      <c r="E1865" t="s">
        <v>5949</v>
      </c>
      <c r="H1865" t="s">
        <v>4284</v>
      </c>
    </row>
    <row r="1866" spans="1:8">
      <c r="A1866">
        <v>11006971</v>
      </c>
      <c r="B1866" t="s">
        <v>5605</v>
      </c>
      <c r="C1866" t="s">
        <v>5944</v>
      </c>
      <c r="D1866" t="s">
        <v>6304</v>
      </c>
      <c r="E1866" t="s">
        <v>5949</v>
      </c>
      <c r="H1866" t="s">
        <v>4284</v>
      </c>
    </row>
    <row r="1867" spans="1:8">
      <c r="A1867">
        <v>11006243</v>
      </c>
      <c r="B1867" t="s">
        <v>5606</v>
      </c>
      <c r="C1867" t="s">
        <v>5811</v>
      </c>
      <c r="D1867" t="s">
        <v>6304</v>
      </c>
      <c r="E1867" t="s">
        <v>5949</v>
      </c>
      <c r="H1867" t="s">
        <v>4284</v>
      </c>
    </row>
    <row r="1868" spans="1:8">
      <c r="A1868">
        <v>11007536</v>
      </c>
      <c r="B1868" t="s">
        <v>5607</v>
      </c>
      <c r="C1868" t="s">
        <v>5945</v>
      </c>
      <c r="D1868" t="s">
        <v>6220</v>
      </c>
      <c r="E1868" t="s">
        <v>5949</v>
      </c>
      <c r="H1868" t="s">
        <v>4284</v>
      </c>
    </row>
    <row r="1869" spans="1:8">
      <c r="A1869">
        <v>11007142</v>
      </c>
      <c r="B1869" t="s">
        <v>5608</v>
      </c>
      <c r="C1869" t="s">
        <v>5667</v>
      </c>
      <c r="D1869" t="s">
        <v>6255</v>
      </c>
      <c r="E1869" t="s">
        <v>5949</v>
      </c>
      <c r="H1869" t="s">
        <v>4284</v>
      </c>
    </row>
    <row r="1870" spans="1:8">
      <c r="A1870">
        <v>11006855</v>
      </c>
      <c r="B1870" t="s">
        <v>5609</v>
      </c>
      <c r="C1870" t="s">
        <v>5793</v>
      </c>
      <c r="D1870" t="s">
        <v>6305</v>
      </c>
      <c r="E1870" t="s">
        <v>5949</v>
      </c>
      <c r="H1870" t="s">
        <v>4284</v>
      </c>
    </row>
    <row r="1871" spans="1:8">
      <c r="A1871">
        <v>11007154</v>
      </c>
      <c r="B1871" t="s">
        <v>5610</v>
      </c>
      <c r="C1871" t="s">
        <v>5946</v>
      </c>
      <c r="D1871" t="s">
        <v>6247</v>
      </c>
      <c r="E1871" t="s">
        <v>5949</v>
      </c>
      <c r="H1871" t="s">
        <v>4284</v>
      </c>
    </row>
    <row r="1872" spans="1:8">
      <c r="A1872">
        <v>11006252</v>
      </c>
      <c r="B1872" t="s">
        <v>5611</v>
      </c>
      <c r="C1872" t="s">
        <v>5947</v>
      </c>
      <c r="D1872" t="s">
        <v>6304</v>
      </c>
      <c r="E1872" t="s">
        <v>5949</v>
      </c>
      <c r="H1872" t="s">
        <v>4284</v>
      </c>
    </row>
    <row r="1873" spans="1:8">
      <c r="A1873">
        <v>11000238</v>
      </c>
      <c r="B1873" t="s">
        <v>5612</v>
      </c>
      <c r="C1873" t="s">
        <v>1136</v>
      </c>
      <c r="D1873" t="s">
        <v>6416</v>
      </c>
      <c r="E1873" t="s">
        <v>6417</v>
      </c>
      <c r="H1873" t="s">
        <v>4284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2170-7408-4863-80EC-9B8F82748882}">
  <dimension ref="A1:CR62"/>
  <sheetViews>
    <sheetView tabSelected="1" view="pageBreakPreview" zoomScale="66" zoomScaleNormal="99" zoomScaleSheetLayoutView="66" workbookViewId="0">
      <selection activeCell="BD10" sqref="BD10"/>
    </sheetView>
  </sheetViews>
  <sheetFormatPr defaultRowHeight="14.5"/>
  <cols>
    <col min="1" max="54" width="1.81640625" customWidth="1"/>
    <col min="57" max="57" width="21.6328125" customWidth="1"/>
    <col min="58" max="58" width="16.08984375" customWidth="1"/>
    <col min="59" max="59" width="13.26953125" bestFit="1" customWidth="1"/>
    <col min="60" max="60" width="76.08984375" customWidth="1"/>
    <col min="61" max="61" width="8.7265625" customWidth="1"/>
    <col min="62" max="74" width="4.7265625" customWidth="1"/>
    <col min="75" max="80" width="4.1796875" customWidth="1"/>
    <col min="81" max="82" width="10.7265625" customWidth="1"/>
  </cols>
  <sheetData>
    <row r="1" spans="1:96" ht="13" customHeight="1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F1" t="s">
        <v>15</v>
      </c>
      <c r="BG1" t="s">
        <v>16</v>
      </c>
      <c r="BI1" t="s">
        <v>6988</v>
      </c>
      <c r="BJ1" s="56">
        <v>1</v>
      </c>
      <c r="BK1" s="56">
        <v>2</v>
      </c>
      <c r="BL1" s="56">
        <v>3</v>
      </c>
      <c r="BM1" s="56">
        <v>4</v>
      </c>
      <c r="BN1" s="56">
        <v>5</v>
      </c>
      <c r="BO1" s="56">
        <v>6</v>
      </c>
      <c r="BP1" s="56">
        <v>7</v>
      </c>
      <c r="BQ1" s="56">
        <v>8</v>
      </c>
      <c r="BR1" s="56">
        <v>9</v>
      </c>
      <c r="BS1" s="56">
        <v>10</v>
      </c>
      <c r="BT1" s="56">
        <v>11</v>
      </c>
      <c r="BU1" s="56">
        <v>12</v>
      </c>
      <c r="BV1" s="56">
        <v>13</v>
      </c>
      <c r="BW1" s="56">
        <v>14</v>
      </c>
      <c r="BX1" s="56">
        <v>15</v>
      </c>
      <c r="BY1" s="56">
        <v>16</v>
      </c>
      <c r="BZ1" s="56">
        <v>17</v>
      </c>
      <c r="CA1" s="56">
        <v>18</v>
      </c>
    </row>
    <row r="2" spans="1:96" ht="13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F2" s="91" t="s">
        <v>46</v>
      </c>
      <c r="BG2" s="91" t="s">
        <v>47</v>
      </c>
      <c r="BH2" s="91" t="s">
        <v>48</v>
      </c>
      <c r="BI2" s="8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</row>
    <row r="3" spans="1:96" ht="14.5" customHeight="1">
      <c r="A3" s="10" t="s">
        <v>8</v>
      </c>
      <c r="AF3" s="6" t="s">
        <v>1</v>
      </c>
      <c r="AK3" s="4"/>
      <c r="AV3" s="4"/>
      <c r="AW3" s="4"/>
      <c r="AX3" s="4"/>
      <c r="AY3" s="4"/>
      <c r="AZ3" s="4"/>
      <c r="BA3" s="4"/>
      <c r="BB3" s="4"/>
      <c r="BF3" s="79"/>
      <c r="BG3" s="79"/>
      <c r="BH3" s="91"/>
      <c r="BI3" s="8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C3" s="87" t="str">
        <f>"@1)"</f>
        <v>@1)</v>
      </c>
      <c r="CD3" s="87" t="str">
        <f>"@2)"</f>
        <v>@2)</v>
      </c>
      <c r="CE3" s="87" t="str">
        <f>"@3)"</f>
        <v>@3)</v>
      </c>
      <c r="CF3" s="87" t="str">
        <f>"@4)"</f>
        <v>@4)</v>
      </c>
      <c r="CG3" s="87" t="str">
        <f>"@5)"</f>
        <v>@5)</v>
      </c>
      <c r="CH3" s="87" t="str">
        <f>"@99)Print"</f>
        <v>@99)Print</v>
      </c>
    </row>
    <row r="4" spans="1:96">
      <c r="AF4" s="6"/>
      <c r="AJ4" s="3"/>
      <c r="AK4" s="3"/>
      <c r="AM4" s="13"/>
      <c r="AN4" s="13"/>
      <c r="AO4" s="13" t="s">
        <v>4</v>
      </c>
      <c r="AS4" s="3"/>
      <c r="AT4" s="3"/>
      <c r="AU4" s="3"/>
      <c r="AV4" s="3"/>
      <c r="AW4" s="3"/>
      <c r="AX4" s="3"/>
      <c r="AY4" s="3"/>
      <c r="BF4" s="91">
        <v>1</v>
      </c>
      <c r="BG4" s="91">
        <v>2</v>
      </c>
      <c r="BH4" s="91" t="s">
        <v>51</v>
      </c>
      <c r="BI4" s="8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</row>
    <row r="5" spans="1:96">
      <c r="AF5" s="6"/>
      <c r="AJ5" s="3"/>
      <c r="AK5" s="3"/>
      <c r="AM5" s="13"/>
      <c r="AN5" s="13"/>
      <c r="AO5" s="13" t="s">
        <v>5</v>
      </c>
      <c r="AS5" s="3"/>
      <c r="AT5" s="3"/>
      <c r="AU5" s="3"/>
      <c r="AV5" s="3"/>
      <c r="AW5" s="3"/>
      <c r="AX5" s="3"/>
      <c r="AY5" s="3"/>
      <c r="BD5" t="s">
        <v>49</v>
      </c>
      <c r="BE5" t="s">
        <v>50</v>
      </c>
      <c r="BF5" s="79" t="e" cm="1">
        <f t="array" ref="BF5">INDEX('PTCA Packing 1'!J:J,MATCH($BF3,'PTCA Packing 1'!$B:$B,0),0)</f>
        <v>#N/A</v>
      </c>
      <c r="BG5" s="79" t="e" cm="1">
        <f t="array" ref="BG5">INDEX('PTCA Packing 1'!K:K,MATCH($BF3,'PTCA Packing 1'!$B:$B,0),0)</f>
        <v>#N/A</v>
      </c>
      <c r="BH5" s="79" t="e">
        <f t="shared" ref="BH5:BH10" si="0">$CC$3&amp;BF3&amp;$CD$3&amp;BG3&amp;$CE$3&amp;BF5&amp;$CF$3&amp;BG5&amp;$CH$3</f>
        <v>#N/A</v>
      </c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</row>
    <row r="6" spans="1:96">
      <c r="AF6" s="6"/>
      <c r="AJ6" s="3"/>
      <c r="AK6" s="3"/>
      <c r="AM6" s="13"/>
      <c r="AN6" s="13"/>
      <c r="AO6" s="13" t="s">
        <v>6</v>
      </c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E6" t="s">
        <v>52</v>
      </c>
      <c r="BF6" s="79" t="s">
        <v>6991</v>
      </c>
      <c r="BG6" s="79"/>
      <c r="BH6" s="79" t="str">
        <f t="shared" si="0"/>
        <v>@1)1@2)2@3)   @4)@99)Print</v>
      </c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</row>
    <row r="7" spans="1:96">
      <c r="A7" s="16" t="s">
        <v>11</v>
      </c>
      <c r="D7" s="14">
        <f>BF3</f>
        <v>0</v>
      </c>
      <c r="E7" s="14"/>
      <c r="F7" s="5"/>
      <c r="L7" s="15" t="s">
        <v>12</v>
      </c>
      <c r="O7" s="3">
        <f>BG3</f>
        <v>0</v>
      </c>
      <c r="P7" s="14"/>
      <c r="X7" s="12" t="s">
        <v>13</v>
      </c>
      <c r="Z7" s="113">
        <f>BH3</f>
        <v>0</v>
      </c>
      <c r="AA7" s="113"/>
      <c r="AB7" s="113"/>
      <c r="AC7" s="113"/>
      <c r="AD7" s="117" t="s">
        <v>3</v>
      </c>
      <c r="AE7" s="117"/>
      <c r="AF7" s="6"/>
      <c r="AJ7" s="3"/>
      <c r="AK7" s="3"/>
      <c r="AM7" s="13"/>
      <c r="AN7" s="13"/>
      <c r="AO7" s="13" t="s">
        <v>7</v>
      </c>
      <c r="AS7" s="14"/>
      <c r="AT7" s="14"/>
      <c r="AU7" s="3"/>
      <c r="AV7" s="3"/>
      <c r="AW7" s="3"/>
      <c r="AX7" s="3"/>
      <c r="AY7" s="3"/>
      <c r="BE7" t="s">
        <v>53</v>
      </c>
      <c r="BF7" s="79"/>
      <c r="BG7" s="79"/>
      <c r="BH7" s="79" t="e">
        <f t="shared" si="0"/>
        <v>#N/A</v>
      </c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</row>
    <row r="8" spans="1:96" ht="12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7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E8" t="s">
        <v>54</v>
      </c>
      <c r="BF8" s="79"/>
      <c r="BG8" s="79"/>
      <c r="BH8" s="79" t="str">
        <f t="shared" si="0"/>
        <v>@1)   @2)@3)@4)@99)Print</v>
      </c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</row>
    <row r="9" spans="1:96">
      <c r="A9" s="10" t="s">
        <v>9</v>
      </c>
      <c r="B9" s="10"/>
      <c r="C9" s="10"/>
      <c r="D9" s="10"/>
      <c r="E9" s="10"/>
      <c r="F9" s="10"/>
      <c r="G9" s="10"/>
      <c r="H9" s="1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BE9" t="s">
        <v>55</v>
      </c>
      <c r="BF9" s="79" t="e" cm="1">
        <f t="array" ref="BF9">INDEX('PTCA Packing 1'!T:T,MATCH($BF3,'PTCA Packing 1'!$B:$B,0),0)</f>
        <v>#N/A</v>
      </c>
      <c r="BG9" s="79" t="e" cm="1">
        <f t="array" ref="BG9">INDEX('PTCA Packing 1'!U:U,MATCH($BF3,'PTCA Packing 1'!$B:$B,0),0)</f>
        <v>#N/A</v>
      </c>
      <c r="BH9" s="79" t="e">
        <f t="shared" si="0"/>
        <v>#N/A</v>
      </c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</row>
    <row r="10" spans="1:96">
      <c r="A10" s="10" t="s">
        <v>14</v>
      </c>
      <c r="B10" s="10"/>
      <c r="C10" s="10"/>
      <c r="D10" s="10"/>
      <c r="E10" s="10"/>
      <c r="F10" s="10"/>
      <c r="G10" s="10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AC10" s="10" t="s">
        <v>18</v>
      </c>
      <c r="AJ10" s="10"/>
      <c r="AK10" s="10"/>
      <c r="AL10" s="10"/>
      <c r="AM10" s="10"/>
      <c r="AN10" s="10"/>
      <c r="AO10" s="10"/>
      <c r="AP10" s="10"/>
      <c r="AQ10" s="9"/>
      <c r="AR10" s="9"/>
      <c r="BE10" t="s">
        <v>56</v>
      </c>
      <c r="BF10" s="79" t="e" cm="1">
        <f t="array" ref="BF10">INDEX('PTCA Packing 1'!V:V,MATCH($BF3,'PTCA Packing 1'!$B:$B,0),0)</f>
        <v>#N/A</v>
      </c>
      <c r="BG10" s="79" t="e" cm="1">
        <f t="array" ref="BG10">INDEX('PTCA Packing 1'!K:K,MATCH($BF3,'PTCA Packing 1'!$B:$B,0),0)</f>
        <v>#N/A</v>
      </c>
      <c r="BH10" s="79" t="e">
        <f t="shared" si="0"/>
        <v>#N/A</v>
      </c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</row>
    <row r="11" spans="1:96">
      <c r="A11" s="23" t="s">
        <v>15</v>
      </c>
      <c r="B11" s="23"/>
      <c r="C11" s="23"/>
      <c r="D11" s="23"/>
      <c r="E11" s="17"/>
      <c r="F11" s="17"/>
      <c r="H11" s="24" t="s">
        <v>16</v>
      </c>
      <c r="I11" s="24"/>
      <c r="J11" s="24"/>
      <c r="K11" s="24"/>
      <c r="L11" s="8"/>
      <c r="M11" s="8"/>
      <c r="O11" s="26" t="s">
        <v>41</v>
      </c>
      <c r="P11" s="26"/>
      <c r="Q11" s="26"/>
      <c r="R11" s="26"/>
      <c r="S11" s="29"/>
      <c r="T11" s="29"/>
      <c r="AC11" s="23" t="s">
        <v>15</v>
      </c>
      <c r="AD11" s="23"/>
      <c r="AE11" s="23"/>
      <c r="AF11" s="23"/>
      <c r="AG11" s="17"/>
      <c r="AH11" s="17"/>
      <c r="AJ11" s="24" t="s">
        <v>16</v>
      </c>
      <c r="AK11" s="24"/>
      <c r="AL11" s="24"/>
      <c r="AM11" s="24"/>
      <c r="AN11" s="8"/>
      <c r="AO11" s="8"/>
      <c r="AQ11" s="26" t="s">
        <v>41</v>
      </c>
      <c r="AR11" s="26"/>
      <c r="AS11" s="26"/>
      <c r="AT11" s="26"/>
      <c r="AU11" s="29"/>
      <c r="AV11" s="29"/>
      <c r="BE11" t="s">
        <v>23</v>
      </c>
      <c r="BF11" s="79"/>
      <c r="BG11" s="79"/>
      <c r="BH11" s="79" t="s">
        <v>24</v>
      </c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</row>
    <row r="12" spans="1:96">
      <c r="A12" s="30"/>
      <c r="B12" s="30"/>
      <c r="C12" s="30"/>
      <c r="D12" s="30"/>
      <c r="E12" s="17"/>
      <c r="F12" s="17"/>
      <c r="H12" s="25"/>
      <c r="I12" s="25"/>
      <c r="J12" s="25"/>
      <c r="K12" s="25"/>
      <c r="L12" s="8"/>
      <c r="M12" s="8"/>
      <c r="O12" s="30"/>
      <c r="P12" s="30"/>
      <c r="Q12" s="30"/>
      <c r="R12" s="30"/>
      <c r="S12" s="17"/>
      <c r="T12" s="17"/>
      <c r="AC12" s="30"/>
      <c r="AD12" s="30"/>
      <c r="AE12" s="30"/>
      <c r="AF12" s="30"/>
      <c r="AG12" s="17"/>
      <c r="AH12" s="17"/>
      <c r="AJ12" s="25"/>
      <c r="AK12" s="25"/>
      <c r="AL12" s="25"/>
      <c r="AM12" s="25"/>
      <c r="AN12" s="8"/>
      <c r="AO12" s="8"/>
      <c r="AQ12" s="30"/>
      <c r="AR12" s="30"/>
      <c r="AS12" s="30"/>
      <c r="AT12" s="30"/>
      <c r="AU12" s="17"/>
      <c r="AV12" s="17"/>
      <c r="BE12" t="s">
        <v>25</v>
      </c>
      <c r="BF12" s="79"/>
      <c r="BG12" s="79"/>
      <c r="BH12" s="92" t="s">
        <v>24</v>
      </c>
      <c r="BI12" s="50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spans="1:96">
      <c r="A13" s="17"/>
      <c r="B13" s="17"/>
      <c r="C13" s="17"/>
      <c r="D13" s="17"/>
      <c r="E13" s="17"/>
      <c r="F13" s="17"/>
      <c r="H13" s="8"/>
      <c r="I13" s="8"/>
      <c r="J13" s="8"/>
      <c r="K13" s="8"/>
      <c r="L13" s="8"/>
      <c r="M13" s="8"/>
      <c r="O13" s="17"/>
      <c r="P13" s="17"/>
      <c r="Q13" s="17"/>
      <c r="R13" s="17"/>
      <c r="S13" s="17"/>
      <c r="T13" s="17"/>
      <c r="V13" s="105" t="s">
        <v>17</v>
      </c>
      <c r="W13" s="106"/>
      <c r="X13" s="106"/>
      <c r="Y13" s="106"/>
      <c r="Z13" s="107"/>
      <c r="AC13" s="17"/>
      <c r="AD13" s="17"/>
      <c r="AE13" s="17"/>
      <c r="AF13" s="17"/>
      <c r="AG13" s="17"/>
      <c r="AH13" s="17"/>
      <c r="AJ13" s="8"/>
      <c r="AK13" s="8"/>
      <c r="AL13" s="8"/>
      <c r="AM13" s="8"/>
      <c r="AN13" s="8"/>
      <c r="AO13" s="8"/>
      <c r="AQ13" s="17"/>
      <c r="AR13" s="17"/>
      <c r="AS13" s="17"/>
      <c r="AT13" s="17"/>
      <c r="AU13" s="17"/>
      <c r="AV13" s="17"/>
      <c r="AX13" s="105" t="s">
        <v>17</v>
      </c>
      <c r="AY13" s="106"/>
      <c r="AZ13" s="106"/>
      <c r="BA13" s="106"/>
      <c r="BB13" s="107"/>
      <c r="BE13" t="s">
        <v>26</v>
      </c>
      <c r="BF13" s="79"/>
      <c r="BG13" s="79"/>
      <c r="BH13" s="92" t="s">
        <v>24</v>
      </c>
      <c r="BI13" s="44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</row>
    <row r="14" spans="1:96" ht="14.5" customHeight="1">
      <c r="A14" s="17"/>
      <c r="B14" s="17"/>
      <c r="C14" s="17"/>
      <c r="D14" s="17"/>
      <c r="E14" s="17"/>
      <c r="F14" s="17"/>
      <c r="H14" s="8"/>
      <c r="I14" s="8"/>
      <c r="J14" s="8"/>
      <c r="K14" s="8"/>
      <c r="L14" s="8"/>
      <c r="M14" s="8"/>
      <c r="O14" s="17"/>
      <c r="P14" s="17"/>
      <c r="Q14" s="17"/>
      <c r="R14" s="17"/>
      <c r="S14" s="17"/>
      <c r="T14" s="17"/>
      <c r="V14" s="120"/>
      <c r="W14" s="121"/>
      <c r="X14" s="121"/>
      <c r="Y14" s="121"/>
      <c r="Z14" s="122"/>
      <c r="AC14" s="17"/>
      <c r="AD14" s="17"/>
      <c r="AE14" s="17"/>
      <c r="AF14" s="17"/>
      <c r="AG14" s="17"/>
      <c r="AH14" s="17"/>
      <c r="AJ14" s="8"/>
      <c r="AK14" s="8"/>
      <c r="AL14" s="8"/>
      <c r="AM14" s="8"/>
      <c r="AN14" s="8"/>
      <c r="AO14" s="8"/>
      <c r="AQ14" s="17"/>
      <c r="AR14" s="17"/>
      <c r="AS14" s="17"/>
      <c r="AT14" s="17"/>
      <c r="AU14" s="17"/>
      <c r="AV14" s="17"/>
      <c r="AX14" s="120"/>
      <c r="AY14" s="121"/>
      <c r="AZ14" s="121"/>
      <c r="BA14" s="121"/>
      <c r="BB14" s="122"/>
      <c r="BD14" t="s">
        <v>57</v>
      </c>
      <c r="BE14" t="s">
        <v>58</v>
      </c>
      <c r="BF14" s="79">
        <f>$BF$3</f>
        <v>0</v>
      </c>
      <c r="BG14" s="79"/>
      <c r="BH14" s="79"/>
      <c r="BJ14" s="56" t="e" cm="1">
        <f t="array" ref="BJ14">INDEX('PTCA Packing 1'!Y:Y,MATCH($BF$14,'PTCA Packing 2'!$B:$B,0),0)</f>
        <v>#N/A</v>
      </c>
      <c r="BK14" s="56" t="e" cm="1">
        <f t="array" ref="BK14">INDEX('PTCA Packing 1'!Z:Z,MATCH($BF$14,'PTCA Packing 2'!$B:$B,0),0)</f>
        <v>#N/A</v>
      </c>
      <c r="BL14" s="56" t="e" cm="1">
        <f t="array" ref="BL14">INDEX('PTCA Packing 1'!AA:AA,MATCH($BF$14,'PTCA Packing 2'!$B:$B,0),0)</f>
        <v>#N/A</v>
      </c>
      <c r="BM14" s="56" t="e" cm="1">
        <f t="array" ref="BM14">INDEX('PTCA Packing 1'!AB:AB,MATCH($BF$14,'PTCA Packing 2'!$B:$B,0),0)</f>
        <v>#N/A</v>
      </c>
      <c r="BN14" s="56" t="e" cm="1">
        <f t="array" ref="BN14">INDEX('PTCA Packing 1'!AC:AC,MATCH($BF$14,'PTCA Packing 2'!$B:$B,0),0)</f>
        <v>#N/A</v>
      </c>
      <c r="BO14" s="56" t="e" cm="1">
        <f t="array" ref="BO14">INDEX('PTCA Packing 1'!AD:AD,MATCH($BF$14,'PTCA Packing 2'!$B:$B,0),0)</f>
        <v>#N/A</v>
      </c>
      <c r="BP14" s="56" t="e" cm="1">
        <f t="array" ref="BP14">INDEX('PTCA Packing 1'!AE:AE,MATCH($BF$14,'PTCA Packing 2'!$B:$B,0),0)</f>
        <v>#N/A</v>
      </c>
      <c r="BQ14" s="56" t="e" cm="1">
        <f t="array" ref="BQ14">INDEX('PTCA Packing 1'!AF:AF,MATCH($BF$14,'PTCA Packing 2'!$B:$B,0),0)</f>
        <v>#N/A</v>
      </c>
      <c r="BR14" s="56" t="e" cm="1">
        <f t="array" ref="BR14">INDEX('PTCA Packing 1'!AG:AG,MATCH($BF$14,'PTCA Packing 2'!$B:$B,0),0)</f>
        <v>#N/A</v>
      </c>
      <c r="BS14" s="56" t="e" cm="1">
        <f t="array" ref="BS14">INDEX('PTCA Packing 1'!AH:AH,MATCH($BF$14,'PTCA Packing 2'!$B:$B,0),0)</f>
        <v>#N/A</v>
      </c>
      <c r="BT14" s="56" t="e" cm="1">
        <f t="array" ref="BT14">INDEX('PTCA Packing 1'!AI:AI,MATCH($BF$14,'PTCA Packing 2'!$B:$B,0),0)</f>
        <v>#N/A</v>
      </c>
      <c r="BU14" s="56" t="e" cm="1">
        <f t="array" ref="BU14">INDEX('PTCA Packing 1'!AJ:AJ,MATCH($BF$14,'PTCA Packing 2'!$B:$B,0),0)</f>
        <v>#N/A</v>
      </c>
      <c r="BV14" s="56" t="e" cm="1">
        <f t="array" ref="BV14">INDEX('PTCA Packing 1'!AK:AK,MATCH($BF$14,'PTCA Packing 2'!$B:$B,0),0)</f>
        <v>#N/A</v>
      </c>
      <c r="BW14" s="56" t="e" cm="1">
        <f t="array" ref="BW14">INDEX('PTCA Packing 1'!AL:AL,MATCH($BF$14,'PTCA Packing 2'!$B:$B,0),0)</f>
        <v>#N/A</v>
      </c>
      <c r="BX14" s="56" t="e" cm="1">
        <f t="array" ref="BX14">INDEX('PTCA Packing 1'!AM:AM,MATCH($BF$14,'PTCA Packing 2'!$B:$B,0),0)</f>
        <v>#N/A</v>
      </c>
      <c r="BY14" s="56" t="e" cm="1">
        <f t="array" ref="BY14">INDEX('PTCA Packing 1'!AN:AN,MATCH($BF$14,'PTCA Packing 2'!$B:$B,0),0)</f>
        <v>#N/A</v>
      </c>
      <c r="BZ14" s="56" t="e" cm="1">
        <f t="array" ref="BZ14">INDEX('PTCA Packing 1'!AO:AO,MATCH($BF$14,'PTCA Packing 2'!$B:$B,0),0)</f>
        <v>#N/A</v>
      </c>
      <c r="CA14" s="56" t="e" cm="1">
        <f t="array" ref="CA14">INDEX('PTCA Packing 1'!AP:AP,MATCH($BF$14,'PTCA Packing 2'!$B:$B,0),0)</f>
        <v>#N/A</v>
      </c>
      <c r="CC14" s="87" t="str">
        <f>"@1)"</f>
        <v>@1)</v>
      </c>
      <c r="CD14" s="87" t="str">
        <f>"@2)"</f>
        <v>@2)</v>
      </c>
      <c r="CE14" s="87" t="str">
        <f>"@3)"</f>
        <v>@3)</v>
      </c>
      <c r="CF14" s="87" t="str">
        <f>"@4)"</f>
        <v>@4)</v>
      </c>
      <c r="CG14" s="87" t="str">
        <f>"@5)"</f>
        <v>@5)</v>
      </c>
      <c r="CH14" s="87" t="str">
        <f>"@6)"</f>
        <v>@6)</v>
      </c>
      <c r="CI14" s="87" t="str">
        <f>"@A)"</f>
        <v>@A)</v>
      </c>
      <c r="CJ14" s="87" t="str">
        <f>"@B)"</f>
        <v>@B)</v>
      </c>
      <c r="CK14" s="87" t="str">
        <f>"@C)"</f>
        <v>@C)</v>
      </c>
      <c r="CL14" s="87" t="str">
        <f>"@D)"</f>
        <v>@D)</v>
      </c>
      <c r="CM14" s="87" t="str">
        <f>"@E)"</f>
        <v>@E)</v>
      </c>
      <c r="CN14" s="87" t="str">
        <f>"@F)"</f>
        <v>@F)</v>
      </c>
      <c r="CO14" s="87" t="str">
        <f>"@G)"</f>
        <v>@G)</v>
      </c>
      <c r="CP14" s="87" t="str">
        <f>"@H)"</f>
        <v>@H)</v>
      </c>
      <c r="CQ14" s="87" t="str">
        <f>"@I)"</f>
        <v>@I)</v>
      </c>
      <c r="CR14" s="87" t="str">
        <f>"@99)Attach"</f>
        <v>@99)Attach</v>
      </c>
    </row>
    <row r="15" spans="1:96" ht="23">
      <c r="A15" s="110" t="e">
        <f>IF($BF$5="","",$BF$5)</f>
        <v>#N/A</v>
      </c>
      <c r="B15" s="110"/>
      <c r="C15" s="110"/>
      <c r="D15" s="110"/>
      <c r="E15" s="110"/>
      <c r="F15" s="110"/>
      <c r="H15" s="110" t="e">
        <f>IF($BG$5="","",$BG$5)</f>
        <v>#N/A</v>
      </c>
      <c r="I15" s="110"/>
      <c r="J15" s="110"/>
      <c r="K15" s="110"/>
      <c r="L15" s="110"/>
      <c r="M15" s="110"/>
      <c r="O15" s="119"/>
      <c r="P15" s="119"/>
      <c r="Q15" s="119"/>
      <c r="R15" s="119"/>
      <c r="S15" s="119"/>
      <c r="T15" s="119"/>
      <c r="V15" s="123"/>
      <c r="W15" s="124"/>
      <c r="X15" s="124"/>
      <c r="Y15" s="124"/>
      <c r="Z15" s="125"/>
      <c r="AC15" s="110" t="str">
        <f>IF($BF$6="","",$BF$6)</f>
        <v xml:space="preserve">   </v>
      </c>
      <c r="AD15" s="110"/>
      <c r="AE15" s="110"/>
      <c r="AF15" s="110"/>
      <c r="AG15" s="110"/>
      <c r="AH15" s="110"/>
      <c r="AJ15" s="112" t="str">
        <f>IF($BG$6="","",$BG$6)</f>
        <v/>
      </c>
      <c r="AK15" s="112"/>
      <c r="AL15" s="112"/>
      <c r="AM15" s="112"/>
      <c r="AN15" s="112"/>
      <c r="AO15" s="112"/>
      <c r="AQ15" s="119"/>
      <c r="AR15" s="119"/>
      <c r="AS15" s="119"/>
      <c r="AT15" s="119"/>
      <c r="AU15" s="119"/>
      <c r="AV15" s="119"/>
      <c r="AX15" s="123"/>
      <c r="AY15" s="124"/>
      <c r="AZ15" s="124"/>
      <c r="BA15" s="124"/>
      <c r="BB15" s="125"/>
      <c r="BE15" t="s">
        <v>59</v>
      </c>
      <c r="BF15" s="79">
        <f>$BG$3</f>
        <v>0</v>
      </c>
      <c r="BG15" s="79"/>
      <c r="BH15" s="79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R15" s="87" t="str">
        <f>"@99)Seal"</f>
        <v>@99)Seal</v>
      </c>
    </row>
    <row r="16" spans="1:96" ht="14.5" customHeight="1">
      <c r="A16" s="10" t="s">
        <v>19</v>
      </c>
      <c r="B16" s="10"/>
      <c r="C16" s="10"/>
      <c r="D16" s="10"/>
      <c r="E16" s="10"/>
      <c r="F16" s="10"/>
      <c r="G16" s="10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T16" s="10"/>
      <c r="U16" s="10"/>
      <c r="V16" s="10"/>
      <c r="W16" s="10"/>
      <c r="X16" s="10"/>
      <c r="Y16" s="10"/>
      <c r="Z16" s="10"/>
      <c r="AA16" s="9"/>
      <c r="AB16" s="9"/>
      <c r="AC16" s="10" t="s">
        <v>20</v>
      </c>
      <c r="AD16" s="9"/>
      <c r="AE16" s="9"/>
      <c r="BE16" t="s">
        <v>60</v>
      </c>
      <c r="BF16" s="91">
        <f>$BH$3</f>
        <v>0</v>
      </c>
      <c r="BG16" s="79"/>
      <c r="BH16" s="79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</row>
    <row r="17" spans="1:86">
      <c r="A17" s="23" t="s">
        <v>15</v>
      </c>
      <c r="B17" s="23"/>
      <c r="C17" s="23"/>
      <c r="D17" s="23"/>
      <c r="E17" s="17"/>
      <c r="F17" s="17"/>
      <c r="H17" s="24" t="s">
        <v>16</v>
      </c>
      <c r="I17" s="24"/>
      <c r="J17" s="24"/>
      <c r="K17" s="24"/>
      <c r="L17" s="8"/>
      <c r="M17" s="8"/>
      <c r="O17" s="26" t="s">
        <v>41</v>
      </c>
      <c r="P17" s="26"/>
      <c r="Q17" s="26"/>
      <c r="R17" s="26"/>
      <c r="S17" s="29"/>
      <c r="T17" s="29"/>
      <c r="AC17" s="23" t="s">
        <v>15</v>
      </c>
      <c r="AD17" s="23"/>
      <c r="AE17" s="23"/>
      <c r="AF17" s="23"/>
      <c r="AG17" s="17"/>
      <c r="AH17" s="17"/>
      <c r="AJ17" s="24" t="s">
        <v>16</v>
      </c>
      <c r="AK17" s="24"/>
      <c r="AL17" s="24"/>
      <c r="AM17" s="24"/>
      <c r="AN17" s="8"/>
      <c r="AO17" s="8"/>
      <c r="AQ17" s="26" t="s">
        <v>41</v>
      </c>
      <c r="AR17" s="26"/>
      <c r="AS17" s="26"/>
      <c r="AT17" s="26"/>
      <c r="AU17" s="29"/>
      <c r="AV17" s="29"/>
      <c r="BE17" t="s">
        <v>61</v>
      </c>
      <c r="BF17" s="79" t="e" cm="1">
        <f t="array" ref="BF17">INDEX('PTCA Packing 1'!D:D,MATCH($BF$3,'PTCA Packing 1'!$B:$B,0),0)</f>
        <v>#N/A</v>
      </c>
      <c r="BG17" s="79"/>
      <c r="BH17" s="79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</row>
    <row r="18" spans="1:86">
      <c r="A18" s="30"/>
      <c r="B18" s="30"/>
      <c r="C18" s="30"/>
      <c r="D18" s="30"/>
      <c r="E18" s="17"/>
      <c r="F18" s="17"/>
      <c r="H18" s="25"/>
      <c r="I18" s="25"/>
      <c r="J18" s="25"/>
      <c r="K18" s="25"/>
      <c r="L18" s="8"/>
      <c r="M18" s="8"/>
      <c r="O18" s="30"/>
      <c r="P18" s="30"/>
      <c r="Q18" s="30"/>
      <c r="R18" s="30"/>
      <c r="S18" s="17"/>
      <c r="T18" s="17"/>
      <c r="AC18" s="30"/>
      <c r="AD18" s="30"/>
      <c r="AE18" s="30"/>
      <c r="AF18" s="30"/>
      <c r="AG18" s="17"/>
      <c r="AH18" s="17"/>
      <c r="AJ18" s="25"/>
      <c r="AK18" s="25"/>
      <c r="AL18" s="25"/>
      <c r="AM18" s="25"/>
      <c r="AN18" s="8"/>
      <c r="AO18" s="8"/>
      <c r="AQ18" s="30"/>
      <c r="AR18" s="30"/>
      <c r="AS18" s="30"/>
      <c r="AT18" s="30"/>
      <c r="AU18" s="17"/>
      <c r="AV18" s="17"/>
      <c r="BE18" t="s">
        <v>62</v>
      </c>
      <c r="BF18" s="79" t="e" cm="1">
        <f t="array" ref="BF18">INDEX('PTCA Packing 1'!E:E,MATCH($BF$3,'PTCA Packing 1'!$B:$B,0),0)</f>
        <v>#N/A</v>
      </c>
      <c r="BG18" s="79"/>
      <c r="BH18" s="79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</row>
    <row r="19" spans="1:86">
      <c r="A19" s="17"/>
      <c r="B19" s="17"/>
      <c r="C19" s="17"/>
      <c r="D19" s="17"/>
      <c r="E19" s="17"/>
      <c r="F19" s="17"/>
      <c r="H19" s="8"/>
      <c r="I19" s="8"/>
      <c r="J19" s="8"/>
      <c r="K19" s="8"/>
      <c r="L19" s="8"/>
      <c r="M19" s="8"/>
      <c r="O19" s="17"/>
      <c r="P19" s="17"/>
      <c r="Q19" s="17"/>
      <c r="R19" s="17"/>
      <c r="S19" s="17"/>
      <c r="T19" s="17"/>
      <c r="V19" s="105" t="s">
        <v>17</v>
      </c>
      <c r="W19" s="106"/>
      <c r="X19" s="106"/>
      <c r="Y19" s="106"/>
      <c r="Z19" s="107"/>
      <c r="AC19" s="17"/>
      <c r="AD19" s="17"/>
      <c r="AE19" s="17"/>
      <c r="AF19" s="17"/>
      <c r="AG19" s="17"/>
      <c r="AH19" s="17"/>
      <c r="AJ19" s="8"/>
      <c r="AK19" s="8"/>
      <c r="AL19" s="8"/>
      <c r="AM19" s="8"/>
      <c r="AN19" s="8"/>
      <c r="AO19" s="8"/>
      <c r="AQ19" s="17"/>
      <c r="AR19" s="17"/>
      <c r="AS19" s="17"/>
      <c r="AT19" s="17"/>
      <c r="AU19" s="17"/>
      <c r="AV19" s="17"/>
      <c r="AX19" s="105" t="s">
        <v>17</v>
      </c>
      <c r="AY19" s="106"/>
      <c r="AZ19" s="106"/>
      <c r="BA19" s="106"/>
      <c r="BB19" s="107"/>
      <c r="BE19" s="53" t="s">
        <v>63</v>
      </c>
      <c r="BF19" s="79" t="e" cm="1">
        <f t="array" ref="BF19">INDEX('PTCA Packing 1'!G:G,MATCH($BF$3,'PTCA Packing 1'!$B:$B,0),0)</f>
        <v>#N/A</v>
      </c>
      <c r="BG19" s="79"/>
      <c r="BH19" s="79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</row>
    <row r="20" spans="1:86">
      <c r="A20" s="17"/>
      <c r="B20" s="17"/>
      <c r="C20" s="17"/>
      <c r="D20" s="17"/>
      <c r="E20" s="17"/>
      <c r="F20" s="17"/>
      <c r="H20" s="8"/>
      <c r="I20" s="8"/>
      <c r="J20" s="8"/>
      <c r="K20" s="8"/>
      <c r="L20" s="8"/>
      <c r="M20" s="8"/>
      <c r="O20" s="17"/>
      <c r="P20" s="17"/>
      <c r="Q20" s="17"/>
      <c r="R20" s="17"/>
      <c r="S20" s="17"/>
      <c r="T20" s="17"/>
      <c r="V20" s="120"/>
      <c r="W20" s="121"/>
      <c r="X20" s="121"/>
      <c r="Y20" s="121"/>
      <c r="Z20" s="122"/>
      <c r="AC20" s="17"/>
      <c r="AD20" s="17"/>
      <c r="AE20" s="17"/>
      <c r="AF20" s="17"/>
      <c r="AG20" s="17"/>
      <c r="AH20" s="17"/>
      <c r="AJ20" s="8"/>
      <c r="AK20" s="8"/>
      <c r="AL20" s="8"/>
      <c r="AM20" s="8"/>
      <c r="AN20" s="8"/>
      <c r="AO20" s="8"/>
      <c r="AQ20" s="17"/>
      <c r="AR20" s="17"/>
      <c r="AS20" s="17"/>
      <c r="AT20" s="17"/>
      <c r="AU20" s="17"/>
      <c r="AV20" s="17"/>
      <c r="AX20" s="120"/>
      <c r="AY20" s="121"/>
      <c r="AZ20" s="121"/>
      <c r="BA20" s="121"/>
      <c r="BB20" s="122"/>
      <c r="BE20" t="s">
        <v>64</v>
      </c>
      <c r="BF20" s="79" t="e" cm="1">
        <f t="array" ref="BF20">INDEX('PTCA Packing 1'!H:H,MATCH($BF$3,'PTCA Packing 1'!$B:$B,0),0)</f>
        <v>#N/A</v>
      </c>
      <c r="BG20" s="79"/>
      <c r="BH20" s="79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</row>
    <row r="21" spans="1:86">
      <c r="A21" s="110" t="str">
        <f>IF($BF$7="","",$BF$7)</f>
        <v/>
      </c>
      <c r="B21" s="110"/>
      <c r="C21" s="110"/>
      <c r="D21" s="110"/>
      <c r="E21" s="110"/>
      <c r="F21" s="110"/>
      <c r="H21" s="112" t="str">
        <f>IF($BG$7="","",$BG$7)</f>
        <v/>
      </c>
      <c r="I21" s="112"/>
      <c r="J21" s="112"/>
      <c r="K21" s="112"/>
      <c r="L21" s="112"/>
      <c r="M21" s="112"/>
      <c r="O21" s="119"/>
      <c r="P21" s="119"/>
      <c r="Q21" s="119"/>
      <c r="R21" s="119"/>
      <c r="S21" s="119"/>
      <c r="T21" s="119"/>
      <c r="V21" s="123"/>
      <c r="W21" s="124"/>
      <c r="X21" s="124"/>
      <c r="Y21" s="124"/>
      <c r="Z21" s="125"/>
      <c r="AC21" s="110" t="str">
        <f>IF($BF$8="","",$BF$8)</f>
        <v/>
      </c>
      <c r="AD21" s="110"/>
      <c r="AE21" s="110"/>
      <c r="AF21" s="110"/>
      <c r="AG21" s="110"/>
      <c r="AH21" s="110"/>
      <c r="AJ21" s="110" t="str">
        <f>IF($BG$8="","",$BG$8)</f>
        <v/>
      </c>
      <c r="AK21" s="110"/>
      <c r="AL21" s="110"/>
      <c r="AM21" s="110"/>
      <c r="AN21" s="110"/>
      <c r="AO21" s="110"/>
      <c r="AQ21" s="119"/>
      <c r="AR21" s="119"/>
      <c r="AS21" s="119"/>
      <c r="AT21" s="119"/>
      <c r="AU21" s="119"/>
      <c r="AV21" s="119"/>
      <c r="AX21" s="123"/>
      <c r="AY21" s="124"/>
      <c r="AZ21" s="124"/>
      <c r="BA21" s="124"/>
      <c r="BB21" s="125"/>
      <c r="BE21" t="s">
        <v>65</v>
      </c>
      <c r="BF21" s="79" t="e" cm="1">
        <f t="array" ref="BF21">INDEX('PTCA Packing 1'!I:I,MATCH($BF$3,'PTCA Packing 1'!$B:$B,0),0)</f>
        <v>#N/A</v>
      </c>
      <c r="BG21" s="79"/>
      <c r="BH21" s="79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</row>
    <row r="22" spans="1:86">
      <c r="A22" s="10" t="s">
        <v>21</v>
      </c>
      <c r="B22" s="10"/>
      <c r="C22" s="10"/>
      <c r="D22" s="10"/>
      <c r="E22" s="10"/>
      <c r="F22" s="10"/>
      <c r="G22" s="10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T22" s="10"/>
      <c r="U22" s="10"/>
      <c r="V22" s="10"/>
      <c r="W22" s="10"/>
      <c r="X22" s="10"/>
      <c r="Y22" s="10"/>
      <c r="Z22" s="10"/>
      <c r="AA22" s="9"/>
      <c r="AB22" s="9"/>
      <c r="AC22" s="10" t="s">
        <v>22</v>
      </c>
      <c r="AD22" s="9"/>
      <c r="BE22" t="s">
        <v>67</v>
      </c>
      <c r="BF22" s="79"/>
      <c r="BG22" s="79"/>
      <c r="BH22" s="79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</row>
    <row r="23" spans="1:86">
      <c r="A23" s="23" t="s">
        <v>15</v>
      </c>
      <c r="B23" s="23"/>
      <c r="C23" s="23"/>
      <c r="D23" s="23"/>
      <c r="E23" s="17"/>
      <c r="F23" s="17"/>
      <c r="H23" s="24" t="s">
        <v>16</v>
      </c>
      <c r="I23" s="24"/>
      <c r="J23" s="24"/>
      <c r="K23" s="24"/>
      <c r="L23" s="8"/>
      <c r="M23" s="8"/>
      <c r="O23" s="26" t="s">
        <v>41</v>
      </c>
      <c r="P23" s="26"/>
      <c r="Q23" s="26"/>
      <c r="R23" s="26"/>
      <c r="S23" s="29"/>
      <c r="T23" s="29"/>
      <c r="AC23" s="23" t="s">
        <v>15</v>
      </c>
      <c r="AD23" s="23"/>
      <c r="AE23" s="23"/>
      <c r="AF23" s="23"/>
      <c r="AG23" s="17"/>
      <c r="AH23" s="17"/>
      <c r="AJ23" s="24" t="s">
        <v>16</v>
      </c>
      <c r="AK23" s="24"/>
      <c r="AL23" s="24"/>
      <c r="AM23" s="24"/>
      <c r="AN23" s="8"/>
      <c r="AO23" s="8"/>
      <c r="AQ23" s="26" t="s">
        <v>41</v>
      </c>
      <c r="AR23" s="26"/>
      <c r="AS23" s="26"/>
      <c r="AT23" s="26"/>
      <c r="AU23" s="29"/>
      <c r="AV23" s="29"/>
      <c r="BE23" t="s">
        <v>67</v>
      </c>
      <c r="BF23" s="79"/>
      <c r="BG23" s="79"/>
      <c r="BH23" s="79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</row>
    <row r="24" spans="1:86">
      <c r="A24" s="30"/>
      <c r="B24" s="30"/>
      <c r="C24" s="30"/>
      <c r="D24" s="30"/>
      <c r="E24" s="17"/>
      <c r="F24" s="17"/>
      <c r="H24" s="25"/>
      <c r="I24" s="25"/>
      <c r="J24" s="25"/>
      <c r="K24" s="25"/>
      <c r="L24" s="8"/>
      <c r="M24" s="8"/>
      <c r="O24" s="30"/>
      <c r="P24" s="30"/>
      <c r="Q24" s="30"/>
      <c r="R24" s="30"/>
      <c r="S24" s="17"/>
      <c r="T24" s="17"/>
      <c r="AC24" s="30"/>
      <c r="AD24" s="30"/>
      <c r="AE24" s="30"/>
      <c r="AF24" s="30"/>
      <c r="AG24" s="17"/>
      <c r="AH24" s="17"/>
      <c r="AJ24" s="25"/>
      <c r="AK24" s="25"/>
      <c r="AL24" s="25"/>
      <c r="AM24" s="25"/>
      <c r="AN24" s="8"/>
      <c r="AO24" s="8"/>
      <c r="AQ24" s="30"/>
      <c r="AR24" s="30"/>
      <c r="AS24" s="30"/>
      <c r="AT24" s="30"/>
      <c r="AU24" s="17"/>
      <c r="AV24" s="17"/>
      <c r="BE24" t="s">
        <v>67</v>
      </c>
      <c r="BF24" s="79"/>
      <c r="BG24" s="79"/>
      <c r="BH24" s="79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</row>
    <row r="25" spans="1:86" ht="14.5" customHeight="1">
      <c r="A25" s="17"/>
      <c r="B25" s="17"/>
      <c r="C25" s="17"/>
      <c r="D25" s="17"/>
      <c r="E25" s="17"/>
      <c r="F25" s="17"/>
      <c r="H25" s="8"/>
      <c r="I25" s="8"/>
      <c r="J25" s="8"/>
      <c r="K25" s="8"/>
      <c r="L25" s="8"/>
      <c r="M25" s="8"/>
      <c r="O25" s="17"/>
      <c r="P25" s="17"/>
      <c r="Q25" s="17"/>
      <c r="R25" s="17"/>
      <c r="S25" s="17"/>
      <c r="T25" s="17"/>
      <c r="V25" s="105" t="s">
        <v>17</v>
      </c>
      <c r="W25" s="106"/>
      <c r="X25" s="106"/>
      <c r="Y25" s="106"/>
      <c r="Z25" s="107"/>
      <c r="AC25" s="17"/>
      <c r="AD25" s="17"/>
      <c r="AE25" s="17"/>
      <c r="AF25" s="17"/>
      <c r="AG25" s="17"/>
      <c r="AH25" s="17"/>
      <c r="AJ25" s="8"/>
      <c r="AK25" s="8"/>
      <c r="AL25" s="8"/>
      <c r="AM25" s="8"/>
      <c r="AN25" s="8"/>
      <c r="AO25" s="8"/>
      <c r="AQ25" s="17"/>
      <c r="AR25" s="17"/>
      <c r="AS25" s="17"/>
      <c r="AT25" s="17"/>
      <c r="AU25" s="17"/>
      <c r="AV25" s="17"/>
      <c r="AX25" s="105" t="s">
        <v>17</v>
      </c>
      <c r="AY25" s="106"/>
      <c r="AZ25" s="106"/>
      <c r="BA25" s="106"/>
      <c r="BB25" s="107"/>
      <c r="BE25" t="s">
        <v>67</v>
      </c>
      <c r="BF25" s="79"/>
      <c r="BG25" s="79"/>
      <c r="BH25" s="79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</row>
    <row r="26" spans="1:86">
      <c r="A26" s="17"/>
      <c r="B26" s="17"/>
      <c r="C26" s="17"/>
      <c r="D26" s="17"/>
      <c r="E26" s="17"/>
      <c r="F26" s="17"/>
      <c r="H26" s="8"/>
      <c r="I26" s="8"/>
      <c r="J26" s="8"/>
      <c r="K26" s="8"/>
      <c r="L26" s="8"/>
      <c r="M26" s="8"/>
      <c r="O26" s="17"/>
      <c r="P26" s="17"/>
      <c r="Q26" s="17"/>
      <c r="R26" s="17"/>
      <c r="S26" s="17"/>
      <c r="T26" s="17"/>
      <c r="V26" s="120"/>
      <c r="W26" s="121"/>
      <c r="X26" s="121"/>
      <c r="Y26" s="121"/>
      <c r="Z26" s="122"/>
      <c r="AC26" s="17"/>
      <c r="AD26" s="17"/>
      <c r="AE26" s="17"/>
      <c r="AF26" s="17"/>
      <c r="AG26" s="17"/>
      <c r="AH26" s="17"/>
      <c r="AJ26" s="8"/>
      <c r="AK26" s="8"/>
      <c r="AL26" s="8"/>
      <c r="AM26" s="8"/>
      <c r="AN26" s="8"/>
      <c r="AO26" s="8"/>
      <c r="AQ26" s="17"/>
      <c r="AR26" s="17"/>
      <c r="AS26" s="17"/>
      <c r="AT26" s="17"/>
      <c r="AU26" s="17"/>
      <c r="AV26" s="17"/>
      <c r="AX26" s="120"/>
      <c r="AY26" s="121"/>
      <c r="AZ26" s="121"/>
      <c r="BA26" s="121"/>
      <c r="BB26" s="122"/>
      <c r="BE26" t="s">
        <v>6989</v>
      </c>
      <c r="BF26" s="79" t="e">
        <f>CC14&amp;BF14&amp;CD14&amp;BF15&amp;CE14&amp;BF19&amp;CF14&amp;BF17&amp;CG14&amp;BF18&amp;CH14&amp;BF20&amp;CI14&amp;BJ14&amp;CJ14&amp;BK14&amp;CK14&amp;BL14&amp;CL14&amp;BP14&amp;CM14&amp;BQ14&amp;CN14&amp;BR14&amp;CO14&amp;BV14&amp;CP14&amp;BW14&amp;CQ14&amp;BX14&amp;CR14</f>
        <v>#N/A</v>
      </c>
      <c r="BG26" s="79"/>
      <c r="BH26" s="79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</row>
    <row r="27" spans="1:86">
      <c r="A27" s="110" t="e">
        <f>IF($BF$9="","",$BF$9)</f>
        <v>#N/A</v>
      </c>
      <c r="B27" s="110"/>
      <c r="C27" s="110"/>
      <c r="D27" s="110"/>
      <c r="E27" s="110"/>
      <c r="F27" s="110"/>
      <c r="H27" s="112" t="e">
        <f>IF($BG$9="","",$BG$9)</f>
        <v>#N/A</v>
      </c>
      <c r="I27" s="112"/>
      <c r="J27" s="112"/>
      <c r="K27" s="112"/>
      <c r="L27" s="112"/>
      <c r="M27" s="112"/>
      <c r="O27" s="119"/>
      <c r="P27" s="119"/>
      <c r="Q27" s="119"/>
      <c r="R27" s="119"/>
      <c r="S27" s="119"/>
      <c r="T27" s="119"/>
      <c r="V27" s="123"/>
      <c r="W27" s="124"/>
      <c r="X27" s="124"/>
      <c r="Y27" s="124"/>
      <c r="Z27" s="125"/>
      <c r="AC27" s="110" t="e">
        <f>IF($BF$10="","",$BF$10)</f>
        <v>#N/A</v>
      </c>
      <c r="AD27" s="110"/>
      <c r="AE27" s="110"/>
      <c r="AF27" s="110"/>
      <c r="AG27" s="110"/>
      <c r="AH27" s="110"/>
      <c r="AJ27" s="112" t="e">
        <f>IF($BG$10="","",$BG$10)</f>
        <v>#N/A</v>
      </c>
      <c r="AK27" s="112"/>
      <c r="AL27" s="112"/>
      <c r="AM27" s="112"/>
      <c r="AN27" s="112"/>
      <c r="AO27" s="112"/>
      <c r="AQ27" s="119"/>
      <c r="AR27" s="119"/>
      <c r="AS27" s="119"/>
      <c r="AT27" s="119"/>
      <c r="AU27" s="119"/>
      <c r="AV27" s="119"/>
      <c r="AX27" s="123"/>
      <c r="AY27" s="124"/>
      <c r="AZ27" s="124"/>
      <c r="BA27" s="124"/>
      <c r="BB27" s="125"/>
      <c r="BE27" t="s">
        <v>6990</v>
      </c>
      <c r="BF27" s="79" t="e">
        <f>CC14&amp;BF14&amp;CD14&amp;BF15&amp;CE14&amp;BF19&amp;CF14&amp;BF17&amp;CG14&amp;BF18&amp;CH14&amp;BF20&amp;CI14&amp;BM14&amp;CJ14&amp;BN14&amp;CK14&amp;BO14&amp;CL14&amp;BS14&amp;CM14&amp;BT14&amp;CN14&amp;BU14&amp;CO14&amp;BY14&amp;CP14&amp;BZ14&amp;CQ14&amp;CA14&amp;CR14</f>
        <v>#N/A</v>
      </c>
      <c r="BG27" s="79"/>
      <c r="BH27" s="79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</row>
    <row r="28" spans="1:86">
      <c r="AJ28" s="3"/>
      <c r="AK28" s="3"/>
      <c r="AM28" s="13"/>
      <c r="AN28" s="13"/>
      <c r="AU28" s="14"/>
      <c r="AV28" s="14"/>
      <c r="AW28" s="14"/>
      <c r="AX28" s="14"/>
      <c r="AY28" s="14"/>
      <c r="AZ28" s="14"/>
      <c r="BA28" s="14"/>
      <c r="BB28" s="14"/>
      <c r="BE28" t="s">
        <v>66</v>
      </c>
      <c r="BF28" s="79" t="e">
        <f>CC14&amp;BF14&amp;CD14&amp;BF15&amp;CE14&amp;BF19&amp;CF14&amp;BF17&amp;CG14&amp;BF18&amp;CH14&amp;BF20&amp;CI14&amp;BJ14&amp;CJ14&amp;BK14&amp;CK14&amp;BL14&amp;CL14&amp;BP14&amp;CM14&amp;BQ14&amp;CN14&amp;BR14&amp;CO14&amp;BV14&amp;CP14&amp;BW14&amp;CQ14&amp;BX14&amp;CR15</f>
        <v>#N/A</v>
      </c>
      <c r="BG28" s="79"/>
      <c r="BH28" s="79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</row>
    <row r="29" spans="1:86" ht="14.5" customHeight="1">
      <c r="A29" s="42" t="s">
        <v>23</v>
      </c>
      <c r="B29" s="43"/>
      <c r="C29" s="43"/>
      <c r="D29" s="43"/>
      <c r="E29" s="43"/>
      <c r="F29" s="43"/>
      <c r="G29" s="17"/>
      <c r="H29" s="17"/>
      <c r="I29" s="17"/>
      <c r="K29" s="47" t="s">
        <v>25</v>
      </c>
      <c r="L29" s="48"/>
      <c r="M29" s="48"/>
      <c r="N29" s="48"/>
      <c r="O29" s="48"/>
      <c r="P29" s="48"/>
      <c r="Q29" s="8"/>
      <c r="R29" s="8"/>
      <c r="S29" s="8"/>
      <c r="T29" s="46"/>
      <c r="U29" s="42" t="s">
        <v>26</v>
      </c>
      <c r="V29" s="43"/>
      <c r="W29" s="43"/>
      <c r="X29" s="43"/>
      <c r="Y29" s="17"/>
      <c r="Z29" s="17"/>
      <c r="AA29" s="17"/>
      <c r="AB29" s="17"/>
      <c r="AC29" s="17"/>
      <c r="AD29" s="17"/>
      <c r="BD29" t="s">
        <v>69</v>
      </c>
      <c r="BE29" t="s">
        <v>68</v>
      </c>
      <c r="BF29" s="79" t="str">
        <f>$BF$3&amp;"_"&amp;$BG$3</f>
        <v>_</v>
      </c>
      <c r="BG29" s="79"/>
      <c r="BH29" s="79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C29" s="87" t="str">
        <f>"@1)"</f>
        <v>@1)</v>
      </c>
      <c r="CD29" s="87" t="str">
        <f>"@2)"</f>
        <v>@2)</v>
      </c>
      <c r="CE29" s="87" t="str">
        <f>"@3)"</f>
        <v>@3)</v>
      </c>
      <c r="CF29" s="87" t="str">
        <f>"@4)"</f>
        <v>@4)</v>
      </c>
      <c r="CG29" s="87" t="str">
        <f>"@5)"</f>
        <v>@5)</v>
      </c>
      <c r="CH29" s="87" t="str">
        <f>"@99)Boxpack"</f>
        <v>@99)Boxpack</v>
      </c>
    </row>
    <row r="30" spans="1:86">
      <c r="A30" s="21"/>
      <c r="B30" s="21"/>
      <c r="C30" s="21"/>
      <c r="D30" s="21"/>
      <c r="E30" s="21"/>
      <c r="F30" s="21"/>
      <c r="G30" s="21"/>
      <c r="H30" s="21"/>
      <c r="I30" s="21"/>
      <c r="K30" s="49"/>
      <c r="L30" s="49"/>
      <c r="M30" s="49"/>
      <c r="N30" s="49"/>
      <c r="O30" s="49"/>
      <c r="P30" s="49"/>
      <c r="Q30" s="49"/>
      <c r="R30" s="8"/>
      <c r="S30" s="8"/>
      <c r="T30" s="20"/>
      <c r="U30" s="21"/>
      <c r="V30" s="17"/>
      <c r="W30" s="17"/>
      <c r="X30" s="17"/>
      <c r="Y30" s="17"/>
      <c r="Z30" s="17"/>
      <c r="AA30" s="17"/>
      <c r="AB30" s="17"/>
      <c r="AC30" s="17"/>
      <c r="AD30" s="17"/>
      <c r="BE30" t="s">
        <v>6982</v>
      </c>
      <c r="BF30" s="79" t="str">
        <f>$BF$3&amp;"[tab]"&amp;$BG$3&amp;"[tab]"&amp;BH3</f>
        <v>[tab][tab]</v>
      </c>
      <c r="BG30" s="79"/>
      <c r="BH30" s="79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C30" t="s">
        <v>6985</v>
      </c>
      <c r="CD30" t="s">
        <v>6986</v>
      </c>
      <c r="CE30" t="s">
        <v>6987</v>
      </c>
    </row>
    <row r="31" spans="1:86">
      <c r="A31" s="21"/>
      <c r="B31" s="21"/>
      <c r="C31" s="21"/>
      <c r="D31" s="21"/>
      <c r="E31" s="21"/>
      <c r="F31" s="21"/>
      <c r="G31" s="21"/>
      <c r="H31" s="21"/>
      <c r="I31" s="21"/>
      <c r="K31" s="49"/>
      <c r="L31" s="49"/>
      <c r="M31" s="49"/>
      <c r="N31" s="49"/>
      <c r="O31" s="49"/>
      <c r="P31" s="49"/>
      <c r="Q31" s="49"/>
      <c r="R31" s="8"/>
      <c r="S31" s="8"/>
      <c r="T31" s="20"/>
      <c r="U31" s="21"/>
      <c r="V31" s="17"/>
      <c r="W31" s="17"/>
      <c r="X31" s="17"/>
      <c r="Y31" s="17"/>
      <c r="Z31" s="17"/>
      <c r="AA31" s="17"/>
      <c r="AB31" s="17"/>
      <c r="AC31" s="17"/>
      <c r="AD31" s="17"/>
      <c r="BE31" t="s">
        <v>6984</v>
      </c>
      <c r="BF31" s="93" t="e">
        <f>$CC$31&amp;"[tab]"&amp;$CD$31&amp;"[tab]"&amp;CE31</f>
        <v>#N/A</v>
      </c>
      <c r="BG31" s="79"/>
      <c r="BH31" s="79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C31" s="79" t="e" cm="1">
        <f t="array" ref="CC31">INDEX('PTCA Packing 2'!G:G,MATCH($BF$3,'PTCA Packing 2'!$B:$B,0),0)</f>
        <v>#N/A</v>
      </c>
      <c r="CD31" s="79" t="e" cm="1">
        <f t="array" ref="CD31">INDEX('PTCA Packing 2'!E:E,MATCH($BF$3,'PTCA Packing 2'!$B:$B,0),0)</f>
        <v>#N/A</v>
      </c>
      <c r="CE31" s="79" t="e" cm="1">
        <f t="array" ref="CE31">INDEX('PTCA Packing 2'!D:D,MATCH($BF$3,'PTCA Packing 2'!$B:$B,0),0)</f>
        <v>#N/A</v>
      </c>
    </row>
    <row r="32" spans="1:86">
      <c r="A32" s="21"/>
      <c r="B32" s="21"/>
      <c r="C32" s="21"/>
      <c r="D32" s="21"/>
      <c r="E32" s="21"/>
      <c r="F32" s="21"/>
      <c r="G32" s="21"/>
      <c r="H32" s="21"/>
      <c r="I32" s="21"/>
      <c r="K32" s="49"/>
      <c r="L32" s="49"/>
      <c r="M32" s="49"/>
      <c r="N32" s="49"/>
      <c r="O32" s="49"/>
      <c r="P32" s="49"/>
      <c r="Q32" s="49"/>
      <c r="R32" s="8"/>
      <c r="S32" s="8"/>
      <c r="T32" s="20"/>
      <c r="U32" s="21"/>
      <c r="V32" s="17"/>
      <c r="W32" s="17"/>
      <c r="X32" s="17"/>
      <c r="Y32" s="17"/>
      <c r="Z32" s="17"/>
      <c r="AA32" s="17"/>
      <c r="AB32" s="17"/>
      <c r="AC32" s="17"/>
      <c r="AD32" s="17"/>
      <c r="AE32" s="19"/>
      <c r="BE32" t="s">
        <v>67</v>
      </c>
      <c r="BF32" s="79"/>
      <c r="BG32" s="79"/>
      <c r="BH32" s="79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</row>
    <row r="33" spans="1:79">
      <c r="A33" s="44" t="s">
        <v>24</v>
      </c>
      <c r="B33" s="45"/>
      <c r="C33" s="45"/>
      <c r="D33" s="45"/>
      <c r="E33" s="21"/>
      <c r="F33" s="21"/>
      <c r="G33" s="17"/>
      <c r="H33" s="45"/>
      <c r="I33" s="17"/>
      <c r="K33" s="50" t="s">
        <v>24</v>
      </c>
      <c r="L33" s="49"/>
      <c r="M33" s="49"/>
      <c r="N33" s="8"/>
      <c r="O33" s="51"/>
      <c r="P33" s="8"/>
      <c r="Q33" s="51"/>
      <c r="R33" s="8"/>
      <c r="S33" s="8"/>
      <c r="U33" s="44" t="s">
        <v>24</v>
      </c>
      <c r="V33" s="52"/>
      <c r="W33" s="52"/>
      <c r="X33" s="52"/>
      <c r="Y33" s="52"/>
      <c r="Z33" s="52"/>
      <c r="AA33" s="52"/>
      <c r="AB33" s="52"/>
      <c r="AC33" s="52"/>
      <c r="AD33" s="52"/>
      <c r="AH33" s="14"/>
      <c r="AI33" s="14"/>
      <c r="AK33" s="14"/>
      <c r="BA33" s="14"/>
      <c r="BE33" t="s">
        <v>67</v>
      </c>
      <c r="BF33" s="79"/>
      <c r="BG33" s="79"/>
      <c r="BH33" s="79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</row>
    <row r="34" spans="1:79" ht="1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E34" t="s">
        <v>67</v>
      </c>
      <c r="BF34" s="79"/>
      <c r="BG34" s="79"/>
      <c r="BH34" s="79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</row>
    <row r="35" spans="1:79">
      <c r="A35" s="10" t="s">
        <v>45</v>
      </c>
      <c r="C35" s="11"/>
      <c r="D35" s="4"/>
      <c r="AJ35" s="31"/>
      <c r="AM35" s="104" t="s">
        <v>43</v>
      </c>
      <c r="AN35" s="104"/>
      <c r="AO35" s="104"/>
      <c r="AP35" s="104"/>
      <c r="AQ35" s="104"/>
      <c r="AR35" s="104"/>
      <c r="AS35" s="104"/>
      <c r="AV35" s="104" t="s">
        <v>43</v>
      </c>
      <c r="AW35" s="104"/>
      <c r="AX35" s="104"/>
      <c r="AY35" s="104"/>
      <c r="AZ35" s="104"/>
      <c r="BA35" s="104"/>
      <c r="BB35" s="104"/>
      <c r="BE35" t="s">
        <v>51</v>
      </c>
      <c r="BF35" s="79" t="e">
        <f>CC29&amp;BF3&amp;CD29&amp;BG3&amp;CE29&amp;CC31&amp;CF29&amp;CE31&amp;CG29&amp;CD31&amp;CH29</f>
        <v>#N/A</v>
      </c>
      <c r="BG35" s="79"/>
      <c r="BH35" s="79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</row>
    <row r="36" spans="1:79">
      <c r="A36" s="10" t="s">
        <v>57</v>
      </c>
      <c r="B36" s="10"/>
      <c r="C36" s="10"/>
      <c r="D36" s="10"/>
      <c r="E36" s="10"/>
      <c r="F36" s="10"/>
      <c r="G36" s="10"/>
      <c r="H36" s="10"/>
      <c r="I36" s="9"/>
      <c r="J36" s="9"/>
      <c r="K36" s="9"/>
      <c r="L36" s="9"/>
      <c r="M36" s="9"/>
      <c r="N36" s="9"/>
      <c r="O36" s="14"/>
      <c r="P36" s="14"/>
      <c r="Q36" s="113"/>
      <c r="R36" s="113"/>
      <c r="S36" s="113"/>
      <c r="T36" s="113"/>
      <c r="U36" s="9"/>
      <c r="V36" s="9"/>
      <c r="W36" s="9"/>
      <c r="X36" s="9"/>
      <c r="Y36" s="9"/>
      <c r="Z36" s="9"/>
      <c r="AA36" s="9"/>
      <c r="AB36" s="9"/>
      <c r="AM36" s="53"/>
      <c r="AN36" s="55"/>
      <c r="AO36" s="55"/>
      <c r="AP36" s="55"/>
      <c r="AQ36" s="55"/>
      <c r="AR36" s="53"/>
      <c r="AS36" s="53"/>
      <c r="AV36" s="53"/>
      <c r="AW36" s="55"/>
      <c r="AX36" s="55"/>
      <c r="AY36" s="55"/>
      <c r="AZ36" s="55"/>
      <c r="BA36" s="53"/>
      <c r="BB36" s="53"/>
    </row>
    <row r="37" spans="1:79">
      <c r="A37" s="23" t="s">
        <v>10</v>
      </c>
      <c r="B37" s="23"/>
      <c r="C37" s="23"/>
      <c r="D37" s="23"/>
      <c r="E37" s="17"/>
      <c r="F37" s="17"/>
      <c r="H37" s="53" t="s">
        <v>27</v>
      </c>
      <c r="I37" s="53"/>
      <c r="J37" s="53"/>
      <c r="K37" s="53"/>
      <c r="L37" s="18"/>
      <c r="M37" s="18"/>
      <c r="O37" s="23" t="s">
        <v>28</v>
      </c>
      <c r="P37" s="23"/>
      <c r="Q37" s="23"/>
      <c r="R37" s="23"/>
      <c r="S37" s="17"/>
      <c r="T37" s="17"/>
      <c r="V37" s="53" t="s">
        <v>29</v>
      </c>
      <c r="W37" s="53"/>
      <c r="X37" s="53"/>
      <c r="Y37" s="53"/>
      <c r="Z37" s="18"/>
      <c r="AA37" s="18"/>
      <c r="AC37" s="23" t="s">
        <v>30</v>
      </c>
      <c r="AD37" s="23"/>
      <c r="AE37" s="23"/>
      <c r="AF37" s="23"/>
      <c r="AG37" s="17"/>
      <c r="AH37" s="17"/>
      <c r="AJ37" s="4"/>
      <c r="AK37" s="4"/>
      <c r="AL37" s="4"/>
      <c r="AM37" s="53"/>
      <c r="AN37" s="53"/>
      <c r="AO37" s="53"/>
      <c r="AP37" s="53"/>
      <c r="AQ37" s="53"/>
      <c r="AR37" s="53"/>
      <c r="AS37" s="53"/>
      <c r="AV37" s="53"/>
      <c r="AW37" s="53"/>
      <c r="AX37" s="53"/>
      <c r="AY37" s="53"/>
      <c r="AZ37" s="53"/>
      <c r="BA37" s="53"/>
      <c r="BB37" s="53"/>
    </row>
    <row r="38" spans="1:79">
      <c r="A38" s="30"/>
      <c r="B38" s="30"/>
      <c r="C38" s="30"/>
      <c r="D38" s="30"/>
      <c r="E38" s="17"/>
      <c r="F38" s="17"/>
      <c r="H38" s="54"/>
      <c r="I38" s="54"/>
      <c r="J38" s="54"/>
      <c r="K38" s="54"/>
      <c r="L38" s="18"/>
      <c r="M38" s="18"/>
      <c r="O38" s="30"/>
      <c r="P38" s="30"/>
      <c r="Q38" s="30"/>
      <c r="R38" s="30"/>
      <c r="S38" s="17"/>
      <c r="T38" s="17"/>
      <c r="V38" s="54"/>
      <c r="X38" s="54"/>
      <c r="Y38" s="54"/>
      <c r="Z38" s="18"/>
      <c r="AA38" s="18"/>
      <c r="AC38" s="30"/>
      <c r="AD38" s="30"/>
      <c r="AE38" s="30"/>
      <c r="AF38" s="30"/>
      <c r="AG38" s="17"/>
      <c r="AH38" s="17"/>
      <c r="AJ38" s="85"/>
      <c r="AK38" s="85"/>
      <c r="AL38" s="85"/>
      <c r="AM38" s="53"/>
      <c r="AN38" s="53"/>
      <c r="AO38" s="53"/>
      <c r="AP38" s="53"/>
      <c r="AQ38" s="53"/>
      <c r="AR38" s="53"/>
      <c r="AS38" s="53"/>
      <c r="AV38" s="53"/>
      <c r="AW38" s="53"/>
      <c r="AX38" s="53"/>
      <c r="AY38" s="53"/>
      <c r="AZ38" s="53"/>
      <c r="BA38" s="53"/>
      <c r="BB38" s="53"/>
    </row>
    <row r="39" spans="1:79">
      <c r="A39" s="17"/>
      <c r="B39" s="17"/>
      <c r="C39" s="17"/>
      <c r="D39" s="17"/>
      <c r="E39" s="17"/>
      <c r="F39" s="17"/>
      <c r="H39" s="18"/>
      <c r="I39" s="18"/>
      <c r="J39" s="18"/>
      <c r="K39" s="18"/>
      <c r="L39" s="18"/>
      <c r="M39" s="18"/>
      <c r="O39" s="17"/>
      <c r="P39" s="17"/>
      <c r="Q39" s="17"/>
      <c r="R39" s="17"/>
      <c r="S39" s="17"/>
      <c r="T39" s="17"/>
      <c r="V39" s="18"/>
      <c r="W39" s="18"/>
      <c r="X39" s="18"/>
      <c r="Y39" s="18"/>
      <c r="Z39" s="18"/>
      <c r="AA39" s="18"/>
      <c r="AC39" s="17"/>
      <c r="AD39" s="17"/>
      <c r="AE39" s="17"/>
      <c r="AF39" s="17"/>
      <c r="AG39" s="17"/>
      <c r="AH39" s="17"/>
      <c r="AM39" s="105" t="s">
        <v>17</v>
      </c>
      <c r="AN39" s="106"/>
      <c r="AO39" s="106"/>
      <c r="AP39" s="106"/>
      <c r="AQ39" s="106"/>
      <c r="AR39" s="106"/>
      <c r="AS39" s="107"/>
      <c r="AV39" s="105" t="s">
        <v>17</v>
      </c>
      <c r="AW39" s="106"/>
      <c r="AX39" s="106"/>
      <c r="AY39" s="106"/>
      <c r="AZ39" s="106"/>
      <c r="BA39" s="106"/>
      <c r="BB39" s="107"/>
    </row>
    <row r="40" spans="1:79">
      <c r="A40" s="17"/>
      <c r="B40" s="17"/>
      <c r="C40" s="17"/>
      <c r="D40" s="17"/>
      <c r="E40" s="17"/>
      <c r="F40" s="17"/>
      <c r="H40" s="18"/>
      <c r="I40" s="18"/>
      <c r="J40" s="18"/>
      <c r="K40" s="18"/>
      <c r="L40" s="18"/>
      <c r="M40" s="18"/>
      <c r="O40" s="17"/>
      <c r="P40" s="17"/>
      <c r="Q40" s="17"/>
      <c r="R40" s="17"/>
      <c r="S40" s="17"/>
      <c r="T40" s="17"/>
      <c r="V40" s="18"/>
      <c r="W40" s="18"/>
      <c r="X40" s="18"/>
      <c r="Y40" s="18"/>
      <c r="Z40" s="18"/>
      <c r="AA40" s="18"/>
      <c r="AC40" s="17"/>
      <c r="AD40" s="17"/>
      <c r="AE40" s="17"/>
      <c r="AF40" s="17"/>
      <c r="AG40" s="17"/>
      <c r="AH40" s="17"/>
      <c r="AM40" s="36"/>
      <c r="AN40" s="37"/>
      <c r="AO40" s="37"/>
      <c r="AP40" s="37"/>
      <c r="AQ40" s="37"/>
      <c r="AR40" s="37"/>
      <c r="AS40" s="38"/>
      <c r="AV40" s="36"/>
      <c r="AW40" s="37"/>
      <c r="AX40" s="37"/>
      <c r="AY40" s="37"/>
      <c r="AZ40" s="37"/>
      <c r="BA40" s="37"/>
      <c r="BB40" s="38"/>
    </row>
    <row r="41" spans="1:79">
      <c r="A41" s="110">
        <f>IF($BF$14="","",$BF$14)</f>
        <v>0</v>
      </c>
      <c r="B41" s="110"/>
      <c r="C41" s="110"/>
      <c r="D41" s="110"/>
      <c r="E41" s="110"/>
      <c r="F41" s="110"/>
      <c r="H41" s="110">
        <f>IF($BF$15="","",$BF$15)</f>
        <v>0</v>
      </c>
      <c r="I41" s="110"/>
      <c r="J41" s="110"/>
      <c r="K41" s="110"/>
      <c r="L41" s="110"/>
      <c r="M41" s="110"/>
      <c r="O41" s="110">
        <f>IF($BF$16="","",$BF$16)</f>
        <v>0</v>
      </c>
      <c r="P41" s="110"/>
      <c r="Q41" s="110"/>
      <c r="R41" s="110"/>
      <c r="S41" s="110"/>
      <c r="T41" s="110"/>
      <c r="V41" s="110" t="e">
        <f>IF($BF$18="","",$BF$18)</f>
        <v>#N/A</v>
      </c>
      <c r="W41" s="110"/>
      <c r="X41" s="110"/>
      <c r="Y41" s="110"/>
      <c r="Z41" s="110"/>
      <c r="AA41" s="110"/>
      <c r="AC41" s="110" t="e">
        <f>IF($BF$18="","",$BF$18)</f>
        <v>#N/A</v>
      </c>
      <c r="AD41" s="110"/>
      <c r="AE41" s="110"/>
      <c r="AF41" s="110"/>
      <c r="AG41" s="110"/>
      <c r="AH41" s="110"/>
      <c r="AJ41" s="4"/>
      <c r="AK41" s="4"/>
      <c r="AL41" s="4"/>
      <c r="AM41" s="39"/>
      <c r="AN41" s="22"/>
      <c r="AO41" s="22"/>
      <c r="AP41" s="22"/>
      <c r="AQ41" s="22"/>
      <c r="AR41" s="22"/>
      <c r="AS41" s="40"/>
      <c r="AV41" s="39"/>
      <c r="AW41" s="22"/>
      <c r="AX41" s="22"/>
      <c r="AY41" s="22"/>
      <c r="AZ41" s="22"/>
      <c r="BA41" s="22"/>
      <c r="BB41" s="40"/>
    </row>
    <row r="42" spans="1:79">
      <c r="A42" s="10"/>
      <c r="B42" s="28"/>
      <c r="C42" s="28"/>
      <c r="D42" s="28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AV42" s="115" t="s">
        <v>42</v>
      </c>
      <c r="AW42" s="115"/>
      <c r="AX42" s="115"/>
      <c r="AY42" s="115"/>
      <c r="AZ42" s="115"/>
      <c r="BA42" s="115"/>
      <c r="BB42" s="115"/>
    </row>
    <row r="43" spans="1:79">
      <c r="A43" s="23" t="s">
        <v>31</v>
      </c>
      <c r="B43" s="23"/>
      <c r="C43" s="23"/>
      <c r="D43" s="23"/>
      <c r="E43" s="17"/>
      <c r="F43" s="17"/>
      <c r="H43" s="53" t="s">
        <v>32</v>
      </c>
      <c r="I43" s="53"/>
      <c r="J43" s="53"/>
      <c r="K43" s="53"/>
      <c r="L43" s="18"/>
      <c r="M43" s="18"/>
      <c r="O43" s="23" t="s">
        <v>33</v>
      </c>
      <c r="P43" s="23"/>
      <c r="Q43" s="23"/>
      <c r="R43" s="23"/>
      <c r="S43" s="23"/>
      <c r="T43" s="17"/>
      <c r="V43" s="53"/>
      <c r="W43" s="53"/>
      <c r="X43" s="53"/>
      <c r="Y43" s="53"/>
      <c r="Z43" s="18"/>
      <c r="AA43" s="18"/>
      <c r="AC43" s="23"/>
      <c r="AD43" s="23"/>
      <c r="AE43" s="23"/>
      <c r="AF43" s="23"/>
      <c r="AG43" s="17"/>
      <c r="AH43" s="17"/>
      <c r="AJ43" s="4"/>
      <c r="AK43" s="4"/>
      <c r="AL43" s="4"/>
      <c r="AM43" s="4"/>
      <c r="AV43" s="53"/>
      <c r="AW43" s="55"/>
      <c r="AX43" s="55"/>
      <c r="AY43" s="55"/>
      <c r="AZ43" s="55"/>
      <c r="BA43" s="53"/>
      <c r="BB43" s="53"/>
    </row>
    <row r="44" spans="1:79">
      <c r="A44" s="30"/>
      <c r="B44" s="30"/>
      <c r="C44" s="30"/>
      <c r="D44" s="30"/>
      <c r="E44" s="17"/>
      <c r="F44" s="17"/>
      <c r="H44" s="78"/>
      <c r="I44" s="78"/>
      <c r="J44" s="78"/>
      <c r="K44" s="78"/>
      <c r="L44" s="18"/>
      <c r="M44" s="18"/>
      <c r="O44" s="103"/>
      <c r="P44" s="103"/>
      <c r="Q44" s="103"/>
      <c r="R44" s="103"/>
      <c r="S44" s="17"/>
      <c r="T44" s="17"/>
      <c r="V44" s="54"/>
      <c r="W44" s="54"/>
      <c r="X44" s="54"/>
      <c r="Y44" s="54"/>
      <c r="Z44" s="18"/>
      <c r="AA44" s="18"/>
      <c r="AC44" s="30"/>
      <c r="AD44" s="30"/>
      <c r="AE44" s="30"/>
      <c r="AF44" s="30"/>
      <c r="AG44" s="17"/>
      <c r="AH44" s="17"/>
      <c r="AJ44" s="85"/>
      <c r="AK44" s="85"/>
      <c r="AL44" s="85"/>
      <c r="AM44" s="85"/>
      <c r="AN44" s="85"/>
      <c r="AV44" s="53"/>
      <c r="AW44" s="53"/>
      <c r="AX44" s="53"/>
      <c r="AY44" s="53"/>
      <c r="AZ44" s="53"/>
      <c r="BA44" s="53"/>
      <c r="BB44" s="53"/>
    </row>
    <row r="45" spans="1:79">
      <c r="A45" s="17"/>
      <c r="B45" s="17"/>
      <c r="C45" s="17"/>
      <c r="D45" s="17"/>
      <c r="E45" s="17"/>
      <c r="F45" s="17"/>
      <c r="H45" s="18"/>
      <c r="I45" s="18"/>
      <c r="J45" s="18"/>
      <c r="K45" s="18"/>
      <c r="L45" s="18"/>
      <c r="M45" s="18"/>
      <c r="O45" s="17"/>
      <c r="P45" s="17"/>
      <c r="Q45" s="17"/>
      <c r="R45" s="17"/>
      <c r="S45" s="17"/>
      <c r="T45" s="17"/>
      <c r="V45" s="18"/>
      <c r="W45" s="18"/>
      <c r="X45" s="18"/>
      <c r="Y45" s="18"/>
      <c r="Z45" s="18"/>
      <c r="AA45" s="18"/>
      <c r="AC45" s="17"/>
      <c r="AD45" s="17"/>
      <c r="AE45" s="17"/>
      <c r="AF45" s="17"/>
      <c r="AG45" s="17"/>
      <c r="AH45" s="17"/>
      <c r="AV45" s="53"/>
      <c r="AW45" s="53"/>
      <c r="AX45" s="53"/>
      <c r="AY45" s="53"/>
      <c r="AZ45" s="53"/>
      <c r="BA45" s="53"/>
      <c r="BB45" s="53"/>
    </row>
    <row r="46" spans="1:79" ht="14.5" customHeight="1">
      <c r="A46" s="17"/>
      <c r="B46" s="17"/>
      <c r="C46" s="17"/>
      <c r="D46" s="17"/>
      <c r="E46" s="17"/>
      <c r="F46" s="17"/>
      <c r="H46" s="18"/>
      <c r="I46" s="18"/>
      <c r="J46" s="18"/>
      <c r="K46" s="18"/>
      <c r="L46" s="18"/>
      <c r="M46" s="18"/>
      <c r="O46" s="17"/>
      <c r="P46" s="17"/>
      <c r="Q46" s="17"/>
      <c r="R46" s="17"/>
      <c r="S46" s="17"/>
      <c r="T46" s="17"/>
      <c r="V46" s="18"/>
      <c r="W46" s="18"/>
      <c r="X46" s="18"/>
      <c r="Y46" s="18"/>
      <c r="Z46" s="18"/>
      <c r="AA46" s="18"/>
      <c r="AC46" s="17"/>
      <c r="AD46" s="17"/>
      <c r="AE46" s="17"/>
      <c r="AF46" s="17"/>
      <c r="AG46" s="17"/>
      <c r="AH46" s="17"/>
      <c r="AT46" s="19"/>
      <c r="AV46" s="105" t="s">
        <v>17</v>
      </c>
      <c r="AW46" s="106"/>
      <c r="AX46" s="106"/>
      <c r="AY46" s="106"/>
      <c r="AZ46" s="106"/>
      <c r="BA46" s="106"/>
      <c r="BB46" s="107"/>
    </row>
    <row r="47" spans="1:79" ht="14.5" customHeight="1">
      <c r="A47" s="110" t="e">
        <f>IF($BF$19="","",$BF$19)</f>
        <v>#N/A</v>
      </c>
      <c r="B47" s="110"/>
      <c r="C47" s="110"/>
      <c r="D47" s="110"/>
      <c r="E47" s="110"/>
      <c r="F47" s="110"/>
      <c r="H47" s="111" t="e">
        <f>IF($BF$20="","",$BF$20)</f>
        <v>#N/A</v>
      </c>
      <c r="I47" s="111"/>
      <c r="J47" s="111"/>
      <c r="K47" s="111"/>
      <c r="L47" s="111"/>
      <c r="M47" s="111"/>
      <c r="O47" s="110" t="e">
        <f>IF($BF$21="","",$BF$21)</f>
        <v>#N/A</v>
      </c>
      <c r="P47" s="110"/>
      <c r="Q47" s="110"/>
      <c r="R47" s="110"/>
      <c r="S47" s="110"/>
      <c r="T47" s="110"/>
      <c r="V47" s="110" t="str">
        <f>IF($BF$23="","",$BF$23)</f>
        <v/>
      </c>
      <c r="W47" s="110"/>
      <c r="X47" s="110"/>
      <c r="Y47" s="110"/>
      <c r="Z47" s="110"/>
      <c r="AA47" s="110"/>
      <c r="AC47" s="110" t="str">
        <f>IF($BF$24="","",$BF$24)</f>
        <v/>
      </c>
      <c r="AD47" s="110"/>
      <c r="AE47" s="110"/>
      <c r="AF47" s="110"/>
      <c r="AG47" s="110"/>
      <c r="AH47" s="110"/>
      <c r="AJ47" s="4"/>
      <c r="AK47" s="4"/>
      <c r="AL47" s="4"/>
      <c r="AM47" s="4"/>
      <c r="AN47" s="4"/>
      <c r="AO47" s="4"/>
      <c r="AP47" s="11"/>
      <c r="AQ47" s="11"/>
      <c r="AR47" s="11"/>
      <c r="AV47" s="36"/>
      <c r="AW47" s="37"/>
      <c r="AX47" s="37"/>
      <c r="AY47" s="37"/>
      <c r="AZ47" s="37"/>
      <c r="BA47" s="37"/>
      <c r="BB47" s="38"/>
    </row>
    <row r="48" spans="1:79" ht="12" customHeight="1">
      <c r="A48" s="32"/>
      <c r="B48" s="32"/>
      <c r="C48" s="32"/>
      <c r="D48" s="32"/>
      <c r="E48" s="32"/>
      <c r="F48" s="32"/>
      <c r="G48" s="2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39"/>
      <c r="AW48" s="22"/>
      <c r="AX48" s="22"/>
      <c r="AY48" s="22"/>
      <c r="AZ48" s="22"/>
      <c r="BA48" s="22"/>
      <c r="BB48" s="40"/>
    </row>
    <row r="49" spans="1:54">
      <c r="A49" s="10" t="s">
        <v>44</v>
      </c>
      <c r="AV49" s="114" t="s">
        <v>41</v>
      </c>
      <c r="AW49" s="114"/>
      <c r="AX49" s="114"/>
      <c r="AY49" s="114"/>
      <c r="AZ49" s="114"/>
      <c r="BA49" s="114"/>
      <c r="BB49" s="114"/>
    </row>
    <row r="50" spans="1:54">
      <c r="A50" s="110" t="s">
        <v>39</v>
      </c>
      <c r="B50" s="110"/>
      <c r="C50" s="110"/>
      <c r="D50" s="110"/>
      <c r="E50" s="17"/>
      <c r="F50" s="17"/>
      <c r="H50" s="34" t="s">
        <v>40</v>
      </c>
      <c r="I50" s="34"/>
      <c r="J50" s="34"/>
      <c r="K50" s="34"/>
      <c r="L50" s="1"/>
      <c r="M50" s="1"/>
      <c r="O50" s="82" t="s">
        <v>6983</v>
      </c>
      <c r="P50" s="82"/>
      <c r="Q50" s="82"/>
      <c r="R50" s="82"/>
      <c r="S50" s="83"/>
      <c r="T50" s="83"/>
      <c r="V50" s="34"/>
      <c r="W50" s="34"/>
      <c r="X50" s="34"/>
      <c r="Y50" s="34"/>
      <c r="Z50" s="1"/>
      <c r="AA50" s="1"/>
      <c r="AC50" s="82"/>
      <c r="AD50" s="82"/>
      <c r="AE50" s="82"/>
      <c r="AF50" s="82"/>
      <c r="AG50" s="83"/>
      <c r="AH50" s="83"/>
      <c r="AI50" s="4"/>
      <c r="AJ50" s="34"/>
      <c r="AK50" s="34"/>
      <c r="AL50" s="34"/>
      <c r="AM50" s="34"/>
      <c r="AN50" s="1"/>
      <c r="AO50" s="1"/>
      <c r="AP50" s="4"/>
      <c r="AQ50" s="4"/>
      <c r="AR50" s="4"/>
      <c r="AV50" s="34"/>
      <c r="AW50" s="41"/>
      <c r="AX50" s="41"/>
      <c r="AY50" s="41"/>
      <c r="AZ50" s="41"/>
      <c r="BA50" s="34"/>
      <c r="BB50" s="34"/>
    </row>
    <row r="51" spans="1:54">
      <c r="A51" s="103"/>
      <c r="B51" s="103"/>
      <c r="C51" s="103"/>
      <c r="D51" s="103"/>
      <c r="E51" s="17"/>
      <c r="F51" s="17"/>
      <c r="H51" s="35"/>
      <c r="I51" s="35"/>
      <c r="J51" s="35"/>
      <c r="K51" s="35"/>
      <c r="L51" s="1"/>
      <c r="M51" s="1"/>
      <c r="O51" s="84"/>
      <c r="P51" s="84"/>
      <c r="Q51" s="84"/>
      <c r="R51" s="84"/>
      <c r="S51" s="83"/>
      <c r="T51" s="83"/>
      <c r="V51" s="35"/>
      <c r="W51" s="35"/>
      <c r="X51" s="35"/>
      <c r="Y51" s="35"/>
      <c r="Z51" s="1"/>
      <c r="AA51" s="1"/>
      <c r="AC51" s="84"/>
      <c r="AD51" s="84"/>
      <c r="AE51" s="84"/>
      <c r="AF51" s="84"/>
      <c r="AG51" s="83"/>
      <c r="AH51" s="83"/>
      <c r="AI51" s="85"/>
      <c r="AJ51" s="35"/>
      <c r="AK51" s="35"/>
      <c r="AL51" s="35"/>
      <c r="AM51" s="35"/>
      <c r="AN51" s="1"/>
      <c r="AO51" s="1"/>
      <c r="AP51" s="85"/>
      <c r="AQ51" s="85"/>
      <c r="AR51" s="85"/>
      <c r="AS51" s="85"/>
      <c r="AV51" s="34"/>
      <c r="AW51" s="34"/>
      <c r="AX51" s="34"/>
      <c r="AY51" s="34"/>
      <c r="AZ51" s="34"/>
      <c r="BA51" s="34"/>
      <c r="BB51" s="34"/>
    </row>
    <row r="52" spans="1:54">
      <c r="A52" s="17"/>
      <c r="B52" s="17"/>
      <c r="C52" s="17"/>
      <c r="D52" s="17"/>
      <c r="E52" s="17"/>
      <c r="F52" s="17"/>
      <c r="H52" s="1"/>
      <c r="I52" s="1"/>
      <c r="J52" s="1"/>
      <c r="K52" s="1"/>
      <c r="L52" s="1"/>
      <c r="M52" s="1"/>
      <c r="O52" s="83"/>
      <c r="P52" s="83"/>
      <c r="Q52" s="83"/>
      <c r="R52" s="83"/>
      <c r="S52" s="83"/>
      <c r="T52" s="83"/>
      <c r="V52" s="1"/>
      <c r="W52" s="1"/>
      <c r="X52" s="1"/>
      <c r="Y52" s="1"/>
      <c r="Z52" s="1"/>
      <c r="AA52" s="1"/>
      <c r="AC52" s="83"/>
      <c r="AD52" s="83"/>
      <c r="AE52" s="83"/>
      <c r="AF52" s="83"/>
      <c r="AG52" s="83"/>
      <c r="AH52" s="83"/>
      <c r="AJ52" s="1"/>
      <c r="AK52" s="1"/>
      <c r="AL52" s="1"/>
      <c r="AM52" s="1"/>
      <c r="AN52" s="1"/>
      <c r="AO52" s="1"/>
      <c r="AV52" s="34"/>
      <c r="AW52" s="34"/>
      <c r="AX52" s="34"/>
      <c r="AY52" s="34"/>
      <c r="AZ52" s="34"/>
      <c r="BA52" s="34"/>
      <c r="BB52" s="34"/>
    </row>
    <row r="53" spans="1:54" ht="14.5" customHeight="1">
      <c r="A53" s="17"/>
      <c r="B53" s="17"/>
      <c r="C53" s="17"/>
      <c r="D53" s="17"/>
      <c r="E53" s="17"/>
      <c r="F53" s="17"/>
      <c r="H53" s="1"/>
      <c r="I53" s="1"/>
      <c r="J53" s="1"/>
      <c r="K53" s="1"/>
      <c r="L53" s="1"/>
      <c r="M53" s="1"/>
      <c r="O53" s="83"/>
      <c r="P53" s="83"/>
      <c r="Q53" s="83"/>
      <c r="R53" s="83"/>
      <c r="S53" s="83"/>
      <c r="T53" s="83"/>
      <c r="V53" s="1"/>
      <c r="W53" s="1"/>
      <c r="X53" s="1"/>
      <c r="Y53" s="1"/>
      <c r="Z53" s="1"/>
      <c r="AA53" s="1"/>
      <c r="AC53" s="83"/>
      <c r="AD53" s="83"/>
      <c r="AE53" s="83"/>
      <c r="AF53" s="83"/>
      <c r="AG53" s="83"/>
      <c r="AH53" s="83"/>
      <c r="AJ53" s="1"/>
      <c r="AK53" s="1"/>
      <c r="AL53" s="1"/>
      <c r="AM53" s="1"/>
      <c r="AN53" s="1"/>
      <c r="AO53" s="1"/>
      <c r="AV53" s="105" t="s">
        <v>17</v>
      </c>
      <c r="AW53" s="106"/>
      <c r="AX53" s="106"/>
      <c r="AY53" s="106"/>
      <c r="AZ53" s="106"/>
      <c r="BA53" s="106"/>
      <c r="BB53" s="107"/>
    </row>
    <row r="54" spans="1:54" ht="14.5" customHeight="1">
      <c r="A54" s="108" t="str">
        <f>IF($BF$29="","",$BF$29)</f>
        <v>_</v>
      </c>
      <c r="B54" s="108"/>
      <c r="C54" s="108"/>
      <c r="D54" s="108"/>
      <c r="E54" s="108"/>
      <c r="F54" s="108"/>
      <c r="G54" s="80"/>
      <c r="H54" s="108" t="str">
        <f>IF($BF$30="","",$BF$30)</f>
        <v>[tab][tab]</v>
      </c>
      <c r="I54" s="108"/>
      <c r="J54" s="108"/>
      <c r="K54" s="108"/>
      <c r="L54" s="108"/>
      <c r="M54" s="108"/>
      <c r="N54" s="80"/>
      <c r="O54" s="108" t="e">
        <f>IF($BF$31="","",$BF$31)</f>
        <v>#N/A</v>
      </c>
      <c r="P54" s="108"/>
      <c r="Q54" s="108"/>
      <c r="R54" s="108"/>
      <c r="S54" s="108"/>
      <c r="T54" s="108"/>
      <c r="U54" s="80"/>
      <c r="V54" s="109" t="str">
        <f>IF($BF$32="","",$BF$32)</f>
        <v/>
      </c>
      <c r="W54" s="109"/>
      <c r="X54" s="109"/>
      <c r="Y54" s="109"/>
      <c r="Z54" s="109"/>
      <c r="AA54" s="109"/>
      <c r="AB54" s="80"/>
      <c r="AC54" s="108" t="str">
        <f>IF($BF$33="","",$BF$33)</f>
        <v/>
      </c>
      <c r="AD54" s="108"/>
      <c r="AE54" s="108"/>
      <c r="AF54" s="108"/>
      <c r="AG54" s="108"/>
      <c r="AH54" s="108"/>
      <c r="AI54" s="81"/>
      <c r="AJ54" s="109" t="str">
        <f>IF($BF$34="","",$BF$34)</f>
        <v/>
      </c>
      <c r="AK54" s="109"/>
      <c r="AL54" s="109"/>
      <c r="AM54" s="109"/>
      <c r="AN54" s="109"/>
      <c r="AO54" s="109"/>
      <c r="AP54" s="81"/>
      <c r="AQ54" s="81"/>
      <c r="AR54" s="81"/>
      <c r="AS54" s="80"/>
      <c r="AT54" s="80"/>
      <c r="AV54" s="36"/>
      <c r="AW54" s="37"/>
      <c r="AX54" s="37"/>
      <c r="AY54" s="37"/>
      <c r="AZ54" s="37"/>
      <c r="BA54" s="37"/>
      <c r="BB54" s="38"/>
    </row>
    <row r="55" spans="1:54">
      <c r="A55" s="108"/>
      <c r="B55" s="108"/>
      <c r="C55" s="108"/>
      <c r="D55" s="108"/>
      <c r="E55" s="108"/>
      <c r="F55" s="108"/>
      <c r="G55" s="80"/>
      <c r="H55" s="108"/>
      <c r="I55" s="108"/>
      <c r="J55" s="108"/>
      <c r="K55" s="108"/>
      <c r="L55" s="108"/>
      <c r="M55" s="108"/>
      <c r="N55" s="81"/>
      <c r="O55" s="108"/>
      <c r="P55" s="108"/>
      <c r="Q55" s="108"/>
      <c r="R55" s="108"/>
      <c r="S55" s="108"/>
      <c r="T55" s="108"/>
      <c r="U55" s="81"/>
      <c r="V55" s="109"/>
      <c r="W55" s="109"/>
      <c r="X55" s="109"/>
      <c r="Y55" s="109"/>
      <c r="Z55" s="109"/>
      <c r="AA55" s="109"/>
      <c r="AB55" s="80"/>
      <c r="AC55" s="108"/>
      <c r="AD55" s="108"/>
      <c r="AE55" s="108"/>
      <c r="AF55" s="108"/>
      <c r="AG55" s="108"/>
      <c r="AH55" s="108"/>
      <c r="AI55" s="80"/>
      <c r="AJ55" s="109"/>
      <c r="AK55" s="109"/>
      <c r="AL55" s="109"/>
      <c r="AM55" s="109"/>
      <c r="AN55" s="109"/>
      <c r="AO55" s="109"/>
      <c r="AP55" s="80"/>
      <c r="AQ55" s="80"/>
      <c r="AR55" s="80"/>
      <c r="AS55" s="80"/>
      <c r="AT55" s="80"/>
      <c r="AV55" s="39"/>
      <c r="AW55" s="22"/>
      <c r="AX55" s="22"/>
      <c r="AY55" s="22"/>
      <c r="AZ55" s="22"/>
      <c r="BA55" s="22"/>
      <c r="BB55" s="40"/>
    </row>
    <row r="56" spans="1:54">
      <c r="A56" s="108"/>
      <c r="B56" s="108"/>
      <c r="C56" s="108"/>
      <c r="D56" s="108"/>
      <c r="E56" s="108"/>
      <c r="F56" s="108"/>
      <c r="H56" s="108"/>
      <c r="I56" s="108"/>
      <c r="J56" s="108"/>
      <c r="K56" s="108"/>
      <c r="L56" s="108"/>
      <c r="M56" s="108"/>
      <c r="O56" s="108"/>
      <c r="P56" s="108"/>
      <c r="Q56" s="108"/>
      <c r="R56" s="108"/>
      <c r="S56" s="108"/>
      <c r="T56" s="108"/>
      <c r="V56" s="109"/>
      <c r="W56" s="109"/>
      <c r="X56" s="109"/>
      <c r="Y56" s="109"/>
      <c r="Z56" s="109"/>
      <c r="AA56" s="109"/>
      <c r="AC56" s="108"/>
      <c r="AD56" s="108"/>
      <c r="AE56" s="108"/>
      <c r="AF56" s="108"/>
      <c r="AG56" s="108"/>
      <c r="AH56" s="108"/>
      <c r="AJ56" s="109"/>
      <c r="AK56" s="109"/>
      <c r="AL56" s="109"/>
      <c r="AM56" s="109"/>
      <c r="AN56" s="109"/>
      <c r="AO56" s="109"/>
    </row>
    <row r="57" spans="1:54" ht="15.5"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BB57" s="86"/>
    </row>
    <row r="58" spans="1:54" ht="15.5"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BB58" s="86"/>
    </row>
    <row r="59" spans="1:54" ht="15.5"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BB59" s="86"/>
    </row>
    <row r="60" spans="1:54" ht="15.5"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BB60" s="86"/>
    </row>
    <row r="61" spans="1:54" ht="15.5"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BB61" s="86"/>
    </row>
    <row r="62" spans="1:54" ht="15.5"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BB62" s="86"/>
    </row>
  </sheetData>
  <mergeCells count="62">
    <mergeCell ref="AQ27:AV27"/>
    <mergeCell ref="AX19:BB19"/>
    <mergeCell ref="V20:Z21"/>
    <mergeCell ref="AX20:BB21"/>
    <mergeCell ref="O21:T21"/>
    <mergeCell ref="AQ21:AV21"/>
    <mergeCell ref="AC27:AH27"/>
    <mergeCell ref="AJ27:AO27"/>
    <mergeCell ref="AV35:BB35"/>
    <mergeCell ref="A1:BB2"/>
    <mergeCell ref="Z7:AC7"/>
    <mergeCell ref="AD7:AE7"/>
    <mergeCell ref="AS6:BB6"/>
    <mergeCell ref="O15:T15"/>
    <mergeCell ref="AX13:BB13"/>
    <mergeCell ref="AX14:BB15"/>
    <mergeCell ref="V14:Z15"/>
    <mergeCell ref="V13:Z13"/>
    <mergeCell ref="AQ15:AV15"/>
    <mergeCell ref="V19:Z19"/>
    <mergeCell ref="V25:Z25"/>
    <mergeCell ref="AX25:BB25"/>
    <mergeCell ref="V26:Z27"/>
    <mergeCell ref="AX26:BB27"/>
    <mergeCell ref="AV39:BB39"/>
    <mergeCell ref="AV42:BB42"/>
    <mergeCell ref="A41:F41"/>
    <mergeCell ref="H41:M41"/>
    <mergeCell ref="V41:AA41"/>
    <mergeCell ref="AC41:AH41"/>
    <mergeCell ref="AV46:BB46"/>
    <mergeCell ref="AV53:BB53"/>
    <mergeCell ref="AV49:BB49"/>
    <mergeCell ref="A50:D50"/>
    <mergeCell ref="A51:D51"/>
    <mergeCell ref="AJ15:AO15"/>
    <mergeCell ref="A21:F21"/>
    <mergeCell ref="H21:M21"/>
    <mergeCell ref="AC21:AH21"/>
    <mergeCell ref="AJ21:AO21"/>
    <mergeCell ref="A27:F27"/>
    <mergeCell ref="A15:F15"/>
    <mergeCell ref="H15:M15"/>
    <mergeCell ref="H27:M27"/>
    <mergeCell ref="AC15:AH15"/>
    <mergeCell ref="O27:T27"/>
    <mergeCell ref="O44:R44"/>
    <mergeCell ref="AM35:AS35"/>
    <mergeCell ref="AM39:AS39"/>
    <mergeCell ref="A54:F56"/>
    <mergeCell ref="H54:M56"/>
    <mergeCell ref="O54:T56"/>
    <mergeCell ref="V54:AA56"/>
    <mergeCell ref="AC54:AH56"/>
    <mergeCell ref="AJ54:AO56"/>
    <mergeCell ref="A47:F47"/>
    <mergeCell ref="H47:M47"/>
    <mergeCell ref="O47:T47"/>
    <mergeCell ref="V47:AA47"/>
    <mergeCell ref="AC47:AH47"/>
    <mergeCell ref="Q36:T36"/>
    <mergeCell ref="O41:T41"/>
  </mergeCells>
  <pageMargins left="0.1" right="0.1" top="0.1" bottom="0.1" header="1" footer="0.1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Sheet3</vt:lpstr>
      <vt:lpstr>Sheet4</vt:lpstr>
      <vt:lpstr>Sheet1</vt:lpstr>
      <vt:lpstr>PTCA Packing 1</vt:lpstr>
      <vt:lpstr>PTCA Packing 2</vt:lpstr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Wariya</dc:creator>
  <cp:lastModifiedBy>Pronchita</cp:lastModifiedBy>
  <cp:lastPrinted>2025-11-19T00:56:13Z</cp:lastPrinted>
  <dcterms:created xsi:type="dcterms:W3CDTF">2025-11-12T11:08:40Z</dcterms:created>
  <dcterms:modified xsi:type="dcterms:W3CDTF">2026-01-22T07:13:24Z</dcterms:modified>
</cp:coreProperties>
</file>